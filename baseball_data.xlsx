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7E87B7C8-40BC-4849-B094-783D50087ADB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基本データ" sheetId="1" r:id="rId1"/>
    <sheet name="投手" sheetId="2" r:id="rId2"/>
    <sheet name="野手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3" l="1"/>
  <c r="S2000" i="3"/>
  <c r="T2000" i="3"/>
  <c r="U2000" i="3"/>
  <c r="I2000" i="3"/>
  <c r="J2000" i="3"/>
  <c r="K2000" i="3"/>
  <c r="L2000" i="3"/>
  <c r="G2000" i="3"/>
  <c r="R2000" i="3"/>
  <c r="AA2000" i="3"/>
  <c r="H2000" i="3"/>
  <c r="F2000" i="3"/>
  <c r="AB2" i="3"/>
  <c r="AA3" i="3"/>
  <c r="AB3" i="3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AA66" i="3"/>
  <c r="AB66" i="3"/>
  <c r="AA67" i="3"/>
  <c r="AB67" i="3"/>
  <c r="AA68" i="3"/>
  <c r="AB68" i="3"/>
  <c r="AA69" i="3"/>
  <c r="AB69" i="3"/>
  <c r="AA70" i="3"/>
  <c r="AB70" i="3"/>
  <c r="AA71" i="3"/>
  <c r="AB71" i="3"/>
  <c r="AA72" i="3"/>
  <c r="AB72" i="3"/>
  <c r="AA73" i="3"/>
  <c r="AB73" i="3"/>
  <c r="AA74" i="3"/>
  <c r="AB74" i="3"/>
  <c r="AA75" i="3"/>
  <c r="AB75" i="3"/>
  <c r="AA76" i="3"/>
  <c r="AB76" i="3"/>
  <c r="AA77" i="3"/>
  <c r="AB77" i="3"/>
  <c r="AA78" i="3"/>
  <c r="AB78" i="3"/>
  <c r="AA79" i="3"/>
  <c r="AB79" i="3"/>
  <c r="AA80" i="3"/>
  <c r="AB80" i="3"/>
  <c r="AA81" i="3"/>
  <c r="AB81" i="3"/>
  <c r="AA82" i="3"/>
  <c r="AB82" i="3"/>
  <c r="AA83" i="3"/>
  <c r="AB83" i="3"/>
  <c r="AA84" i="3"/>
  <c r="AB84" i="3"/>
  <c r="AA85" i="3"/>
  <c r="AB85" i="3"/>
  <c r="AA86" i="3"/>
  <c r="AB86" i="3"/>
  <c r="AA87" i="3"/>
  <c r="AB87" i="3"/>
  <c r="AA88" i="3"/>
  <c r="AB88" i="3"/>
  <c r="AA89" i="3"/>
  <c r="AB89" i="3"/>
  <c r="AA90" i="3"/>
  <c r="AB90" i="3"/>
  <c r="AA91" i="3"/>
  <c r="AB91" i="3"/>
  <c r="AA92" i="3"/>
  <c r="AB92" i="3"/>
  <c r="AA93" i="3"/>
  <c r="AB93" i="3"/>
  <c r="AA94" i="3"/>
  <c r="AB94" i="3"/>
  <c r="AA95" i="3"/>
  <c r="AB95" i="3"/>
  <c r="AA96" i="3"/>
  <c r="AB96" i="3"/>
  <c r="AA97" i="3"/>
  <c r="AB97" i="3"/>
  <c r="AA98" i="3"/>
  <c r="AB98" i="3"/>
  <c r="AA99" i="3"/>
  <c r="AB99" i="3"/>
  <c r="AA100" i="3"/>
  <c r="AB100" i="3"/>
  <c r="AA101" i="3"/>
  <c r="AB101" i="3"/>
  <c r="AA102" i="3"/>
  <c r="AB102" i="3"/>
  <c r="AA103" i="3"/>
  <c r="AB103" i="3"/>
  <c r="AA104" i="3"/>
  <c r="AB104" i="3"/>
  <c r="AA105" i="3"/>
  <c r="AB105" i="3"/>
  <c r="AA106" i="3"/>
  <c r="AB106" i="3"/>
  <c r="AA107" i="3"/>
  <c r="AB107" i="3"/>
  <c r="AA108" i="3"/>
  <c r="AB108" i="3"/>
  <c r="AA109" i="3"/>
  <c r="AB109" i="3"/>
  <c r="AA110" i="3"/>
  <c r="AB110" i="3"/>
  <c r="AA111" i="3"/>
  <c r="AB111" i="3"/>
  <c r="AA112" i="3"/>
  <c r="AB112" i="3"/>
  <c r="AA113" i="3"/>
  <c r="AB113" i="3"/>
  <c r="AA114" i="3"/>
  <c r="AB114" i="3"/>
  <c r="AA115" i="3"/>
  <c r="AB115" i="3"/>
  <c r="AA116" i="3"/>
  <c r="AB116" i="3"/>
  <c r="AA117" i="3"/>
  <c r="AB117" i="3"/>
  <c r="AA118" i="3"/>
  <c r="AB118" i="3"/>
  <c r="AA119" i="3"/>
  <c r="AB119" i="3"/>
  <c r="AA120" i="3"/>
  <c r="AB120" i="3"/>
  <c r="AA121" i="3"/>
  <c r="AB121" i="3"/>
  <c r="AA122" i="3"/>
  <c r="AB122" i="3"/>
  <c r="AA123" i="3"/>
  <c r="AB123" i="3"/>
  <c r="AA124" i="3"/>
  <c r="AB124" i="3"/>
  <c r="AA125" i="3"/>
  <c r="AB125" i="3"/>
  <c r="AA126" i="3"/>
  <c r="AB126" i="3"/>
  <c r="AA127" i="3"/>
  <c r="AB127" i="3"/>
  <c r="AA128" i="3"/>
  <c r="AB128" i="3"/>
  <c r="AA129" i="3"/>
  <c r="AB129" i="3"/>
  <c r="AA130" i="3"/>
  <c r="AB130" i="3"/>
  <c r="AA131" i="3"/>
  <c r="AB131" i="3"/>
  <c r="AA132" i="3"/>
  <c r="AB132" i="3"/>
  <c r="AA133" i="3"/>
  <c r="AB133" i="3"/>
  <c r="AA134" i="3"/>
  <c r="AB134" i="3"/>
  <c r="AA135" i="3"/>
  <c r="AB135" i="3"/>
  <c r="AA136" i="3"/>
  <c r="AB136" i="3"/>
  <c r="AA137" i="3"/>
  <c r="AB137" i="3"/>
  <c r="AA138" i="3"/>
  <c r="AB138" i="3"/>
  <c r="AA139" i="3"/>
  <c r="AB139" i="3"/>
  <c r="AA140" i="3"/>
  <c r="AB140" i="3"/>
  <c r="AA141" i="3"/>
  <c r="AB141" i="3"/>
  <c r="AA142" i="3"/>
  <c r="AB142" i="3"/>
  <c r="AA143" i="3"/>
  <c r="AB143" i="3"/>
  <c r="AA144" i="3"/>
  <c r="AB144" i="3"/>
  <c r="AA145" i="3"/>
  <c r="AB145" i="3"/>
  <c r="AA146" i="3"/>
  <c r="AB146" i="3"/>
  <c r="AA147" i="3"/>
  <c r="AB147" i="3"/>
  <c r="AA148" i="3"/>
  <c r="AB148" i="3"/>
  <c r="AA149" i="3"/>
  <c r="AB149" i="3"/>
  <c r="AA150" i="3"/>
  <c r="AB150" i="3"/>
  <c r="AA151" i="3"/>
  <c r="AB151" i="3"/>
  <c r="AA152" i="3"/>
  <c r="AB152" i="3"/>
  <c r="AA153" i="3"/>
  <c r="AB153" i="3"/>
  <c r="AA154" i="3"/>
  <c r="AB154" i="3"/>
  <c r="AA155" i="3"/>
  <c r="AB155" i="3"/>
  <c r="AA156" i="3"/>
  <c r="AB156" i="3"/>
  <c r="AA157" i="3"/>
  <c r="AB157" i="3"/>
  <c r="AA158" i="3"/>
  <c r="AB158" i="3"/>
  <c r="AA159" i="3"/>
  <c r="AB159" i="3"/>
  <c r="AA160" i="3"/>
  <c r="AB160" i="3"/>
  <c r="AA161" i="3"/>
  <c r="AB161" i="3"/>
  <c r="AA162" i="3"/>
  <c r="AB162" i="3"/>
  <c r="AA163" i="3"/>
  <c r="AB163" i="3"/>
  <c r="AA164" i="3"/>
  <c r="AB164" i="3"/>
  <c r="AA165" i="3"/>
  <c r="AB165" i="3"/>
  <c r="AA166" i="3"/>
  <c r="AB166" i="3"/>
  <c r="AA167" i="3"/>
  <c r="AB167" i="3"/>
  <c r="AA168" i="3"/>
  <c r="AB168" i="3"/>
  <c r="AA169" i="3"/>
  <c r="AB169" i="3"/>
  <c r="AA170" i="3"/>
  <c r="AB170" i="3"/>
  <c r="AA171" i="3"/>
  <c r="AB171" i="3"/>
  <c r="AA172" i="3"/>
  <c r="AB172" i="3"/>
  <c r="AA173" i="3"/>
  <c r="AB173" i="3"/>
  <c r="AA174" i="3"/>
  <c r="AB174" i="3"/>
  <c r="AA175" i="3"/>
  <c r="AB175" i="3"/>
  <c r="AA176" i="3"/>
  <c r="AB176" i="3"/>
  <c r="AA177" i="3"/>
  <c r="AB177" i="3"/>
  <c r="AA178" i="3"/>
  <c r="AB178" i="3"/>
  <c r="AA179" i="3"/>
  <c r="AB179" i="3"/>
  <c r="AA180" i="3"/>
  <c r="AB180" i="3"/>
  <c r="AA181" i="3"/>
  <c r="AB181" i="3"/>
  <c r="AA182" i="3"/>
  <c r="AB182" i="3"/>
  <c r="AA183" i="3"/>
  <c r="AB183" i="3"/>
  <c r="AA184" i="3"/>
  <c r="AB184" i="3"/>
  <c r="AA185" i="3"/>
  <c r="AB185" i="3"/>
  <c r="AA186" i="3"/>
  <c r="AB186" i="3"/>
  <c r="AA187" i="3"/>
  <c r="AB187" i="3"/>
  <c r="AA188" i="3"/>
  <c r="AB188" i="3"/>
  <c r="AA189" i="3"/>
  <c r="AB189" i="3"/>
  <c r="AA190" i="3"/>
  <c r="AB190" i="3"/>
  <c r="AA191" i="3"/>
  <c r="AB191" i="3"/>
  <c r="AA192" i="3"/>
  <c r="AB192" i="3"/>
  <c r="AA193" i="3"/>
  <c r="AB193" i="3"/>
  <c r="AA194" i="3"/>
  <c r="AB194" i="3"/>
  <c r="AA195" i="3"/>
  <c r="AB195" i="3"/>
  <c r="AA196" i="3"/>
  <c r="AB196" i="3"/>
  <c r="AA197" i="3"/>
  <c r="AB197" i="3"/>
  <c r="AA198" i="3"/>
  <c r="AB198" i="3"/>
  <c r="AA199" i="3"/>
  <c r="AB199" i="3"/>
  <c r="AA200" i="3"/>
  <c r="AB200" i="3"/>
  <c r="AA201" i="3"/>
  <c r="AB201" i="3"/>
  <c r="AA202" i="3"/>
  <c r="AB202" i="3"/>
  <c r="AA203" i="3"/>
  <c r="AB203" i="3"/>
  <c r="AA204" i="3"/>
  <c r="AB204" i="3"/>
  <c r="AA205" i="3"/>
  <c r="AB205" i="3"/>
  <c r="AA206" i="3"/>
  <c r="AB206" i="3"/>
  <c r="AA207" i="3"/>
  <c r="AB207" i="3"/>
  <c r="AA208" i="3"/>
  <c r="AB208" i="3"/>
  <c r="AA209" i="3"/>
  <c r="AB209" i="3"/>
  <c r="AA210" i="3"/>
  <c r="AB210" i="3"/>
  <c r="AA211" i="3"/>
  <c r="AB211" i="3"/>
  <c r="AA212" i="3"/>
  <c r="AB212" i="3"/>
  <c r="AA213" i="3"/>
  <c r="AB213" i="3"/>
  <c r="AA214" i="3"/>
  <c r="AB214" i="3"/>
  <c r="AA215" i="3"/>
  <c r="AB215" i="3"/>
  <c r="AA216" i="3"/>
  <c r="AB216" i="3"/>
  <c r="AA217" i="3"/>
  <c r="AB217" i="3"/>
  <c r="AA218" i="3"/>
  <c r="AB218" i="3"/>
  <c r="AA219" i="3"/>
  <c r="AB219" i="3"/>
  <c r="AA220" i="3"/>
  <c r="AB220" i="3"/>
  <c r="AA221" i="3"/>
  <c r="AB221" i="3"/>
  <c r="AA222" i="3"/>
  <c r="AB222" i="3"/>
  <c r="AA223" i="3"/>
  <c r="AB223" i="3"/>
  <c r="AA224" i="3"/>
  <c r="AB224" i="3"/>
  <c r="AA225" i="3"/>
  <c r="AB225" i="3"/>
  <c r="AA226" i="3"/>
  <c r="AB226" i="3"/>
  <c r="AA227" i="3"/>
  <c r="AB227" i="3"/>
  <c r="AA228" i="3"/>
  <c r="AB228" i="3"/>
  <c r="AA229" i="3"/>
  <c r="AB229" i="3"/>
  <c r="AA230" i="3"/>
  <c r="AB230" i="3"/>
  <c r="AA231" i="3"/>
  <c r="AB231" i="3"/>
  <c r="AA232" i="3"/>
  <c r="AB232" i="3"/>
  <c r="AA233" i="3"/>
  <c r="AB233" i="3"/>
  <c r="AA234" i="3"/>
  <c r="AB234" i="3"/>
  <c r="AA235" i="3"/>
  <c r="AB235" i="3"/>
  <c r="AA236" i="3"/>
  <c r="AB236" i="3"/>
  <c r="AA237" i="3"/>
  <c r="AB237" i="3"/>
  <c r="AA238" i="3"/>
  <c r="AB238" i="3"/>
  <c r="AA239" i="3"/>
  <c r="AB239" i="3"/>
  <c r="AA240" i="3"/>
  <c r="AB240" i="3"/>
  <c r="AA241" i="3"/>
  <c r="AB241" i="3"/>
  <c r="AA242" i="3"/>
  <c r="AB242" i="3"/>
  <c r="AA243" i="3"/>
  <c r="AB243" i="3"/>
  <c r="AA244" i="3"/>
  <c r="AB244" i="3"/>
  <c r="AA245" i="3"/>
  <c r="AB245" i="3"/>
  <c r="AA246" i="3"/>
  <c r="AB246" i="3"/>
  <c r="AA247" i="3"/>
  <c r="AB247" i="3"/>
  <c r="AA248" i="3"/>
  <c r="AB248" i="3"/>
  <c r="AA249" i="3"/>
  <c r="AB249" i="3"/>
  <c r="AA250" i="3"/>
  <c r="AB250" i="3"/>
  <c r="AA251" i="3"/>
  <c r="AB251" i="3"/>
  <c r="AA252" i="3"/>
  <c r="AB252" i="3"/>
  <c r="AA253" i="3"/>
  <c r="AB253" i="3"/>
  <c r="AA254" i="3"/>
  <c r="AB254" i="3"/>
  <c r="AA255" i="3"/>
  <c r="AB255" i="3"/>
  <c r="AA256" i="3"/>
  <c r="AB256" i="3"/>
  <c r="AA257" i="3"/>
  <c r="AB257" i="3"/>
  <c r="AA258" i="3"/>
  <c r="AB258" i="3"/>
  <c r="AA259" i="3"/>
  <c r="AB259" i="3"/>
  <c r="AA260" i="3"/>
  <c r="AB260" i="3"/>
  <c r="AA261" i="3"/>
  <c r="AB261" i="3"/>
  <c r="AA262" i="3"/>
  <c r="AB262" i="3"/>
  <c r="AA263" i="3"/>
  <c r="AB263" i="3"/>
  <c r="AA264" i="3"/>
  <c r="AB264" i="3"/>
  <c r="AA265" i="3"/>
  <c r="AB265" i="3"/>
  <c r="AA266" i="3"/>
  <c r="AB266" i="3"/>
  <c r="AA267" i="3"/>
  <c r="AB267" i="3"/>
  <c r="AA268" i="3"/>
  <c r="AB268" i="3"/>
  <c r="AA269" i="3"/>
  <c r="AB269" i="3"/>
  <c r="AA270" i="3"/>
  <c r="AB270" i="3"/>
  <c r="AA271" i="3"/>
  <c r="AB271" i="3"/>
  <c r="AA272" i="3"/>
  <c r="AB272" i="3"/>
  <c r="AA273" i="3"/>
  <c r="AB273" i="3"/>
  <c r="AA274" i="3"/>
  <c r="AB274" i="3"/>
  <c r="AA275" i="3"/>
  <c r="AB275" i="3"/>
  <c r="AA276" i="3"/>
  <c r="AB276" i="3"/>
  <c r="AA277" i="3"/>
  <c r="AB277" i="3"/>
  <c r="AA278" i="3"/>
  <c r="AB278" i="3"/>
  <c r="AA279" i="3"/>
  <c r="AB279" i="3"/>
  <c r="AA280" i="3"/>
  <c r="AB280" i="3"/>
  <c r="AA281" i="3"/>
  <c r="AB281" i="3"/>
  <c r="AA282" i="3"/>
  <c r="AB282" i="3"/>
  <c r="AA283" i="3"/>
  <c r="AB283" i="3"/>
  <c r="AA284" i="3"/>
  <c r="AB284" i="3"/>
  <c r="AA285" i="3"/>
  <c r="AB285" i="3"/>
  <c r="AA286" i="3"/>
  <c r="AB286" i="3"/>
  <c r="AA287" i="3"/>
  <c r="AB287" i="3"/>
  <c r="AA288" i="3"/>
  <c r="AB288" i="3"/>
  <c r="AA289" i="3"/>
  <c r="AB289" i="3"/>
  <c r="AA290" i="3"/>
  <c r="AB290" i="3"/>
  <c r="AA291" i="3"/>
  <c r="AB291" i="3"/>
  <c r="AA292" i="3"/>
  <c r="AB292" i="3"/>
  <c r="AA293" i="3"/>
  <c r="AB293" i="3"/>
  <c r="AA294" i="3"/>
  <c r="AB294" i="3"/>
  <c r="AA295" i="3"/>
  <c r="AB295" i="3"/>
  <c r="AA296" i="3"/>
  <c r="AB296" i="3"/>
  <c r="AA297" i="3"/>
  <c r="AB297" i="3"/>
  <c r="AA298" i="3"/>
  <c r="AB298" i="3"/>
  <c r="AA299" i="3"/>
  <c r="AB299" i="3"/>
  <c r="AA300" i="3"/>
  <c r="AB300" i="3"/>
  <c r="AA301" i="3"/>
  <c r="AB301" i="3"/>
  <c r="AA302" i="3"/>
  <c r="AB302" i="3"/>
  <c r="AA303" i="3"/>
  <c r="AB303" i="3"/>
  <c r="AA304" i="3"/>
  <c r="AB304" i="3"/>
  <c r="AA305" i="3"/>
  <c r="AB305" i="3"/>
  <c r="AA306" i="3"/>
  <c r="AB306" i="3"/>
  <c r="AA307" i="3"/>
  <c r="AB307" i="3"/>
  <c r="AA308" i="3"/>
  <c r="AB308" i="3"/>
  <c r="AA309" i="3"/>
  <c r="AB309" i="3"/>
  <c r="AA310" i="3"/>
  <c r="AB310" i="3"/>
  <c r="AA311" i="3"/>
  <c r="AB311" i="3"/>
  <c r="AA312" i="3"/>
  <c r="AB312" i="3"/>
  <c r="AA313" i="3"/>
  <c r="AB313" i="3"/>
  <c r="AA314" i="3"/>
  <c r="AB314" i="3"/>
  <c r="AA315" i="3"/>
  <c r="AB315" i="3"/>
  <c r="AA316" i="3"/>
  <c r="AB316" i="3"/>
  <c r="AA317" i="3"/>
  <c r="AB317" i="3"/>
  <c r="AA318" i="3"/>
  <c r="AB318" i="3"/>
  <c r="AA319" i="3"/>
  <c r="AB319" i="3"/>
  <c r="AA320" i="3"/>
  <c r="AB320" i="3"/>
  <c r="AA321" i="3"/>
  <c r="AB321" i="3"/>
  <c r="AA322" i="3"/>
  <c r="AB322" i="3"/>
  <c r="AA323" i="3"/>
  <c r="AB323" i="3"/>
  <c r="AA324" i="3"/>
  <c r="AB324" i="3"/>
  <c r="AA325" i="3"/>
  <c r="AB325" i="3"/>
  <c r="AA326" i="3"/>
  <c r="AB326" i="3"/>
  <c r="AA327" i="3"/>
  <c r="AB327" i="3"/>
  <c r="AA328" i="3"/>
  <c r="AB328" i="3"/>
  <c r="AA329" i="3"/>
  <c r="AB329" i="3"/>
  <c r="AA330" i="3"/>
  <c r="AB330" i="3"/>
  <c r="AA331" i="3"/>
  <c r="AB331" i="3"/>
  <c r="AA332" i="3"/>
  <c r="AB332" i="3"/>
  <c r="AA333" i="3"/>
  <c r="AB333" i="3"/>
  <c r="AA334" i="3"/>
  <c r="AB334" i="3"/>
  <c r="AA335" i="3"/>
  <c r="AB335" i="3"/>
  <c r="AA336" i="3"/>
  <c r="AB336" i="3"/>
  <c r="AA337" i="3"/>
  <c r="AB337" i="3"/>
  <c r="AA338" i="3"/>
  <c r="AB338" i="3"/>
  <c r="AA339" i="3"/>
  <c r="AB339" i="3"/>
  <c r="AA340" i="3"/>
  <c r="AB340" i="3"/>
  <c r="AA341" i="3"/>
  <c r="AB341" i="3"/>
  <c r="AA342" i="3"/>
  <c r="AB342" i="3"/>
  <c r="AA343" i="3"/>
  <c r="AB343" i="3"/>
  <c r="AA344" i="3"/>
  <c r="AB344" i="3"/>
  <c r="AA345" i="3"/>
  <c r="AB345" i="3"/>
  <c r="AA346" i="3"/>
  <c r="AB346" i="3"/>
  <c r="AA347" i="3"/>
  <c r="AB347" i="3"/>
  <c r="AA348" i="3"/>
  <c r="AB348" i="3"/>
  <c r="AA349" i="3"/>
  <c r="AB349" i="3"/>
  <c r="AB2000" i="3"/>
  <c r="AA351" i="3"/>
  <c r="Z351" i="3"/>
  <c r="AA350" i="3"/>
  <c r="Z350" i="3"/>
  <c r="AC349" i="3"/>
  <c r="Z349" i="3"/>
  <c r="AC348" i="3"/>
  <c r="Z348" i="3"/>
  <c r="AC347" i="3"/>
  <c r="Z347" i="3"/>
  <c r="AC346" i="3"/>
  <c r="Z346" i="3"/>
  <c r="AC345" i="3"/>
  <c r="Z345" i="3"/>
  <c r="AC344" i="3"/>
  <c r="Z344" i="3"/>
  <c r="AC343" i="3"/>
  <c r="Z343" i="3"/>
  <c r="AC342" i="3"/>
  <c r="Z342" i="3"/>
  <c r="AC341" i="3"/>
  <c r="Z341" i="3"/>
  <c r="AC340" i="3"/>
  <c r="Z340" i="3"/>
  <c r="AC339" i="3"/>
  <c r="Z339" i="3"/>
  <c r="AC338" i="3"/>
  <c r="Z338" i="3"/>
  <c r="AC337" i="3"/>
  <c r="Z337" i="3"/>
  <c r="AC336" i="3"/>
  <c r="Z336" i="3"/>
  <c r="AC335" i="3"/>
  <c r="Z335" i="3"/>
  <c r="AC334" i="3"/>
  <c r="Z334" i="3"/>
  <c r="AC333" i="3"/>
  <c r="Z333" i="3"/>
  <c r="AC332" i="3"/>
  <c r="Z332" i="3"/>
  <c r="AC331" i="3"/>
  <c r="Z331" i="3"/>
  <c r="AC330" i="3"/>
  <c r="Z330" i="3"/>
  <c r="AC329" i="3"/>
  <c r="Z329" i="3"/>
  <c r="AC328" i="3"/>
  <c r="Z328" i="3"/>
  <c r="AC327" i="3"/>
  <c r="Z327" i="3"/>
  <c r="AC326" i="3"/>
  <c r="Z326" i="3"/>
  <c r="AC325" i="3"/>
  <c r="Z325" i="3"/>
  <c r="AC324" i="3"/>
  <c r="Z324" i="3"/>
  <c r="AC323" i="3"/>
  <c r="Z323" i="3"/>
  <c r="AC322" i="3"/>
  <c r="Z322" i="3"/>
  <c r="AC321" i="3"/>
  <c r="Z321" i="3"/>
  <c r="AC320" i="3"/>
  <c r="Z320" i="3"/>
  <c r="AC319" i="3"/>
  <c r="Z319" i="3"/>
  <c r="AC318" i="3"/>
  <c r="Z318" i="3"/>
  <c r="AC317" i="3"/>
  <c r="Z317" i="3"/>
  <c r="AC316" i="3"/>
  <c r="Z316" i="3"/>
  <c r="AC315" i="3"/>
  <c r="Z315" i="3"/>
  <c r="AC314" i="3"/>
  <c r="Z314" i="3"/>
  <c r="AC313" i="3"/>
  <c r="Z313" i="3"/>
  <c r="AC312" i="3"/>
  <c r="Z312" i="3"/>
  <c r="AC311" i="3"/>
  <c r="Z311" i="3"/>
  <c r="AC310" i="3"/>
  <c r="Z310" i="3"/>
  <c r="AC309" i="3"/>
  <c r="Z309" i="3"/>
  <c r="AC308" i="3"/>
  <c r="Z308" i="3"/>
  <c r="AC307" i="3"/>
  <c r="Z307" i="3"/>
  <c r="AC306" i="3"/>
  <c r="Z306" i="3"/>
  <c r="AC305" i="3"/>
  <c r="Z305" i="3"/>
  <c r="AC304" i="3"/>
  <c r="Z304" i="3"/>
  <c r="AC303" i="3"/>
  <c r="Z303" i="3"/>
  <c r="AC302" i="3"/>
  <c r="Z302" i="3"/>
  <c r="AC301" i="3"/>
  <c r="Z301" i="3"/>
  <c r="AC300" i="3"/>
  <c r="Z300" i="3"/>
  <c r="AC299" i="3"/>
  <c r="Z299" i="3"/>
  <c r="AC298" i="3"/>
  <c r="Z298" i="3"/>
  <c r="AC297" i="3"/>
  <c r="Z297" i="3"/>
  <c r="AC296" i="3"/>
  <c r="Z296" i="3"/>
  <c r="AC295" i="3"/>
  <c r="Z295" i="3"/>
  <c r="AC294" i="3"/>
  <c r="Z294" i="3"/>
  <c r="AC293" i="3"/>
  <c r="Z293" i="3"/>
  <c r="AC292" i="3"/>
  <c r="Z292" i="3"/>
  <c r="AC291" i="3"/>
  <c r="Z291" i="3"/>
  <c r="AC290" i="3"/>
  <c r="Z290" i="3"/>
  <c r="AC289" i="3"/>
  <c r="Z289" i="3"/>
  <c r="AC288" i="3"/>
  <c r="Z288" i="3"/>
  <c r="AC287" i="3"/>
  <c r="Z287" i="3"/>
  <c r="AC286" i="3"/>
  <c r="Z286" i="3"/>
  <c r="AC285" i="3"/>
  <c r="Z285" i="3"/>
  <c r="AC284" i="3"/>
  <c r="Z284" i="3"/>
  <c r="AC283" i="3"/>
  <c r="Z283" i="3"/>
  <c r="AC282" i="3"/>
  <c r="Z282" i="3"/>
  <c r="AC281" i="3"/>
  <c r="Z281" i="3"/>
  <c r="AC280" i="3"/>
  <c r="Z280" i="3"/>
  <c r="AC279" i="3"/>
  <c r="Z279" i="3"/>
  <c r="AC278" i="3"/>
  <c r="Z278" i="3"/>
  <c r="AC277" i="3"/>
  <c r="Z277" i="3"/>
  <c r="AC276" i="3"/>
  <c r="Z276" i="3"/>
  <c r="AC275" i="3"/>
  <c r="Z275" i="3"/>
  <c r="AC274" i="3"/>
  <c r="Z274" i="3"/>
  <c r="AC273" i="3"/>
  <c r="Z273" i="3"/>
  <c r="AC272" i="3"/>
  <c r="Z272" i="3"/>
  <c r="AC271" i="3"/>
  <c r="Z271" i="3"/>
  <c r="AC270" i="3"/>
  <c r="Z270" i="3"/>
  <c r="AC269" i="3"/>
  <c r="Z269" i="3"/>
  <c r="AC268" i="3"/>
  <c r="Z268" i="3"/>
  <c r="AC267" i="3"/>
  <c r="Z267" i="3"/>
  <c r="AC266" i="3"/>
  <c r="Z266" i="3"/>
  <c r="AC265" i="3"/>
  <c r="Z265" i="3"/>
  <c r="AC264" i="3"/>
  <c r="Z264" i="3"/>
  <c r="AC263" i="3"/>
  <c r="Z263" i="3"/>
  <c r="AC262" i="3"/>
  <c r="Z262" i="3"/>
  <c r="AC261" i="3"/>
  <c r="Z261" i="3"/>
  <c r="AC260" i="3"/>
  <c r="Z260" i="3"/>
  <c r="AC259" i="3"/>
  <c r="Z259" i="3"/>
  <c r="AC258" i="3"/>
  <c r="Z258" i="3"/>
  <c r="AC257" i="3"/>
  <c r="Z257" i="3"/>
  <c r="AC256" i="3"/>
  <c r="Z256" i="3"/>
  <c r="AC255" i="3"/>
  <c r="Z255" i="3"/>
  <c r="AC254" i="3"/>
  <c r="Z254" i="3"/>
  <c r="AC253" i="3"/>
  <c r="Z253" i="3"/>
  <c r="AC252" i="3"/>
  <c r="Z252" i="3"/>
  <c r="AC251" i="3"/>
  <c r="Z251" i="3"/>
  <c r="AC250" i="3"/>
  <c r="Z250" i="3"/>
  <c r="AC249" i="3"/>
  <c r="Z249" i="3"/>
  <c r="AC248" i="3"/>
  <c r="Z248" i="3"/>
  <c r="AC247" i="3"/>
  <c r="Z247" i="3"/>
  <c r="AC246" i="3"/>
  <c r="Z246" i="3"/>
  <c r="AC245" i="3"/>
  <c r="Z245" i="3"/>
  <c r="AC244" i="3"/>
  <c r="Z244" i="3"/>
  <c r="AC243" i="3"/>
  <c r="Z243" i="3"/>
  <c r="AC242" i="3"/>
  <c r="Z242" i="3"/>
  <c r="AC241" i="3"/>
  <c r="Z241" i="3"/>
  <c r="AC240" i="3"/>
  <c r="Z240" i="3"/>
  <c r="AC239" i="3"/>
  <c r="Z239" i="3"/>
  <c r="AC238" i="3"/>
  <c r="Z238" i="3"/>
  <c r="AC237" i="3"/>
  <c r="Z237" i="3"/>
  <c r="AC236" i="3"/>
  <c r="Z236" i="3"/>
  <c r="AC235" i="3"/>
  <c r="Z235" i="3"/>
  <c r="AC234" i="3"/>
  <c r="Z234" i="3"/>
  <c r="AC233" i="3"/>
  <c r="Z233" i="3"/>
  <c r="AC232" i="3"/>
  <c r="Z232" i="3"/>
  <c r="AC231" i="3"/>
  <c r="Z231" i="3"/>
  <c r="AC230" i="3"/>
  <c r="Z230" i="3"/>
  <c r="AC229" i="3"/>
  <c r="Z229" i="3"/>
  <c r="AC228" i="3"/>
  <c r="Z228" i="3"/>
  <c r="AC227" i="3"/>
  <c r="Z227" i="3"/>
  <c r="AC226" i="3"/>
  <c r="Z226" i="3"/>
  <c r="AC225" i="3"/>
  <c r="Z225" i="3"/>
  <c r="AC224" i="3"/>
  <c r="Z224" i="3"/>
  <c r="AC223" i="3"/>
  <c r="Z223" i="3"/>
  <c r="AC222" i="3"/>
  <c r="Z222" i="3"/>
  <c r="AC221" i="3"/>
  <c r="Z221" i="3"/>
  <c r="AC220" i="3"/>
  <c r="Z220" i="3"/>
  <c r="AC219" i="3"/>
  <c r="Z219" i="3"/>
  <c r="AC218" i="3"/>
  <c r="Z218" i="3"/>
  <c r="AC217" i="3"/>
  <c r="Z217" i="3"/>
  <c r="AC216" i="3"/>
  <c r="Z216" i="3"/>
  <c r="AC215" i="3"/>
  <c r="Z215" i="3"/>
  <c r="AC214" i="3"/>
  <c r="Z214" i="3"/>
  <c r="AC213" i="3"/>
  <c r="Z213" i="3"/>
  <c r="AC212" i="3"/>
  <c r="Z212" i="3"/>
  <c r="AC211" i="3"/>
  <c r="Z211" i="3"/>
  <c r="AC210" i="3"/>
  <c r="Z210" i="3"/>
  <c r="AC209" i="3"/>
  <c r="Z209" i="3"/>
  <c r="AC208" i="3"/>
  <c r="Z208" i="3"/>
  <c r="AC207" i="3"/>
  <c r="Z207" i="3"/>
  <c r="AC206" i="3"/>
  <c r="Z206" i="3"/>
  <c r="AC205" i="3"/>
  <c r="Z205" i="3"/>
  <c r="AC204" i="3"/>
  <c r="Z204" i="3"/>
  <c r="AC203" i="3"/>
  <c r="Z203" i="3"/>
  <c r="AC202" i="3"/>
  <c r="Z202" i="3"/>
  <c r="AC201" i="3"/>
  <c r="Z201" i="3"/>
  <c r="AC200" i="3"/>
  <c r="Z200" i="3"/>
  <c r="AC199" i="3"/>
  <c r="Z199" i="3"/>
  <c r="AC198" i="3"/>
  <c r="Z198" i="3"/>
  <c r="AC197" i="3"/>
  <c r="Z197" i="3"/>
  <c r="AC196" i="3"/>
  <c r="Z196" i="3"/>
  <c r="AC195" i="3"/>
  <c r="Z195" i="3"/>
  <c r="AC194" i="3"/>
  <c r="Z194" i="3"/>
  <c r="AC193" i="3"/>
  <c r="Z193" i="3"/>
  <c r="AC192" i="3"/>
  <c r="Z192" i="3"/>
  <c r="AC191" i="3"/>
  <c r="Z191" i="3"/>
  <c r="AC190" i="3"/>
  <c r="Z190" i="3"/>
  <c r="AC189" i="3"/>
  <c r="Z189" i="3"/>
  <c r="AC188" i="3"/>
  <c r="Z188" i="3"/>
  <c r="AC187" i="3"/>
  <c r="Z187" i="3"/>
  <c r="AC186" i="3"/>
  <c r="Z186" i="3"/>
  <c r="AC185" i="3"/>
  <c r="Z185" i="3"/>
  <c r="AC184" i="3"/>
  <c r="Z184" i="3"/>
  <c r="AC183" i="3"/>
  <c r="Z183" i="3"/>
  <c r="AC182" i="3"/>
  <c r="Z182" i="3"/>
  <c r="AC181" i="3"/>
  <c r="Z181" i="3"/>
  <c r="AC180" i="3"/>
  <c r="Z180" i="3"/>
  <c r="AC179" i="3"/>
  <c r="Z179" i="3"/>
  <c r="AC178" i="3"/>
  <c r="Z178" i="3"/>
  <c r="AC177" i="3"/>
  <c r="Z177" i="3"/>
  <c r="AC176" i="3"/>
  <c r="Z176" i="3"/>
  <c r="AC175" i="3"/>
  <c r="Z175" i="3"/>
  <c r="AC174" i="3"/>
  <c r="Z174" i="3"/>
  <c r="AC173" i="3"/>
  <c r="Z173" i="3"/>
  <c r="AC172" i="3"/>
  <c r="Z172" i="3"/>
  <c r="AC171" i="3"/>
  <c r="Z171" i="3"/>
  <c r="AC170" i="3"/>
  <c r="Z170" i="3"/>
  <c r="AC169" i="3"/>
  <c r="Z169" i="3"/>
  <c r="AC168" i="3"/>
  <c r="Z168" i="3"/>
  <c r="AC167" i="3"/>
  <c r="Z167" i="3"/>
  <c r="AC166" i="3"/>
  <c r="Z166" i="3"/>
  <c r="AC165" i="3"/>
  <c r="Z165" i="3"/>
  <c r="AC164" i="3"/>
  <c r="Z164" i="3"/>
  <c r="AC163" i="3"/>
  <c r="Z163" i="3"/>
  <c r="AC162" i="3"/>
  <c r="Z162" i="3"/>
  <c r="AC161" i="3"/>
  <c r="Z161" i="3"/>
  <c r="AC160" i="3"/>
  <c r="Z160" i="3"/>
  <c r="AC159" i="3"/>
  <c r="Z159" i="3"/>
  <c r="AC158" i="3"/>
  <c r="Z158" i="3"/>
  <c r="AC157" i="3"/>
  <c r="Z157" i="3"/>
  <c r="AC156" i="3"/>
  <c r="Z156" i="3"/>
  <c r="AC155" i="3"/>
  <c r="Z155" i="3"/>
  <c r="AC154" i="3"/>
  <c r="Z154" i="3"/>
  <c r="AC153" i="3"/>
  <c r="Z153" i="3"/>
  <c r="AC152" i="3"/>
  <c r="Z152" i="3"/>
  <c r="AC151" i="3"/>
  <c r="Z151" i="3"/>
  <c r="AC150" i="3"/>
  <c r="Z150" i="3"/>
  <c r="AC149" i="3"/>
  <c r="Z149" i="3"/>
  <c r="AC148" i="3"/>
  <c r="Z148" i="3"/>
  <c r="AC147" i="3"/>
  <c r="Z147" i="3"/>
  <c r="AC146" i="3"/>
  <c r="Z146" i="3"/>
  <c r="AC145" i="3"/>
  <c r="Z145" i="3"/>
  <c r="AC144" i="3"/>
  <c r="Z144" i="3"/>
  <c r="AC143" i="3"/>
  <c r="Z143" i="3"/>
  <c r="AC142" i="3"/>
  <c r="Z142" i="3"/>
  <c r="AC141" i="3"/>
  <c r="Z141" i="3"/>
  <c r="AC140" i="3"/>
  <c r="Z140" i="3"/>
  <c r="AC139" i="3"/>
  <c r="Z139" i="3"/>
  <c r="AC138" i="3"/>
  <c r="Z138" i="3"/>
  <c r="AC137" i="3"/>
  <c r="Z137" i="3"/>
  <c r="AC136" i="3"/>
  <c r="Z136" i="3"/>
  <c r="AC135" i="3"/>
  <c r="Z135" i="3"/>
  <c r="AC134" i="3"/>
  <c r="Z134" i="3"/>
  <c r="AC133" i="3"/>
  <c r="Z133" i="3"/>
  <c r="AC132" i="3"/>
  <c r="Z132" i="3"/>
  <c r="AC131" i="3"/>
  <c r="Z131" i="3"/>
  <c r="AC130" i="3"/>
  <c r="Z130" i="3"/>
  <c r="AC129" i="3"/>
  <c r="Z129" i="3"/>
  <c r="AC128" i="3"/>
  <c r="Z128" i="3"/>
  <c r="AC127" i="3"/>
  <c r="Z127" i="3"/>
  <c r="AC126" i="3"/>
  <c r="Z126" i="3"/>
  <c r="AC125" i="3"/>
  <c r="Z125" i="3"/>
  <c r="AC124" i="3"/>
  <c r="Z124" i="3"/>
  <c r="AC123" i="3"/>
  <c r="Z123" i="3"/>
  <c r="AC122" i="3"/>
  <c r="Z122" i="3"/>
  <c r="AC121" i="3"/>
  <c r="Z121" i="3"/>
  <c r="AC120" i="3"/>
  <c r="Z120" i="3"/>
  <c r="AC119" i="3"/>
  <c r="Z119" i="3"/>
  <c r="AC118" i="3"/>
  <c r="Z118" i="3"/>
  <c r="AC117" i="3"/>
  <c r="Z117" i="3"/>
  <c r="AC116" i="3"/>
  <c r="Z116" i="3"/>
  <c r="AC115" i="3"/>
  <c r="Z115" i="3"/>
  <c r="AC114" i="3"/>
  <c r="Z114" i="3"/>
  <c r="AC113" i="3"/>
  <c r="Z113" i="3"/>
  <c r="AC112" i="3"/>
  <c r="Z112" i="3"/>
  <c r="AC111" i="3"/>
  <c r="Z111" i="3"/>
  <c r="AC110" i="3"/>
  <c r="Z110" i="3"/>
  <c r="AC109" i="3"/>
  <c r="Z109" i="3"/>
  <c r="AC108" i="3"/>
  <c r="Z108" i="3"/>
  <c r="AC107" i="3"/>
  <c r="Z107" i="3"/>
  <c r="AC106" i="3"/>
  <c r="Z106" i="3"/>
  <c r="AC105" i="3"/>
  <c r="Z105" i="3"/>
  <c r="AC104" i="3"/>
  <c r="Z104" i="3"/>
  <c r="AC103" i="3"/>
  <c r="Z103" i="3"/>
  <c r="AC102" i="3"/>
  <c r="Z102" i="3"/>
  <c r="AC101" i="3"/>
  <c r="Z101" i="3"/>
  <c r="AC100" i="3"/>
  <c r="Z100" i="3"/>
  <c r="AC99" i="3"/>
  <c r="Z99" i="3"/>
  <c r="AC98" i="3"/>
  <c r="Z98" i="3"/>
  <c r="AC97" i="3"/>
  <c r="Z97" i="3"/>
  <c r="AC96" i="3"/>
  <c r="Z96" i="3"/>
  <c r="AC95" i="3"/>
  <c r="Z95" i="3"/>
  <c r="AC94" i="3"/>
  <c r="Z94" i="3"/>
  <c r="AC93" i="3"/>
  <c r="Z93" i="3"/>
  <c r="AC92" i="3"/>
  <c r="Z92" i="3"/>
  <c r="AC91" i="3"/>
  <c r="Z91" i="3"/>
  <c r="AC90" i="3"/>
  <c r="Z90" i="3"/>
  <c r="AC89" i="3"/>
  <c r="Z89" i="3"/>
  <c r="AC88" i="3"/>
  <c r="Z88" i="3"/>
  <c r="AC87" i="3"/>
  <c r="Z87" i="3"/>
  <c r="AC86" i="3"/>
  <c r="Z86" i="3"/>
  <c r="AC85" i="3"/>
  <c r="Z85" i="3"/>
  <c r="AC84" i="3"/>
  <c r="Z84" i="3"/>
  <c r="AC83" i="3"/>
  <c r="Z83" i="3"/>
  <c r="AC82" i="3"/>
  <c r="Z82" i="3"/>
  <c r="AC81" i="3"/>
  <c r="Z81" i="3"/>
  <c r="AC80" i="3"/>
  <c r="Z80" i="3"/>
  <c r="AC79" i="3"/>
  <c r="Z79" i="3"/>
  <c r="AC78" i="3"/>
  <c r="Z78" i="3"/>
  <c r="AC77" i="3"/>
  <c r="Z77" i="3"/>
  <c r="AC76" i="3"/>
  <c r="Z76" i="3"/>
  <c r="AC75" i="3"/>
  <c r="Z75" i="3"/>
  <c r="AC74" i="3"/>
  <c r="Z74" i="3"/>
  <c r="AC73" i="3"/>
  <c r="Z73" i="3"/>
  <c r="AC72" i="3"/>
  <c r="Z72" i="3"/>
  <c r="AC71" i="3"/>
  <c r="Z71" i="3"/>
  <c r="AC70" i="3"/>
  <c r="Z70" i="3"/>
  <c r="AC69" i="3"/>
  <c r="Z69" i="3"/>
  <c r="AC68" i="3"/>
  <c r="Z68" i="3"/>
  <c r="AC67" i="3"/>
  <c r="Z67" i="3"/>
  <c r="AC66" i="3"/>
  <c r="Z66" i="3"/>
  <c r="AC65" i="3"/>
  <c r="Z65" i="3"/>
  <c r="AC64" i="3"/>
  <c r="Z64" i="3"/>
  <c r="AC63" i="3"/>
  <c r="Z63" i="3"/>
  <c r="AC62" i="3"/>
  <c r="Z62" i="3"/>
  <c r="AC61" i="3"/>
  <c r="Z61" i="3"/>
  <c r="AC60" i="3"/>
  <c r="Z60" i="3"/>
  <c r="AC59" i="3"/>
  <c r="Z59" i="3"/>
  <c r="AC58" i="3"/>
  <c r="Z58" i="3"/>
  <c r="AC57" i="3"/>
  <c r="Z57" i="3"/>
  <c r="AC56" i="3"/>
  <c r="Z56" i="3"/>
  <c r="AC55" i="3"/>
  <c r="Z55" i="3"/>
  <c r="AC54" i="3"/>
  <c r="Z54" i="3"/>
  <c r="AC53" i="3"/>
  <c r="Z53" i="3"/>
  <c r="AC52" i="3"/>
  <c r="Z52" i="3"/>
  <c r="AC51" i="3"/>
  <c r="Z51" i="3"/>
  <c r="AC50" i="3"/>
  <c r="Z50" i="3"/>
  <c r="AC49" i="3"/>
  <c r="Z49" i="3"/>
  <c r="AC48" i="3"/>
  <c r="Z48" i="3"/>
  <c r="AC47" i="3"/>
  <c r="Z47" i="3"/>
  <c r="AC46" i="3"/>
  <c r="Z46" i="3"/>
  <c r="AC45" i="3"/>
  <c r="Z45" i="3"/>
  <c r="AC44" i="3"/>
  <c r="Z44" i="3"/>
  <c r="AC43" i="3"/>
  <c r="Z43" i="3"/>
  <c r="AC42" i="3"/>
  <c r="Z42" i="3"/>
  <c r="AC41" i="3"/>
  <c r="Z41" i="3"/>
  <c r="AC40" i="3"/>
  <c r="Z40" i="3"/>
  <c r="AC39" i="3"/>
  <c r="Z39" i="3"/>
  <c r="AC38" i="3"/>
  <c r="Z38" i="3"/>
  <c r="AC37" i="3"/>
  <c r="Z37" i="3"/>
  <c r="AC36" i="3"/>
  <c r="Z36" i="3"/>
  <c r="AC35" i="3"/>
  <c r="Z35" i="3"/>
  <c r="AC34" i="3"/>
  <c r="Z34" i="3"/>
  <c r="AC33" i="3"/>
  <c r="Z33" i="3"/>
  <c r="AC32" i="3"/>
  <c r="Z32" i="3"/>
  <c r="AC31" i="3"/>
  <c r="Z31" i="3"/>
  <c r="AC30" i="3"/>
  <c r="Z30" i="3"/>
  <c r="AC29" i="3"/>
  <c r="Z29" i="3"/>
  <c r="AC28" i="3"/>
  <c r="Z28" i="3"/>
  <c r="AC27" i="3"/>
  <c r="Z27" i="3"/>
  <c r="AC26" i="3"/>
  <c r="Z26" i="3"/>
  <c r="AC25" i="3"/>
  <c r="Z25" i="3"/>
  <c r="AC24" i="3"/>
  <c r="Z24" i="3"/>
  <c r="AC23" i="3"/>
  <c r="Z23" i="3"/>
  <c r="AC22" i="3"/>
  <c r="Z22" i="3"/>
  <c r="AC21" i="3"/>
  <c r="Z21" i="3"/>
  <c r="AC20" i="3"/>
  <c r="Z20" i="3"/>
  <c r="AC19" i="3"/>
  <c r="Z19" i="3"/>
  <c r="AC18" i="3"/>
  <c r="Z18" i="3"/>
  <c r="AC17" i="3"/>
  <c r="Z17" i="3"/>
  <c r="AC16" i="3"/>
  <c r="Z16" i="3"/>
  <c r="AC15" i="3"/>
  <c r="Z15" i="3"/>
  <c r="AC14" i="3"/>
  <c r="Z14" i="3"/>
  <c r="AC13" i="3"/>
  <c r="Z13" i="3"/>
  <c r="AC12" i="3"/>
  <c r="Z12" i="3"/>
  <c r="AC11" i="3"/>
  <c r="Z11" i="3"/>
  <c r="AC10" i="3"/>
  <c r="Z10" i="3"/>
  <c r="AC9" i="3"/>
  <c r="Z9" i="3"/>
  <c r="AC8" i="3"/>
  <c r="Z8" i="3"/>
  <c r="AD7" i="3"/>
  <c r="AC7" i="3"/>
  <c r="Z7" i="3"/>
  <c r="AD6" i="3"/>
  <c r="AC6" i="3"/>
  <c r="Z6" i="3"/>
  <c r="AD5" i="3"/>
  <c r="AC5" i="3"/>
  <c r="Z5" i="3"/>
  <c r="AD4" i="3"/>
  <c r="AC4" i="3"/>
  <c r="Z4" i="3"/>
  <c r="AD3" i="3"/>
  <c r="AC3" i="3"/>
  <c r="Z3" i="3"/>
  <c r="AD2" i="3"/>
  <c r="AC2" i="3"/>
  <c r="Z2" i="3"/>
  <c r="AF373" i="2"/>
  <c r="AE373" i="2"/>
  <c r="AD373" i="2"/>
  <c r="AF372" i="2"/>
  <c r="AE372" i="2"/>
  <c r="AD372" i="2"/>
  <c r="AF371" i="2"/>
  <c r="AE371" i="2"/>
  <c r="AD371" i="2"/>
  <c r="AF370" i="2"/>
  <c r="AE370" i="2"/>
  <c r="AD370" i="2"/>
  <c r="AF369" i="2"/>
  <c r="AE369" i="2"/>
  <c r="AD369" i="2"/>
  <c r="AF368" i="2"/>
  <c r="AE368" i="2"/>
  <c r="AD368" i="2"/>
  <c r="AF367" i="2"/>
  <c r="AE367" i="2"/>
  <c r="AD367" i="2"/>
  <c r="AF366" i="2"/>
  <c r="AE366" i="2"/>
  <c r="AD366" i="2"/>
  <c r="AF365" i="2"/>
  <c r="AE365" i="2"/>
  <c r="AD365" i="2"/>
  <c r="AF364" i="2"/>
  <c r="AE364" i="2"/>
  <c r="AD364" i="2"/>
  <c r="AF363" i="2"/>
  <c r="AE363" i="2"/>
  <c r="AD363" i="2"/>
  <c r="AF362" i="2"/>
  <c r="AE362" i="2"/>
  <c r="AD362" i="2"/>
  <c r="AF361" i="2"/>
  <c r="AE361" i="2"/>
  <c r="AD361" i="2"/>
  <c r="AF360" i="2"/>
  <c r="AE360" i="2"/>
  <c r="AD360" i="2"/>
  <c r="AF359" i="2"/>
  <c r="AE359" i="2"/>
  <c r="AD359" i="2"/>
  <c r="AF358" i="2"/>
  <c r="AE358" i="2"/>
  <c r="AD358" i="2"/>
  <c r="AF357" i="2"/>
  <c r="AE357" i="2"/>
  <c r="AD357" i="2"/>
  <c r="AF356" i="2"/>
  <c r="AE356" i="2"/>
  <c r="AD356" i="2"/>
  <c r="AF355" i="2"/>
  <c r="AE355" i="2"/>
  <c r="AD355" i="2"/>
  <c r="AF354" i="2"/>
  <c r="AE354" i="2"/>
  <c r="AD354" i="2"/>
  <c r="AF353" i="2"/>
  <c r="AE353" i="2"/>
  <c r="AD353" i="2"/>
  <c r="AF352" i="2"/>
  <c r="AE352" i="2"/>
  <c r="AD352" i="2"/>
  <c r="AF351" i="2"/>
  <c r="AE351" i="2"/>
  <c r="AD351" i="2"/>
  <c r="AF350" i="2"/>
  <c r="AE350" i="2"/>
  <c r="AD350" i="2"/>
  <c r="AF349" i="2"/>
  <c r="AE349" i="2"/>
  <c r="AD349" i="2"/>
  <c r="AF348" i="2"/>
  <c r="AE348" i="2"/>
  <c r="AD348" i="2"/>
  <c r="AF347" i="2"/>
  <c r="AE347" i="2"/>
  <c r="AD347" i="2"/>
  <c r="AF346" i="2"/>
  <c r="AE346" i="2"/>
  <c r="AD346" i="2"/>
  <c r="AF345" i="2"/>
  <c r="AE345" i="2"/>
  <c r="AD345" i="2"/>
  <c r="AF344" i="2"/>
  <c r="AE344" i="2"/>
  <c r="AD344" i="2"/>
  <c r="AF343" i="2"/>
  <c r="AE343" i="2"/>
  <c r="AD343" i="2"/>
  <c r="AF342" i="2"/>
  <c r="AE342" i="2"/>
  <c r="AD342" i="2"/>
  <c r="AF341" i="2"/>
  <c r="AE341" i="2"/>
  <c r="AD341" i="2"/>
  <c r="AF340" i="2"/>
  <c r="AE340" i="2"/>
  <c r="AD340" i="2"/>
  <c r="AF339" i="2"/>
  <c r="AE339" i="2"/>
  <c r="AD339" i="2"/>
  <c r="AF338" i="2"/>
  <c r="AE338" i="2"/>
  <c r="AD338" i="2"/>
  <c r="AF337" i="2"/>
  <c r="AE337" i="2"/>
  <c r="AD337" i="2"/>
  <c r="AF336" i="2"/>
  <c r="AE336" i="2"/>
  <c r="AD336" i="2"/>
  <c r="AF335" i="2"/>
  <c r="AE335" i="2"/>
  <c r="AD335" i="2"/>
  <c r="AF334" i="2"/>
  <c r="AE334" i="2"/>
  <c r="AD334" i="2"/>
  <c r="AF333" i="2"/>
  <c r="AE333" i="2"/>
  <c r="AD333" i="2"/>
  <c r="AF332" i="2"/>
  <c r="AE332" i="2"/>
  <c r="AD332" i="2"/>
  <c r="AF331" i="2"/>
  <c r="AE331" i="2"/>
  <c r="AD331" i="2"/>
  <c r="AF330" i="2"/>
  <c r="AE330" i="2"/>
  <c r="AD330" i="2"/>
  <c r="AF329" i="2"/>
  <c r="AE329" i="2"/>
  <c r="AD329" i="2"/>
  <c r="AF328" i="2"/>
  <c r="AE328" i="2"/>
  <c r="AD328" i="2"/>
  <c r="AF327" i="2"/>
  <c r="AE327" i="2"/>
  <c r="AD327" i="2"/>
  <c r="AF326" i="2"/>
  <c r="AE326" i="2"/>
  <c r="AD326" i="2"/>
  <c r="AF325" i="2"/>
  <c r="AE325" i="2"/>
  <c r="AD325" i="2"/>
  <c r="AF324" i="2"/>
  <c r="AE324" i="2"/>
  <c r="AD324" i="2"/>
  <c r="AF323" i="2"/>
  <c r="AE323" i="2"/>
  <c r="AD323" i="2"/>
  <c r="AF322" i="2"/>
  <c r="AE322" i="2"/>
  <c r="AD322" i="2"/>
  <c r="AF321" i="2"/>
  <c r="AE321" i="2"/>
  <c r="AD321" i="2"/>
  <c r="AF320" i="2"/>
  <c r="AE320" i="2"/>
  <c r="AD320" i="2"/>
  <c r="AF319" i="2"/>
  <c r="AE319" i="2"/>
  <c r="AD319" i="2"/>
  <c r="AF318" i="2"/>
  <c r="AE318" i="2"/>
  <c r="AD318" i="2"/>
  <c r="AF317" i="2"/>
  <c r="AE317" i="2"/>
  <c r="AD317" i="2"/>
  <c r="AF316" i="2"/>
  <c r="AE316" i="2"/>
  <c r="AD316" i="2"/>
  <c r="AF315" i="2"/>
  <c r="AE315" i="2"/>
  <c r="AD315" i="2"/>
  <c r="AF314" i="2"/>
  <c r="AE314" i="2"/>
  <c r="AD314" i="2"/>
  <c r="AF313" i="2"/>
  <c r="AE313" i="2"/>
  <c r="AD313" i="2"/>
  <c r="AF312" i="2"/>
  <c r="AE312" i="2"/>
  <c r="AD312" i="2"/>
  <c r="AF311" i="2"/>
  <c r="AE311" i="2"/>
  <c r="AD311" i="2"/>
  <c r="AF310" i="2"/>
  <c r="AE310" i="2"/>
  <c r="AD310" i="2"/>
  <c r="AF309" i="2"/>
  <c r="AE309" i="2"/>
  <c r="AD309" i="2"/>
  <c r="AF308" i="2"/>
  <c r="AE308" i="2"/>
  <c r="AD308" i="2"/>
  <c r="AF307" i="2"/>
  <c r="AE307" i="2"/>
  <c r="AD307" i="2"/>
  <c r="AF306" i="2"/>
  <c r="AE306" i="2"/>
  <c r="AD306" i="2"/>
  <c r="AF305" i="2"/>
  <c r="AE305" i="2"/>
  <c r="AD305" i="2"/>
  <c r="AF304" i="2"/>
  <c r="AE304" i="2"/>
  <c r="AD304" i="2"/>
  <c r="AF303" i="2"/>
  <c r="AE303" i="2"/>
  <c r="AD303" i="2"/>
  <c r="AF302" i="2"/>
  <c r="AE302" i="2"/>
  <c r="AD302" i="2"/>
  <c r="AF301" i="2"/>
  <c r="AE301" i="2"/>
  <c r="AD301" i="2"/>
  <c r="AF300" i="2"/>
  <c r="AE300" i="2"/>
  <c r="AD300" i="2"/>
  <c r="AF299" i="2"/>
  <c r="AE299" i="2"/>
  <c r="AD299" i="2"/>
  <c r="AF298" i="2"/>
  <c r="AE298" i="2"/>
  <c r="AD298" i="2"/>
  <c r="AF297" i="2"/>
  <c r="AE297" i="2"/>
  <c r="AD297" i="2"/>
  <c r="AF296" i="2"/>
  <c r="AE296" i="2"/>
  <c r="AD296" i="2"/>
  <c r="AF295" i="2"/>
  <c r="AE295" i="2"/>
  <c r="AD295" i="2"/>
  <c r="AF294" i="2"/>
  <c r="AE294" i="2"/>
  <c r="AD294" i="2"/>
  <c r="AF293" i="2"/>
  <c r="AE293" i="2"/>
  <c r="AD293" i="2"/>
  <c r="AF292" i="2"/>
  <c r="AE292" i="2"/>
  <c r="AD292" i="2"/>
  <c r="AF291" i="2"/>
  <c r="AE291" i="2"/>
  <c r="AD291" i="2"/>
  <c r="AF290" i="2"/>
  <c r="AE290" i="2"/>
  <c r="AD290" i="2"/>
  <c r="AF289" i="2"/>
  <c r="AE289" i="2"/>
  <c r="AD289" i="2"/>
  <c r="AF288" i="2"/>
  <c r="AE288" i="2"/>
  <c r="AD288" i="2"/>
  <c r="AF287" i="2"/>
  <c r="AE287" i="2"/>
  <c r="AD287" i="2"/>
  <c r="AF286" i="2"/>
  <c r="AE286" i="2"/>
  <c r="AD286" i="2"/>
  <c r="AF285" i="2"/>
  <c r="AE285" i="2"/>
  <c r="AD285" i="2"/>
  <c r="AF284" i="2"/>
  <c r="AE284" i="2"/>
  <c r="AD284" i="2"/>
  <c r="AF283" i="2"/>
  <c r="AE283" i="2"/>
  <c r="AD283" i="2"/>
  <c r="AF282" i="2"/>
  <c r="AE282" i="2"/>
  <c r="AD282" i="2"/>
  <c r="AF281" i="2"/>
  <c r="AE281" i="2"/>
  <c r="AD281" i="2"/>
  <c r="AF280" i="2"/>
  <c r="AE280" i="2"/>
  <c r="AD280" i="2"/>
  <c r="AF279" i="2"/>
  <c r="AE279" i="2"/>
  <c r="AD279" i="2"/>
  <c r="AF278" i="2"/>
  <c r="AE278" i="2"/>
  <c r="AD278" i="2"/>
  <c r="AF277" i="2"/>
  <c r="AE277" i="2"/>
  <c r="AD277" i="2"/>
  <c r="AF276" i="2"/>
  <c r="AE276" i="2"/>
  <c r="AD276" i="2"/>
  <c r="AF275" i="2"/>
  <c r="AE275" i="2"/>
  <c r="AD275" i="2"/>
  <c r="AF274" i="2"/>
  <c r="AE274" i="2"/>
  <c r="AD274" i="2"/>
  <c r="AF273" i="2"/>
  <c r="AE273" i="2"/>
  <c r="AD273" i="2"/>
  <c r="AF272" i="2"/>
  <c r="AE272" i="2"/>
  <c r="AD272" i="2"/>
  <c r="AF271" i="2"/>
  <c r="AE271" i="2"/>
  <c r="AD271" i="2"/>
  <c r="AF270" i="2"/>
  <c r="AE270" i="2"/>
  <c r="AD270" i="2"/>
  <c r="AF269" i="2"/>
  <c r="AE269" i="2"/>
  <c r="AD269" i="2"/>
  <c r="AF268" i="2"/>
  <c r="AE268" i="2"/>
  <c r="AD268" i="2"/>
  <c r="AF267" i="2"/>
  <c r="AE267" i="2"/>
  <c r="AD267" i="2"/>
  <c r="AF266" i="2"/>
  <c r="AE266" i="2"/>
  <c r="AD266" i="2"/>
  <c r="AF265" i="2"/>
  <c r="AE265" i="2"/>
  <c r="AD265" i="2"/>
  <c r="AF264" i="2"/>
  <c r="AE264" i="2"/>
  <c r="AD264" i="2"/>
  <c r="AF263" i="2"/>
  <c r="AE263" i="2"/>
  <c r="AD263" i="2"/>
  <c r="AF262" i="2"/>
  <c r="AE262" i="2"/>
  <c r="AD262" i="2"/>
  <c r="AF261" i="2"/>
  <c r="AE261" i="2"/>
  <c r="AD261" i="2"/>
  <c r="AF260" i="2"/>
  <c r="AE260" i="2"/>
  <c r="AD260" i="2"/>
  <c r="AF259" i="2"/>
  <c r="AE259" i="2"/>
  <c r="AD259" i="2"/>
  <c r="AF258" i="2"/>
  <c r="AE258" i="2"/>
  <c r="AD258" i="2"/>
  <c r="AF257" i="2"/>
  <c r="AE257" i="2"/>
  <c r="AD257" i="2"/>
  <c r="AF256" i="2"/>
  <c r="AE256" i="2"/>
  <c r="AD256" i="2"/>
  <c r="AF255" i="2"/>
  <c r="AE255" i="2"/>
  <c r="AD255" i="2"/>
  <c r="AF254" i="2"/>
  <c r="AE254" i="2"/>
  <c r="AD254" i="2"/>
  <c r="AF253" i="2"/>
  <c r="AE253" i="2"/>
  <c r="AD253" i="2"/>
  <c r="AF252" i="2"/>
  <c r="AE252" i="2"/>
  <c r="AD252" i="2"/>
  <c r="AF251" i="2"/>
  <c r="AE251" i="2"/>
  <c r="AD251" i="2"/>
  <c r="AF250" i="2"/>
  <c r="AE250" i="2"/>
  <c r="AD250" i="2"/>
  <c r="AF249" i="2"/>
  <c r="AE249" i="2"/>
  <c r="AD249" i="2"/>
  <c r="AF248" i="2"/>
  <c r="AE248" i="2"/>
  <c r="AD248" i="2"/>
  <c r="AF247" i="2"/>
  <c r="AE247" i="2"/>
  <c r="AD247" i="2"/>
  <c r="AF246" i="2"/>
  <c r="AE246" i="2"/>
  <c r="AD246" i="2"/>
  <c r="AF245" i="2"/>
  <c r="AE245" i="2"/>
  <c r="AD245" i="2"/>
  <c r="AF244" i="2"/>
  <c r="AE244" i="2"/>
  <c r="AD244" i="2"/>
  <c r="AF243" i="2"/>
  <c r="AE243" i="2"/>
  <c r="AD243" i="2"/>
  <c r="AF242" i="2"/>
  <c r="AE242" i="2"/>
  <c r="AD242" i="2"/>
  <c r="AF241" i="2"/>
  <c r="AE241" i="2"/>
  <c r="AD241" i="2"/>
  <c r="AF240" i="2"/>
  <c r="AE240" i="2"/>
  <c r="AD240" i="2"/>
  <c r="AF239" i="2"/>
  <c r="AE239" i="2"/>
  <c r="AD239" i="2"/>
  <c r="AF238" i="2"/>
  <c r="AE238" i="2"/>
  <c r="AD238" i="2"/>
  <c r="AF237" i="2"/>
  <c r="AE237" i="2"/>
  <c r="AD237" i="2"/>
  <c r="AF236" i="2"/>
  <c r="AE236" i="2"/>
  <c r="AD236" i="2"/>
  <c r="AF235" i="2"/>
  <c r="AE235" i="2"/>
  <c r="AD235" i="2"/>
  <c r="AF234" i="2"/>
  <c r="AE234" i="2"/>
  <c r="AD234" i="2"/>
  <c r="AF233" i="2"/>
  <c r="AE233" i="2"/>
  <c r="AD233" i="2"/>
  <c r="AF232" i="2"/>
  <c r="AE232" i="2"/>
  <c r="AD232" i="2"/>
  <c r="AF231" i="2"/>
  <c r="AE231" i="2"/>
  <c r="AD231" i="2"/>
  <c r="AF230" i="2"/>
  <c r="AE230" i="2"/>
  <c r="AD230" i="2"/>
  <c r="AF229" i="2"/>
  <c r="AE229" i="2"/>
  <c r="AD229" i="2"/>
  <c r="AF228" i="2"/>
  <c r="AE228" i="2"/>
  <c r="AD228" i="2"/>
  <c r="AF227" i="2"/>
  <c r="AE227" i="2"/>
  <c r="AD227" i="2"/>
  <c r="AF226" i="2"/>
  <c r="AE226" i="2"/>
  <c r="AD226" i="2"/>
  <c r="AF225" i="2"/>
  <c r="AE225" i="2"/>
  <c r="AD225" i="2"/>
  <c r="AF224" i="2"/>
  <c r="AE224" i="2"/>
  <c r="AD224" i="2"/>
  <c r="AF223" i="2"/>
  <c r="AE223" i="2"/>
  <c r="AD223" i="2"/>
  <c r="AF222" i="2"/>
  <c r="AE222" i="2"/>
  <c r="AD222" i="2"/>
  <c r="AF221" i="2"/>
  <c r="AE221" i="2"/>
  <c r="AD221" i="2"/>
  <c r="AF220" i="2"/>
  <c r="AE220" i="2"/>
  <c r="AD220" i="2"/>
  <c r="AF219" i="2"/>
  <c r="AE219" i="2"/>
  <c r="AD219" i="2"/>
  <c r="AF218" i="2"/>
  <c r="AE218" i="2"/>
  <c r="AD218" i="2"/>
  <c r="AF217" i="2"/>
  <c r="AE217" i="2"/>
  <c r="AD217" i="2"/>
  <c r="AF216" i="2"/>
  <c r="AE216" i="2"/>
  <c r="AD216" i="2"/>
  <c r="AF215" i="2"/>
  <c r="AE215" i="2"/>
  <c r="AD215" i="2"/>
  <c r="AF214" i="2"/>
  <c r="AE214" i="2"/>
  <c r="AD214" i="2"/>
  <c r="AF213" i="2"/>
  <c r="AE213" i="2"/>
  <c r="AD213" i="2"/>
  <c r="AF212" i="2"/>
  <c r="AE212" i="2"/>
  <c r="AD212" i="2"/>
  <c r="AF211" i="2"/>
  <c r="AE211" i="2"/>
  <c r="AD211" i="2"/>
  <c r="AF210" i="2"/>
  <c r="AE210" i="2"/>
  <c r="AD210" i="2"/>
  <c r="AF209" i="2"/>
  <c r="AE209" i="2"/>
  <c r="AD209" i="2"/>
  <c r="AF208" i="2"/>
  <c r="AE208" i="2"/>
  <c r="AD208" i="2"/>
  <c r="AF207" i="2"/>
  <c r="AE207" i="2"/>
  <c r="AD207" i="2"/>
  <c r="AF206" i="2"/>
  <c r="AE206" i="2"/>
  <c r="AD206" i="2"/>
  <c r="AF205" i="2"/>
  <c r="AE205" i="2"/>
  <c r="AD205" i="2"/>
  <c r="AF204" i="2"/>
  <c r="AE204" i="2"/>
  <c r="AD204" i="2"/>
  <c r="AF203" i="2"/>
  <c r="AE203" i="2"/>
  <c r="AD203" i="2"/>
  <c r="AF202" i="2"/>
  <c r="AE202" i="2"/>
  <c r="AD202" i="2"/>
  <c r="AF201" i="2"/>
  <c r="AE201" i="2"/>
  <c r="AD201" i="2"/>
  <c r="AF200" i="2"/>
  <c r="AE200" i="2"/>
  <c r="AD200" i="2"/>
  <c r="AF199" i="2"/>
  <c r="AE199" i="2"/>
  <c r="AD199" i="2"/>
  <c r="AF198" i="2"/>
  <c r="AE198" i="2"/>
  <c r="AD198" i="2"/>
  <c r="AF197" i="2"/>
  <c r="AE197" i="2"/>
  <c r="AD197" i="2"/>
  <c r="AF196" i="2"/>
  <c r="AE196" i="2"/>
  <c r="AD196" i="2"/>
  <c r="AF195" i="2"/>
  <c r="AE195" i="2"/>
  <c r="AD195" i="2"/>
  <c r="AF194" i="2"/>
  <c r="AE194" i="2"/>
  <c r="AD194" i="2"/>
  <c r="AF193" i="2"/>
  <c r="AE193" i="2"/>
  <c r="AD193" i="2"/>
  <c r="AF192" i="2"/>
  <c r="AE192" i="2"/>
  <c r="AD192" i="2"/>
  <c r="AF191" i="2"/>
  <c r="AE191" i="2"/>
  <c r="AD191" i="2"/>
  <c r="AF190" i="2"/>
  <c r="AE190" i="2"/>
  <c r="AD190" i="2"/>
  <c r="AF189" i="2"/>
  <c r="AE189" i="2"/>
  <c r="AD189" i="2"/>
  <c r="AF188" i="2"/>
  <c r="AE188" i="2"/>
  <c r="AD188" i="2"/>
  <c r="AF187" i="2"/>
  <c r="AE187" i="2"/>
  <c r="AD187" i="2"/>
  <c r="AF186" i="2"/>
  <c r="AE186" i="2"/>
  <c r="AD186" i="2"/>
  <c r="AF185" i="2"/>
  <c r="AE185" i="2"/>
  <c r="AD185" i="2"/>
  <c r="AF184" i="2"/>
  <c r="AE184" i="2"/>
  <c r="AD184" i="2"/>
  <c r="AF183" i="2"/>
  <c r="AE183" i="2"/>
  <c r="AD183" i="2"/>
  <c r="AF182" i="2"/>
  <c r="AE182" i="2"/>
  <c r="AD182" i="2"/>
  <c r="AF181" i="2"/>
  <c r="AE181" i="2"/>
  <c r="AD181" i="2"/>
  <c r="AF180" i="2"/>
  <c r="AE180" i="2"/>
  <c r="AD180" i="2"/>
  <c r="AF179" i="2"/>
  <c r="AE179" i="2"/>
  <c r="AD179" i="2"/>
  <c r="AF178" i="2"/>
  <c r="AE178" i="2"/>
  <c r="AD178" i="2"/>
  <c r="AF177" i="2"/>
  <c r="AE177" i="2"/>
  <c r="AD177" i="2"/>
  <c r="AF176" i="2"/>
  <c r="AE176" i="2"/>
  <c r="AD176" i="2"/>
  <c r="AF175" i="2"/>
  <c r="AE175" i="2"/>
  <c r="AD175" i="2"/>
  <c r="AF174" i="2"/>
  <c r="AE174" i="2"/>
  <c r="AD174" i="2"/>
  <c r="AF173" i="2"/>
  <c r="AE173" i="2"/>
  <c r="AD173" i="2"/>
  <c r="AF172" i="2"/>
  <c r="AE172" i="2"/>
  <c r="AD172" i="2"/>
  <c r="AF171" i="2"/>
  <c r="AE171" i="2"/>
  <c r="AD171" i="2"/>
  <c r="AF170" i="2"/>
  <c r="AE170" i="2"/>
  <c r="AD170" i="2"/>
  <c r="AF169" i="2"/>
  <c r="AE169" i="2"/>
  <c r="AD169" i="2"/>
  <c r="AF168" i="2"/>
  <c r="AE168" i="2"/>
  <c r="AD168" i="2"/>
  <c r="AF167" i="2"/>
  <c r="AE167" i="2"/>
  <c r="AD167" i="2"/>
  <c r="AF166" i="2"/>
  <c r="AE166" i="2"/>
  <c r="AD166" i="2"/>
  <c r="AF165" i="2"/>
  <c r="AE165" i="2"/>
  <c r="AD165" i="2"/>
  <c r="AF164" i="2"/>
  <c r="AE164" i="2"/>
  <c r="AD164" i="2"/>
  <c r="AF163" i="2"/>
  <c r="AE163" i="2"/>
  <c r="AD163" i="2"/>
  <c r="AF162" i="2"/>
  <c r="AE162" i="2"/>
  <c r="AD162" i="2"/>
  <c r="AF161" i="2"/>
  <c r="AE161" i="2"/>
  <c r="AD161" i="2"/>
  <c r="AF160" i="2"/>
  <c r="AE160" i="2"/>
  <c r="AD160" i="2"/>
  <c r="AF159" i="2"/>
  <c r="AE159" i="2"/>
  <c r="AD159" i="2"/>
  <c r="AF158" i="2"/>
  <c r="AE158" i="2"/>
  <c r="AD158" i="2"/>
  <c r="AF157" i="2"/>
  <c r="AE157" i="2"/>
  <c r="AD157" i="2"/>
  <c r="AF156" i="2"/>
  <c r="AE156" i="2"/>
  <c r="AD156" i="2"/>
  <c r="AF155" i="2"/>
  <c r="AE155" i="2"/>
  <c r="AD155" i="2"/>
  <c r="AF154" i="2"/>
  <c r="AE154" i="2"/>
  <c r="AD154" i="2"/>
  <c r="AF153" i="2"/>
  <c r="AE153" i="2"/>
  <c r="AD153" i="2"/>
  <c r="AF152" i="2"/>
  <c r="AE152" i="2"/>
  <c r="AD152" i="2"/>
  <c r="AF151" i="2"/>
  <c r="AE151" i="2"/>
  <c r="AD151" i="2"/>
  <c r="AF150" i="2"/>
  <c r="AE150" i="2"/>
  <c r="AD150" i="2"/>
  <c r="AF149" i="2"/>
  <c r="AE149" i="2"/>
  <c r="AD149" i="2"/>
  <c r="AF148" i="2"/>
  <c r="AE148" i="2"/>
  <c r="AD148" i="2"/>
  <c r="AF147" i="2"/>
  <c r="AE147" i="2"/>
  <c r="AD147" i="2"/>
  <c r="AF146" i="2"/>
  <c r="AE146" i="2"/>
  <c r="AD146" i="2"/>
  <c r="AF145" i="2"/>
  <c r="AE145" i="2"/>
  <c r="AD145" i="2"/>
  <c r="AF144" i="2"/>
  <c r="AE144" i="2"/>
  <c r="AD144" i="2"/>
  <c r="AF143" i="2"/>
  <c r="AE143" i="2"/>
  <c r="AD143" i="2"/>
  <c r="AF142" i="2"/>
  <c r="AE142" i="2"/>
  <c r="AD142" i="2"/>
  <c r="AF141" i="2"/>
  <c r="AE141" i="2"/>
  <c r="AD141" i="2"/>
  <c r="AF140" i="2"/>
  <c r="AE140" i="2"/>
  <c r="AD140" i="2"/>
  <c r="AF139" i="2"/>
  <c r="AE139" i="2"/>
  <c r="AD139" i="2"/>
  <c r="AF138" i="2"/>
  <c r="AE138" i="2"/>
  <c r="AD138" i="2"/>
  <c r="AF137" i="2"/>
  <c r="AE137" i="2"/>
  <c r="AD137" i="2"/>
  <c r="AF136" i="2"/>
  <c r="AE136" i="2"/>
  <c r="AD136" i="2"/>
  <c r="AF135" i="2"/>
  <c r="AE135" i="2"/>
  <c r="AD135" i="2"/>
  <c r="AF134" i="2"/>
  <c r="AE134" i="2"/>
  <c r="AD134" i="2"/>
  <c r="AF133" i="2"/>
  <c r="AE133" i="2"/>
  <c r="AD133" i="2"/>
  <c r="AF132" i="2"/>
  <c r="AE132" i="2"/>
  <c r="AD132" i="2"/>
  <c r="AF131" i="2"/>
  <c r="AE131" i="2"/>
  <c r="AD131" i="2"/>
  <c r="AF130" i="2"/>
  <c r="AE130" i="2"/>
  <c r="AD130" i="2"/>
  <c r="AF129" i="2"/>
  <c r="AE129" i="2"/>
  <c r="AD129" i="2"/>
  <c r="AF128" i="2"/>
  <c r="AE128" i="2"/>
  <c r="AD128" i="2"/>
  <c r="AF127" i="2"/>
  <c r="AE127" i="2"/>
  <c r="AD127" i="2"/>
  <c r="AF126" i="2"/>
  <c r="AE126" i="2"/>
  <c r="AD126" i="2"/>
  <c r="AF125" i="2"/>
  <c r="AE125" i="2"/>
  <c r="AD125" i="2"/>
  <c r="AF124" i="2"/>
  <c r="AE124" i="2"/>
  <c r="AD124" i="2"/>
  <c r="AF123" i="2"/>
  <c r="AE123" i="2"/>
  <c r="AD123" i="2"/>
  <c r="AF122" i="2"/>
  <c r="AE122" i="2"/>
  <c r="AD122" i="2"/>
  <c r="AF121" i="2"/>
  <c r="AE121" i="2"/>
  <c r="AD121" i="2"/>
  <c r="AF120" i="2"/>
  <c r="AE120" i="2"/>
  <c r="AD120" i="2"/>
  <c r="AF119" i="2"/>
  <c r="AE119" i="2"/>
  <c r="AD119" i="2"/>
  <c r="AF118" i="2"/>
  <c r="AE118" i="2"/>
  <c r="AD118" i="2"/>
  <c r="AF117" i="2"/>
  <c r="AE117" i="2"/>
  <c r="AD117" i="2"/>
  <c r="AF116" i="2"/>
  <c r="AE116" i="2"/>
  <c r="AD116" i="2"/>
  <c r="AF115" i="2"/>
  <c r="AE115" i="2"/>
  <c r="AD115" i="2"/>
  <c r="AF114" i="2"/>
  <c r="AE114" i="2"/>
  <c r="AD114" i="2"/>
  <c r="AF113" i="2"/>
  <c r="AE113" i="2"/>
  <c r="AD113" i="2"/>
  <c r="AF112" i="2"/>
  <c r="AE112" i="2"/>
  <c r="AD112" i="2"/>
  <c r="AF111" i="2"/>
  <c r="AE111" i="2"/>
  <c r="AD111" i="2"/>
  <c r="AF110" i="2"/>
  <c r="AE110" i="2"/>
  <c r="AD110" i="2"/>
  <c r="AF109" i="2"/>
  <c r="AE109" i="2"/>
  <c r="AD109" i="2"/>
  <c r="AF108" i="2"/>
  <c r="AE108" i="2"/>
  <c r="AD108" i="2"/>
  <c r="AF107" i="2"/>
  <c r="AE107" i="2"/>
  <c r="AD107" i="2"/>
  <c r="AF106" i="2"/>
  <c r="AE106" i="2"/>
  <c r="AD106" i="2"/>
  <c r="AF105" i="2"/>
  <c r="AE105" i="2"/>
  <c r="AD105" i="2"/>
  <c r="AF104" i="2"/>
  <c r="AE104" i="2"/>
  <c r="AD104" i="2"/>
  <c r="AF103" i="2"/>
  <c r="AE103" i="2"/>
  <c r="AD103" i="2"/>
  <c r="AF102" i="2"/>
  <c r="AE102" i="2"/>
  <c r="AD102" i="2"/>
  <c r="AF101" i="2"/>
  <c r="AE101" i="2"/>
  <c r="AD101" i="2"/>
  <c r="AF100" i="2"/>
  <c r="AE100" i="2"/>
  <c r="AD100" i="2"/>
  <c r="AF99" i="2"/>
  <c r="AE99" i="2"/>
  <c r="AD99" i="2"/>
  <c r="AF98" i="2"/>
  <c r="AE98" i="2"/>
  <c r="AD98" i="2"/>
  <c r="AF97" i="2"/>
  <c r="AE97" i="2"/>
  <c r="AD97" i="2"/>
  <c r="AF96" i="2"/>
  <c r="AE96" i="2"/>
  <c r="AD96" i="2"/>
  <c r="AF95" i="2"/>
  <c r="AE95" i="2"/>
  <c r="AD95" i="2"/>
  <c r="AF94" i="2"/>
  <c r="AE94" i="2"/>
  <c r="AD94" i="2"/>
  <c r="AF93" i="2"/>
  <c r="AE93" i="2"/>
  <c r="AD93" i="2"/>
  <c r="AF92" i="2"/>
  <c r="AE92" i="2"/>
  <c r="AD92" i="2"/>
  <c r="AF91" i="2"/>
  <c r="AE91" i="2"/>
  <c r="AD91" i="2"/>
  <c r="AF90" i="2"/>
  <c r="AE90" i="2"/>
  <c r="AD90" i="2"/>
  <c r="AF89" i="2"/>
  <c r="AE89" i="2"/>
  <c r="AD89" i="2"/>
  <c r="AF88" i="2"/>
  <c r="AE88" i="2"/>
  <c r="AD88" i="2"/>
  <c r="AF87" i="2"/>
  <c r="AE87" i="2"/>
  <c r="AD87" i="2"/>
  <c r="AF86" i="2"/>
  <c r="AE86" i="2"/>
  <c r="AD86" i="2"/>
  <c r="AF85" i="2"/>
  <c r="AE85" i="2"/>
  <c r="AD85" i="2"/>
  <c r="AF84" i="2"/>
  <c r="AE84" i="2"/>
  <c r="AD84" i="2"/>
  <c r="AF83" i="2"/>
  <c r="AE83" i="2"/>
  <c r="AD83" i="2"/>
  <c r="AF82" i="2"/>
  <c r="AE82" i="2"/>
  <c r="AD82" i="2"/>
  <c r="AF81" i="2"/>
  <c r="AE81" i="2"/>
  <c r="AD81" i="2"/>
  <c r="AF80" i="2"/>
  <c r="AE80" i="2"/>
  <c r="AD80" i="2"/>
  <c r="AF79" i="2"/>
  <c r="AE79" i="2"/>
  <c r="AD79" i="2"/>
  <c r="AF78" i="2"/>
  <c r="AE78" i="2"/>
  <c r="AD78" i="2"/>
  <c r="AF77" i="2"/>
  <c r="AE77" i="2"/>
  <c r="AD77" i="2"/>
  <c r="AF76" i="2"/>
  <c r="AE76" i="2"/>
  <c r="AD76" i="2"/>
  <c r="AF75" i="2"/>
  <c r="AE75" i="2"/>
  <c r="AD75" i="2"/>
  <c r="AF74" i="2"/>
  <c r="AE74" i="2"/>
  <c r="AD74" i="2"/>
  <c r="AF73" i="2"/>
  <c r="AE73" i="2"/>
  <c r="AD73" i="2"/>
  <c r="AF72" i="2"/>
  <c r="AE72" i="2"/>
  <c r="AD72" i="2"/>
  <c r="AF71" i="2"/>
  <c r="AE71" i="2"/>
  <c r="AD71" i="2"/>
  <c r="AF70" i="2"/>
  <c r="AE70" i="2"/>
  <c r="AD70" i="2"/>
  <c r="AF69" i="2"/>
  <c r="AE69" i="2"/>
  <c r="AD69" i="2"/>
  <c r="AF68" i="2"/>
  <c r="AE68" i="2"/>
  <c r="AD68" i="2"/>
  <c r="AF67" i="2"/>
  <c r="AE67" i="2"/>
  <c r="AD67" i="2"/>
  <c r="AF66" i="2"/>
  <c r="AE66" i="2"/>
  <c r="AD66" i="2"/>
  <c r="AF65" i="2"/>
  <c r="AE65" i="2"/>
  <c r="AD65" i="2"/>
  <c r="AF64" i="2"/>
  <c r="AE64" i="2"/>
  <c r="AD64" i="2"/>
  <c r="AF63" i="2"/>
  <c r="AE63" i="2"/>
  <c r="AD63" i="2"/>
  <c r="AF62" i="2"/>
  <c r="AE62" i="2"/>
  <c r="AD62" i="2"/>
  <c r="AF61" i="2"/>
  <c r="AE61" i="2"/>
  <c r="AD61" i="2"/>
  <c r="AF60" i="2"/>
  <c r="AE60" i="2"/>
  <c r="AD60" i="2"/>
  <c r="AF59" i="2"/>
  <c r="AE59" i="2"/>
  <c r="AD59" i="2"/>
  <c r="AF58" i="2"/>
  <c r="AE58" i="2"/>
  <c r="AD58" i="2"/>
  <c r="AF57" i="2"/>
  <c r="AE57" i="2"/>
  <c r="AD57" i="2"/>
  <c r="AF56" i="2"/>
  <c r="AE56" i="2"/>
  <c r="AD56" i="2"/>
  <c r="AF55" i="2"/>
  <c r="AE55" i="2"/>
  <c r="AD55" i="2"/>
  <c r="AF54" i="2"/>
  <c r="AE54" i="2"/>
  <c r="AD54" i="2"/>
  <c r="AF53" i="2"/>
  <c r="AE53" i="2"/>
  <c r="AD53" i="2"/>
  <c r="AF52" i="2"/>
  <c r="AE52" i="2"/>
  <c r="AD52" i="2"/>
  <c r="AF51" i="2"/>
  <c r="AE51" i="2"/>
  <c r="AD51" i="2"/>
  <c r="AF50" i="2"/>
  <c r="AE50" i="2"/>
  <c r="AD50" i="2"/>
  <c r="AF49" i="2"/>
  <c r="AE49" i="2"/>
  <c r="AD49" i="2"/>
  <c r="AF48" i="2"/>
  <c r="AE48" i="2"/>
  <c r="AD48" i="2"/>
  <c r="AF47" i="2"/>
  <c r="AE47" i="2"/>
  <c r="AD47" i="2"/>
  <c r="AF46" i="2"/>
  <c r="AE46" i="2"/>
  <c r="AD46" i="2"/>
  <c r="AF45" i="2"/>
  <c r="AE45" i="2"/>
  <c r="AD45" i="2"/>
  <c r="AF44" i="2"/>
  <c r="AE44" i="2"/>
  <c r="AD44" i="2"/>
  <c r="AF43" i="2"/>
  <c r="AE43" i="2"/>
  <c r="AD43" i="2"/>
  <c r="AF42" i="2"/>
  <c r="AE42" i="2"/>
  <c r="AD42" i="2"/>
  <c r="AF41" i="2"/>
  <c r="AE41" i="2"/>
  <c r="AD41" i="2"/>
  <c r="AF40" i="2"/>
  <c r="AE40" i="2"/>
  <c r="AD40" i="2"/>
  <c r="AF39" i="2"/>
  <c r="AE39" i="2"/>
  <c r="AD39" i="2"/>
  <c r="AF38" i="2"/>
  <c r="AE38" i="2"/>
  <c r="AD38" i="2"/>
  <c r="AF37" i="2"/>
  <c r="AE37" i="2"/>
  <c r="AD37" i="2"/>
  <c r="AF36" i="2"/>
  <c r="AE36" i="2"/>
  <c r="AD36" i="2"/>
  <c r="AF35" i="2"/>
  <c r="AE35" i="2"/>
  <c r="AD35" i="2"/>
  <c r="AF34" i="2"/>
  <c r="AE34" i="2"/>
  <c r="AD34" i="2"/>
  <c r="AF33" i="2"/>
  <c r="AE33" i="2"/>
  <c r="AD33" i="2"/>
  <c r="AF32" i="2"/>
  <c r="AE32" i="2"/>
  <c r="AD32" i="2"/>
  <c r="AF31" i="2"/>
  <c r="AE31" i="2"/>
  <c r="AD31" i="2"/>
  <c r="AF30" i="2"/>
  <c r="AE30" i="2"/>
  <c r="AD30" i="2"/>
  <c r="AF29" i="2"/>
  <c r="AE29" i="2"/>
  <c r="AD29" i="2"/>
  <c r="AF28" i="2"/>
  <c r="AE28" i="2"/>
  <c r="AD28" i="2"/>
  <c r="AF27" i="2"/>
  <c r="AE27" i="2"/>
  <c r="AD27" i="2"/>
  <c r="AF26" i="2"/>
  <c r="AE26" i="2"/>
  <c r="AD26" i="2"/>
  <c r="AF25" i="2"/>
  <c r="AE25" i="2"/>
  <c r="AD25" i="2"/>
  <c r="AF24" i="2"/>
  <c r="AE24" i="2"/>
  <c r="AD24" i="2"/>
  <c r="AF23" i="2"/>
  <c r="AE23" i="2"/>
  <c r="AD23" i="2"/>
  <c r="AF22" i="2"/>
  <c r="AE22" i="2"/>
  <c r="AD22" i="2"/>
  <c r="AF21" i="2"/>
  <c r="AE21" i="2"/>
  <c r="AD21" i="2"/>
  <c r="AF20" i="2"/>
  <c r="AE20" i="2"/>
  <c r="AD20" i="2"/>
  <c r="AF19" i="2"/>
  <c r="AE19" i="2"/>
  <c r="AD19" i="2"/>
  <c r="AF18" i="2"/>
  <c r="AE18" i="2"/>
  <c r="AD18" i="2"/>
  <c r="AF17" i="2"/>
  <c r="AE17" i="2"/>
  <c r="AD17" i="2"/>
  <c r="AF16" i="2"/>
  <c r="AE16" i="2"/>
  <c r="AD16" i="2"/>
  <c r="AF15" i="2"/>
  <c r="AE15" i="2"/>
  <c r="AD15" i="2"/>
  <c r="AF14" i="2"/>
  <c r="AE14" i="2"/>
  <c r="AD14" i="2"/>
  <c r="AF13" i="2"/>
  <c r="AE13" i="2"/>
  <c r="AD13" i="2"/>
  <c r="AF12" i="2"/>
  <c r="AE12" i="2"/>
  <c r="AD12" i="2"/>
  <c r="AF11" i="2"/>
  <c r="AE11" i="2"/>
  <c r="AD11" i="2"/>
  <c r="AF10" i="2"/>
  <c r="AE10" i="2"/>
  <c r="AD10" i="2"/>
  <c r="AF9" i="2"/>
  <c r="AE9" i="2"/>
  <c r="AD9" i="2"/>
  <c r="AF8" i="2"/>
  <c r="AE8" i="2"/>
  <c r="AD8" i="2"/>
  <c r="AF7" i="2"/>
  <c r="AE7" i="2"/>
  <c r="AD7" i="2"/>
  <c r="AF6" i="2"/>
  <c r="AE6" i="2"/>
  <c r="AD6" i="2"/>
  <c r="AF5" i="2"/>
  <c r="AE5" i="2"/>
  <c r="AD5" i="2"/>
  <c r="AF4" i="2"/>
  <c r="AE4" i="2"/>
  <c r="AD4" i="2"/>
  <c r="AF3" i="2"/>
  <c r="AE3" i="2"/>
  <c r="AD3" i="2"/>
  <c r="AF2" i="2"/>
  <c r="AE2" i="2"/>
  <c r="AD2" i="2"/>
</calcChain>
</file>

<file path=xl/sharedStrings.xml><?xml version="1.0" encoding="utf-8"?>
<sst xmlns="http://schemas.openxmlformats.org/spreadsheetml/2006/main" count="16514" uniqueCount="3425">
  <si>
    <t>No</t>
  </si>
  <si>
    <t>背番号</t>
  </si>
  <si>
    <t>選手名</t>
  </si>
  <si>
    <t>守備位置</t>
  </si>
  <si>
    <t>生年月日</t>
  </si>
  <si>
    <t>年齢</t>
  </si>
  <si>
    <t>年数</t>
  </si>
  <si>
    <t>身長</t>
  </si>
  <si>
    <t>体重</t>
  </si>
  <si>
    <t>血液型</t>
  </si>
  <si>
    <t>投打</t>
  </si>
  <si>
    <t>出身</t>
  </si>
  <si>
    <t>年俸</t>
  </si>
  <si>
    <t>コード</t>
  </si>
  <si>
    <t>1</t>
  </si>
  <si>
    <t>0</t>
  </si>
  <si>
    <r>
      <rPr>
        <u/>
        <sz val="11"/>
        <color rgb="FF1155CC"/>
        <rFont val="Arial"/>
        <scheme val="minor"/>
      </rPr>
      <t>木浪 聖也</t>
    </r>
  </si>
  <si>
    <t>内野手</t>
  </si>
  <si>
    <t>32歳</t>
  </si>
  <si>
    <t>8年</t>
  </si>
  <si>
    <t>179cm</t>
  </si>
  <si>
    <t>81kg</t>
  </si>
  <si>
    <t>O型</t>
  </si>
  <si>
    <t>右左</t>
  </si>
  <si>
    <t>青森</t>
  </si>
  <si>
    <t>5,500万円</t>
  </si>
  <si>
    <t>t</t>
  </si>
  <si>
    <t>2</t>
  </si>
  <si>
    <t>00</t>
  </si>
  <si>
    <r>
      <rPr>
        <u/>
        <sz val="11"/>
        <color rgb="FF1155CC"/>
        <rFont val="Arial"/>
        <scheme val="minor"/>
      </rPr>
      <t>元山 飛優</t>
    </r>
  </si>
  <si>
    <t>27歳</t>
  </si>
  <si>
    <t>6年</t>
  </si>
  <si>
    <t>181cm</t>
  </si>
  <si>
    <t>82kg</t>
  </si>
  <si>
    <t>AB型</t>
  </si>
  <si>
    <t>大阪</t>
  </si>
  <si>
    <t>1,200万円</t>
  </si>
  <si>
    <t>3</t>
  </si>
  <si>
    <r>
      <rPr>
        <u/>
        <sz val="11"/>
        <color rgb="FF1155CC"/>
        <rFont val="Arial"/>
        <scheme val="minor"/>
      </rPr>
      <t>森下 翔太</t>
    </r>
  </si>
  <si>
    <t>外野手</t>
  </si>
  <si>
    <t>26歳</t>
  </si>
  <si>
    <t>4年</t>
  </si>
  <si>
    <t>182cm</t>
  </si>
  <si>
    <t>93kg</t>
  </si>
  <si>
    <t>右右</t>
  </si>
  <si>
    <t>神奈川</t>
  </si>
  <si>
    <t>21,000万円</t>
  </si>
  <si>
    <t>4</t>
  </si>
  <si>
    <r>
      <rPr>
        <u/>
        <sz val="11"/>
        <color rgb="FF1155CC"/>
        <rFont val="Arial"/>
        <scheme val="minor"/>
      </rPr>
      <t>梅野 隆太郎</t>
    </r>
  </si>
  <si>
    <t>捕手</t>
  </si>
  <si>
    <t>35歳</t>
  </si>
  <si>
    <t>13年</t>
  </si>
  <si>
    <t>173cm</t>
  </si>
  <si>
    <t>75kg</t>
  </si>
  <si>
    <t>A型</t>
  </si>
  <si>
    <t>福岡</t>
  </si>
  <si>
    <t>12,000万円</t>
  </si>
  <si>
    <t>5</t>
  </si>
  <si>
    <r>
      <rPr>
        <u/>
        <sz val="11"/>
        <color rgb="FF1155CC"/>
        <rFont val="Arial"/>
        <scheme val="minor"/>
      </rPr>
      <t>大山 悠輔</t>
    </r>
  </si>
  <si>
    <t>31歳</t>
  </si>
  <si>
    <t>10年</t>
  </si>
  <si>
    <t>96kg</t>
  </si>
  <si>
    <t>茨城</t>
  </si>
  <si>
    <t>34,000万円</t>
  </si>
  <si>
    <t>6</t>
  </si>
  <si>
    <r>
      <rPr>
        <u/>
        <sz val="11"/>
        <color rgb="FF1155CC"/>
        <rFont val="Arial"/>
        <scheme val="minor"/>
      </rPr>
      <t>熊谷 敬宥</t>
    </r>
  </si>
  <si>
    <t>30歳</t>
  </si>
  <si>
    <t>9年</t>
  </si>
  <si>
    <t>175cm</t>
  </si>
  <si>
    <t>69kg</t>
  </si>
  <si>
    <t>宮城</t>
  </si>
  <si>
    <t>3,000万円</t>
  </si>
  <si>
    <t>7</t>
  </si>
  <si>
    <r>
      <rPr>
        <u/>
        <sz val="11"/>
        <color rgb="FF1155CC"/>
        <rFont val="Arial"/>
        <scheme val="minor"/>
      </rPr>
      <t>近本 光司</t>
    </r>
  </si>
  <si>
    <t>171cm</t>
  </si>
  <si>
    <t>71kg</t>
  </si>
  <si>
    <t>B型</t>
  </si>
  <si>
    <t>左左</t>
  </si>
  <si>
    <t>兵庫</t>
  </si>
  <si>
    <t>50,000万円</t>
  </si>
  <si>
    <t>8</t>
  </si>
  <si>
    <r>
      <rPr>
        <u/>
        <sz val="11"/>
        <color rgb="FF1155CC"/>
        <rFont val="Arial"/>
        <scheme val="minor"/>
      </rPr>
      <t>中野 拓夢</t>
    </r>
  </si>
  <si>
    <t>172cm</t>
  </si>
  <si>
    <t>68kg</t>
  </si>
  <si>
    <t>山形</t>
  </si>
  <si>
    <t>30,000万円</t>
  </si>
  <si>
    <t>9</t>
  </si>
  <si>
    <r>
      <rPr>
        <u/>
        <sz val="11"/>
        <color rgb="FF1155CC"/>
        <rFont val="Arial"/>
        <scheme val="minor"/>
      </rPr>
      <t>佐藤 輝明</t>
    </r>
  </si>
  <si>
    <t>187cm</t>
  </si>
  <si>
    <t>45,000万円</t>
  </si>
  <si>
    <t>10</t>
  </si>
  <si>
    <r>
      <rPr>
        <u/>
        <sz val="11"/>
        <color rgb="FF1155CC"/>
        <rFont val="Arial"/>
        <scheme val="minor"/>
      </rPr>
      <t>立石 正広</t>
    </r>
  </si>
  <si>
    <t>22歳</t>
  </si>
  <si>
    <t>1年</t>
  </si>
  <si>
    <t>180cm</t>
  </si>
  <si>
    <t>87kg</t>
  </si>
  <si>
    <t>山口</t>
  </si>
  <si>
    <t>1,600万円</t>
  </si>
  <si>
    <t>11</t>
  </si>
  <si>
    <t>12</t>
  </si>
  <si>
    <r>
      <rPr>
        <u/>
        <sz val="11"/>
        <color rgb="FF1155CC"/>
        <rFont val="Arial"/>
        <scheme val="minor"/>
      </rPr>
      <t>坂本 誠志郎</t>
    </r>
  </si>
  <si>
    <t>11年</t>
  </si>
  <si>
    <t>176cm</t>
  </si>
  <si>
    <t>79kg</t>
  </si>
  <si>
    <t>10,000万円</t>
  </si>
  <si>
    <t>13</t>
  </si>
  <si>
    <r>
      <rPr>
        <u/>
        <sz val="11"/>
        <color rgb="FF1155CC"/>
        <rFont val="Arial"/>
        <scheme val="minor"/>
      </rPr>
      <t>岩崎 優</t>
    </r>
  </si>
  <si>
    <t>投手</t>
  </si>
  <si>
    <t>185cm</t>
  </si>
  <si>
    <t>92kg</t>
  </si>
  <si>
    <t>静岡</t>
  </si>
  <si>
    <t>20,000万円</t>
  </si>
  <si>
    <t>14</t>
  </si>
  <si>
    <r>
      <rPr>
        <u/>
        <sz val="11"/>
        <color rgb="FF1155CC"/>
        <rFont val="Arial"/>
        <scheme val="minor"/>
      </rPr>
      <t>岩貞 祐太</t>
    </r>
  </si>
  <si>
    <t>183cm</t>
  </si>
  <si>
    <t>86kg</t>
  </si>
  <si>
    <t>熊本</t>
  </si>
  <si>
    <t>16</t>
  </si>
  <si>
    <r>
      <rPr>
        <u/>
        <sz val="11"/>
        <color rgb="FF1155CC"/>
        <rFont val="Arial"/>
        <scheme val="minor"/>
      </rPr>
      <t>西 勇輝</t>
    </r>
  </si>
  <si>
    <t>18年</t>
  </si>
  <si>
    <t>83kg</t>
  </si>
  <si>
    <t>三重</t>
  </si>
  <si>
    <t>15</t>
  </si>
  <si>
    <t>17</t>
  </si>
  <si>
    <r>
      <rPr>
        <u/>
        <sz val="11"/>
        <color rgb="FF1155CC"/>
        <rFont val="Arial"/>
        <scheme val="minor"/>
      </rPr>
      <t>伏見 寅威</t>
    </r>
  </si>
  <si>
    <t>36歳</t>
  </si>
  <si>
    <t>14年</t>
  </si>
  <si>
    <t>89kg</t>
  </si>
  <si>
    <t>北海道</t>
  </si>
  <si>
    <t>18</t>
  </si>
  <si>
    <r>
      <rPr>
        <u/>
        <sz val="11"/>
        <color rgb="FF1155CC"/>
        <rFont val="Arial"/>
        <scheme val="minor"/>
      </rPr>
      <t>伊原 陵人</t>
    </r>
  </si>
  <si>
    <t>2年</t>
  </si>
  <si>
    <t>170cm</t>
  </si>
  <si>
    <t>奈良</t>
  </si>
  <si>
    <t>3,600万円</t>
  </si>
  <si>
    <t>19</t>
  </si>
  <si>
    <r>
      <rPr>
        <u/>
        <sz val="11"/>
        <color rgb="FF1155CC"/>
        <rFont val="Arial"/>
        <scheme val="minor"/>
      </rPr>
      <t>下村 海翔</t>
    </r>
  </si>
  <si>
    <t>24歳</t>
  </si>
  <si>
    <t>3年</t>
  </si>
  <si>
    <t>174cm</t>
  </si>
  <si>
    <t>70kg</t>
  </si>
  <si>
    <t>1,100万円</t>
  </si>
  <si>
    <t>21</t>
  </si>
  <si>
    <r>
      <rPr>
        <u/>
        <sz val="11"/>
        <color rgb="FF1155CC"/>
        <rFont val="Arial"/>
        <scheme val="minor"/>
      </rPr>
      <t>大竹 耕太郎</t>
    </r>
  </si>
  <si>
    <t>184cm</t>
  </si>
  <si>
    <t>13,000万円</t>
  </si>
  <si>
    <t>24</t>
  </si>
  <si>
    <r>
      <rPr>
        <u/>
        <sz val="11"/>
        <color rgb="FF1155CC"/>
        <rFont val="Arial"/>
        <scheme val="minor"/>
      </rPr>
      <t>ディベイニー</t>
    </r>
  </si>
  <si>
    <t>29歳</t>
  </si>
  <si>
    <t>88kg</t>
  </si>
  <si>
    <t>不明</t>
  </si>
  <si>
    <t>アメリカ</t>
  </si>
  <si>
    <t>13,950万円</t>
  </si>
  <si>
    <t>20</t>
  </si>
  <si>
    <t>25</t>
  </si>
  <si>
    <r>
      <rPr>
        <u/>
        <sz val="11"/>
        <color rgb="FF1155CC"/>
        <rFont val="Arial"/>
        <scheme val="minor"/>
      </rPr>
      <t>谷端 将伍</t>
    </r>
  </si>
  <si>
    <t>178cm</t>
  </si>
  <si>
    <t>80kg</t>
  </si>
  <si>
    <t>石川</t>
  </si>
  <si>
    <t>26</t>
  </si>
  <si>
    <r>
      <rPr>
        <u/>
        <sz val="11"/>
        <color rgb="FF1155CC"/>
        <rFont val="Arial"/>
        <scheme val="minor"/>
      </rPr>
      <t>椎葉 剛</t>
    </r>
  </si>
  <si>
    <t>1,000万円</t>
  </si>
  <si>
    <t>22</t>
  </si>
  <si>
    <t>27</t>
  </si>
  <si>
    <r>
      <rPr>
        <u/>
        <sz val="11"/>
        <color rgb="FF1155CC"/>
        <rFont val="Arial"/>
        <scheme val="minor"/>
      </rPr>
      <t>伊藤 将司</t>
    </r>
  </si>
  <si>
    <t>千葉</t>
  </si>
  <si>
    <t>14,000万円</t>
  </si>
  <si>
    <t>23</t>
  </si>
  <si>
    <t>28</t>
  </si>
  <si>
    <r>
      <rPr>
        <u/>
        <sz val="11"/>
        <color rgb="FF1155CC"/>
        <rFont val="Arial"/>
        <scheme val="minor"/>
      </rPr>
      <t>今朝丸 裕喜</t>
    </r>
  </si>
  <si>
    <t>20歳</t>
  </si>
  <si>
    <t>188cm</t>
  </si>
  <si>
    <t>720万円</t>
  </si>
  <si>
    <t>29</t>
  </si>
  <si>
    <r>
      <rPr>
        <u/>
        <sz val="11"/>
        <color rgb="FF1155CC"/>
        <rFont val="Arial"/>
        <scheme val="minor"/>
      </rPr>
      <t>髙橋 遥人</t>
    </r>
  </si>
  <si>
    <t>30</t>
  </si>
  <si>
    <r>
      <rPr>
        <u/>
        <sz val="11"/>
        <color rgb="FF1155CC"/>
        <rFont val="Arial"/>
        <scheme val="minor"/>
      </rPr>
      <t>門別 啓人</t>
    </r>
  </si>
  <si>
    <t>32</t>
  </si>
  <si>
    <r>
      <rPr>
        <u/>
        <sz val="11"/>
        <color rgb="FF1155CC"/>
        <rFont val="Arial"/>
        <scheme val="minor"/>
      </rPr>
      <t>濱田 太貴</t>
    </r>
  </si>
  <si>
    <t>177cm</t>
  </si>
  <si>
    <t>33</t>
  </si>
  <si>
    <r>
      <rPr>
        <u/>
        <sz val="11"/>
        <color rgb="FF1155CC"/>
        <rFont val="Arial"/>
        <scheme val="minor"/>
      </rPr>
      <t>糸原 健斗</t>
    </r>
  </si>
  <si>
    <t>33歳</t>
  </si>
  <si>
    <t>島根</t>
  </si>
  <si>
    <t>34</t>
  </si>
  <si>
    <r>
      <rPr>
        <u/>
        <sz val="11"/>
        <color rgb="FF1155CC"/>
        <rFont val="Arial"/>
        <scheme val="minor"/>
      </rPr>
      <t>岡城 快生</t>
    </r>
  </si>
  <si>
    <t>23歳</t>
  </si>
  <si>
    <t>岡山</t>
  </si>
  <si>
    <t>960万円</t>
  </si>
  <si>
    <t>35</t>
  </si>
  <si>
    <r>
      <rPr>
        <u/>
        <sz val="11"/>
        <color rgb="FF1155CC"/>
        <rFont val="Arial"/>
        <scheme val="minor"/>
      </rPr>
      <t>才木 浩人</t>
    </r>
  </si>
  <si>
    <t>189cm</t>
  </si>
  <si>
    <t>90kg</t>
  </si>
  <si>
    <t>25,000万円</t>
  </si>
  <si>
    <t>36</t>
  </si>
  <si>
    <r>
      <rPr>
        <u/>
        <sz val="11"/>
        <color rgb="FF1155CC"/>
        <rFont val="Arial"/>
        <scheme val="minor"/>
      </rPr>
      <t>畠 世周</t>
    </r>
  </si>
  <si>
    <t>186cm</t>
  </si>
  <si>
    <t>94kg</t>
  </si>
  <si>
    <t>広島</t>
  </si>
  <si>
    <t>2,000万円</t>
  </si>
  <si>
    <t>31</t>
  </si>
  <si>
    <t>37</t>
  </si>
  <si>
    <r>
      <rPr>
        <u/>
        <sz val="11"/>
        <color rgb="FF1155CC"/>
        <rFont val="Arial"/>
        <scheme val="minor"/>
      </rPr>
      <t>及川 雅貴</t>
    </r>
  </si>
  <si>
    <t>25歳</t>
  </si>
  <si>
    <t>7年</t>
  </si>
  <si>
    <t>38</t>
  </si>
  <si>
    <r>
      <rPr>
        <u/>
        <sz val="11"/>
        <color rgb="FF1155CC"/>
        <rFont val="Arial"/>
        <scheme val="minor"/>
      </rPr>
      <t>小幡 竜平</t>
    </r>
  </si>
  <si>
    <t>78kg</t>
  </si>
  <si>
    <t>大分</t>
  </si>
  <si>
    <t>4,000万円</t>
  </si>
  <si>
    <t>39</t>
  </si>
  <si>
    <r>
      <rPr>
        <u/>
        <sz val="11"/>
        <color rgb="FF1155CC"/>
        <rFont val="Arial"/>
        <scheme val="minor"/>
      </rPr>
      <t>榮枝 裕貴</t>
    </r>
  </si>
  <si>
    <t>28歳</t>
  </si>
  <si>
    <t>84kg</t>
  </si>
  <si>
    <t>高知</t>
  </si>
  <si>
    <t>40</t>
  </si>
  <si>
    <r>
      <rPr>
        <u/>
        <sz val="11"/>
        <color rgb="FF1155CC"/>
        <rFont val="Arial"/>
        <scheme val="minor"/>
      </rPr>
      <t>井坪 陽生</t>
    </r>
  </si>
  <si>
    <t>21歳</t>
  </si>
  <si>
    <t>東京</t>
  </si>
  <si>
    <t>700万円</t>
  </si>
  <si>
    <t>41</t>
  </si>
  <si>
    <r>
      <rPr>
        <u/>
        <sz val="11"/>
        <color rgb="FF1155CC"/>
        <rFont val="Arial"/>
        <scheme val="minor"/>
      </rPr>
      <t>村上 頌樹</t>
    </r>
  </si>
  <si>
    <t>23,000万円</t>
  </si>
  <si>
    <t>42</t>
  </si>
  <si>
    <r>
      <rPr>
        <u/>
        <sz val="11"/>
        <color rgb="FF1155CC"/>
        <rFont val="Arial"/>
        <scheme val="minor"/>
      </rPr>
      <t>ルーカス</t>
    </r>
  </si>
  <si>
    <t>191cm</t>
  </si>
  <si>
    <t>18,600万円</t>
  </si>
  <si>
    <t>43</t>
  </si>
  <si>
    <r>
      <rPr>
        <u/>
        <sz val="11"/>
        <color rgb="FF1155CC"/>
        <rFont val="Arial"/>
        <scheme val="minor"/>
      </rPr>
      <t>町田 隼乙</t>
    </r>
  </si>
  <si>
    <t>730万円</t>
  </si>
  <si>
    <t>44</t>
  </si>
  <si>
    <r>
      <rPr>
        <u/>
        <sz val="11"/>
        <color rgb="FF1155CC"/>
        <rFont val="Arial"/>
        <scheme val="minor"/>
      </rPr>
      <t>早瀬 朔</t>
    </r>
  </si>
  <si>
    <t>19歳</t>
  </si>
  <si>
    <t>480万円</t>
  </si>
  <si>
    <t>45</t>
  </si>
  <si>
    <r>
      <rPr>
        <u/>
        <sz val="11"/>
        <color rgb="FF1155CC"/>
        <rFont val="Arial"/>
        <scheme val="minor"/>
      </rPr>
      <t>佐野 大陽</t>
    </r>
  </si>
  <si>
    <t>46</t>
  </si>
  <si>
    <r>
      <rPr>
        <u/>
        <sz val="11"/>
        <color rgb="FF1155CC"/>
        <rFont val="Arial"/>
        <scheme val="minor"/>
      </rPr>
      <t>ラグズデール</t>
    </r>
  </si>
  <si>
    <t>203cm</t>
  </si>
  <si>
    <t>106kg</t>
  </si>
  <si>
    <t>12,400万円</t>
  </si>
  <si>
    <t>47</t>
  </si>
  <si>
    <r>
      <rPr>
        <u/>
        <sz val="11"/>
        <color rgb="FF1155CC"/>
        <rFont val="Arial"/>
        <scheme val="minor"/>
      </rPr>
      <t>桐敷 拓馬</t>
    </r>
  </si>
  <si>
    <t>5年</t>
  </si>
  <si>
    <t>埼玉</t>
  </si>
  <si>
    <t>8,500万円</t>
  </si>
  <si>
    <t>48</t>
  </si>
  <si>
    <r>
      <rPr>
        <u/>
        <sz val="11"/>
        <color rgb="FF1155CC"/>
        <rFont val="Arial"/>
        <scheme val="minor"/>
      </rPr>
      <t>茨木 秀俊</t>
    </r>
  </si>
  <si>
    <t>550万円</t>
  </si>
  <si>
    <t>49</t>
  </si>
  <si>
    <r>
      <rPr>
        <u/>
        <sz val="11"/>
        <color rgb="FF1155CC"/>
        <rFont val="Arial"/>
        <scheme val="minor"/>
      </rPr>
      <t>工藤 泰成</t>
    </r>
  </si>
  <si>
    <t>秋田</t>
  </si>
  <si>
    <t>840万円</t>
  </si>
  <si>
    <t>50</t>
  </si>
  <si>
    <r>
      <rPr>
        <u/>
        <sz val="11"/>
        <color rgb="FF1155CC"/>
        <rFont val="Arial"/>
        <scheme val="minor"/>
      </rPr>
      <t>富田 蓮</t>
    </r>
  </si>
  <si>
    <t>岐阜</t>
  </si>
  <si>
    <t>2,500万円</t>
  </si>
  <si>
    <t>51</t>
  </si>
  <si>
    <r>
      <rPr>
        <u/>
        <sz val="11"/>
        <color rgb="FF1155CC"/>
        <rFont val="Arial"/>
        <scheme val="minor"/>
      </rPr>
      <t>早川 太貴</t>
    </r>
  </si>
  <si>
    <t>52</t>
  </si>
  <si>
    <r>
      <rPr>
        <u/>
        <sz val="11"/>
        <color rgb="FF1155CC"/>
        <rFont val="Arial"/>
        <scheme val="minor"/>
      </rPr>
      <t>山田 脩也</t>
    </r>
  </si>
  <si>
    <t>72kg</t>
  </si>
  <si>
    <t>600万円</t>
  </si>
  <si>
    <t>53</t>
  </si>
  <si>
    <r>
      <rPr>
        <u/>
        <sz val="11"/>
        <color rgb="FF1155CC"/>
        <rFont val="Arial"/>
        <scheme val="minor"/>
      </rPr>
      <t>島田 海吏</t>
    </r>
  </si>
  <si>
    <t>74kg</t>
  </si>
  <si>
    <t>54</t>
  </si>
  <si>
    <r>
      <rPr>
        <u/>
        <sz val="11"/>
        <color rgb="FF1155CC"/>
        <rFont val="Arial"/>
        <scheme val="minor"/>
      </rPr>
      <t>木下 里都</t>
    </r>
  </si>
  <si>
    <t>55</t>
  </si>
  <si>
    <r>
      <rPr>
        <u/>
        <sz val="11"/>
        <color rgb="FF1155CC"/>
        <rFont val="Arial"/>
        <scheme val="minor"/>
      </rPr>
      <t>能登 嵩都</t>
    </r>
  </si>
  <si>
    <t>660万円</t>
  </si>
  <si>
    <t>56</t>
  </si>
  <si>
    <r>
      <rPr>
        <u/>
        <sz val="11"/>
        <color rgb="FF1155CC"/>
        <rFont val="Arial"/>
        <scheme val="minor"/>
      </rPr>
      <t>百﨑 蒼生</t>
    </r>
  </si>
  <si>
    <t>77kg</t>
  </si>
  <si>
    <t>500万円</t>
  </si>
  <si>
    <t>57</t>
  </si>
  <si>
    <r>
      <rPr>
        <u/>
        <sz val="11"/>
        <color rgb="FF1155CC"/>
        <rFont val="Arial"/>
        <scheme val="minor"/>
      </rPr>
      <t>長坂 拳弥</t>
    </r>
  </si>
  <si>
    <t>群馬</t>
  </si>
  <si>
    <t>58</t>
  </si>
  <si>
    <r>
      <rPr>
        <u/>
        <sz val="11"/>
        <color rgb="FF1155CC"/>
        <rFont val="Arial"/>
        <scheme val="minor"/>
      </rPr>
      <t>前川 右京</t>
    </r>
  </si>
  <si>
    <t>3,100万円</t>
  </si>
  <si>
    <t>59</t>
  </si>
  <si>
    <r>
      <rPr>
        <u/>
        <sz val="11"/>
        <color rgb="FF1155CC"/>
        <rFont val="Arial"/>
        <scheme val="minor"/>
      </rPr>
      <t>藤田 健斗</t>
    </r>
  </si>
  <si>
    <t>滋賀</t>
  </si>
  <si>
    <t>540万円</t>
  </si>
  <si>
    <t>60</t>
  </si>
  <si>
    <r>
      <rPr>
        <u/>
        <sz val="11"/>
        <color rgb="FF1155CC"/>
        <rFont val="Arial"/>
        <scheme val="minor"/>
      </rPr>
      <t>小野寺 暖</t>
    </r>
  </si>
  <si>
    <t>1,500万円</t>
  </si>
  <si>
    <t>61</t>
  </si>
  <si>
    <r>
      <rPr>
        <u/>
        <sz val="11"/>
        <color rgb="FF1155CC"/>
        <rFont val="Arial"/>
        <scheme val="minor"/>
      </rPr>
      <t>豊田 寛</t>
    </r>
  </si>
  <si>
    <t>1,130万円</t>
  </si>
  <si>
    <t>62</t>
  </si>
  <si>
    <r>
      <rPr>
        <u/>
        <sz val="11"/>
        <color rgb="FF1155CC"/>
        <rFont val="Arial"/>
        <scheme val="minor"/>
      </rPr>
      <t>植田 海</t>
    </r>
  </si>
  <si>
    <t>12年</t>
  </si>
  <si>
    <t>右両</t>
  </si>
  <si>
    <t>63</t>
  </si>
  <si>
    <r>
      <rPr>
        <u/>
        <sz val="11"/>
        <color rgb="FF1155CC"/>
        <rFont val="Arial"/>
        <scheme val="minor"/>
      </rPr>
      <t>石黒 佑弥</t>
    </r>
  </si>
  <si>
    <t>愛知</t>
  </si>
  <si>
    <t>900万円</t>
  </si>
  <si>
    <t>64</t>
  </si>
  <si>
    <r>
      <rPr>
        <u/>
        <sz val="11"/>
        <color rgb="FF1155CC"/>
        <rFont val="Arial"/>
        <scheme val="minor"/>
      </rPr>
      <t>岡留 英貴</t>
    </r>
  </si>
  <si>
    <t>沖縄</t>
  </si>
  <si>
    <t>1,900万円</t>
  </si>
  <si>
    <t>65</t>
  </si>
  <si>
    <r>
      <rPr>
        <u/>
        <sz val="11"/>
        <color rgb="FF1155CC"/>
        <rFont val="Arial"/>
        <scheme val="minor"/>
      </rPr>
      <t>湯浅 京己</t>
    </r>
  </si>
  <si>
    <t>6,000万円</t>
  </si>
  <si>
    <t>66</t>
  </si>
  <si>
    <r>
      <rPr>
        <u/>
        <sz val="11"/>
        <color rgb="FF1155CC"/>
        <rFont val="Arial"/>
        <scheme val="minor"/>
      </rPr>
      <t>津田 淳哉</t>
    </r>
  </si>
  <si>
    <t>67</t>
  </si>
  <si>
    <r>
      <rPr>
        <u/>
        <sz val="11"/>
        <color rgb="FF1155CC"/>
        <rFont val="Arial"/>
        <scheme val="minor"/>
      </rPr>
      <t>髙寺 望夢</t>
    </r>
  </si>
  <si>
    <t>長野</t>
  </si>
  <si>
    <t>68</t>
  </si>
  <si>
    <r>
      <rPr>
        <u/>
        <sz val="11"/>
        <color rgb="FF1155CC"/>
        <rFont val="Arial"/>
        <scheme val="minor"/>
      </rPr>
      <t>中川 勇斗</t>
    </r>
  </si>
  <si>
    <t>76kg</t>
  </si>
  <si>
    <t>69</t>
  </si>
  <si>
    <r>
      <rPr>
        <u/>
        <sz val="11"/>
        <color rgb="FF1155CC"/>
        <rFont val="Arial"/>
        <scheme val="minor"/>
      </rPr>
      <t>石井 大智</t>
    </r>
  </si>
  <si>
    <t>85</t>
  </si>
  <si>
    <r>
      <rPr>
        <u/>
        <sz val="11"/>
        <color rgb="FF1155CC"/>
        <rFont val="Arial"/>
        <scheme val="minor"/>
      </rPr>
      <t>嶋村 麟士朗</t>
    </r>
  </si>
  <si>
    <t>300万円</t>
  </si>
  <si>
    <t>92</t>
  </si>
  <si>
    <r>
      <rPr>
        <u/>
        <sz val="11"/>
        <color rgb="FF1155CC"/>
        <rFont val="Arial"/>
        <scheme val="minor"/>
      </rPr>
      <t>福島 圭音</t>
    </r>
  </si>
  <si>
    <t>94</t>
  </si>
  <si>
    <r>
      <rPr>
        <u/>
        <sz val="11"/>
        <color rgb="FF1155CC"/>
        <rFont val="Arial"/>
        <scheme val="minor"/>
      </rPr>
      <t>ガルシア</t>
    </r>
  </si>
  <si>
    <t>107kg</t>
  </si>
  <si>
    <t>ドミニカ共和国</t>
  </si>
  <si>
    <t>95</t>
  </si>
  <si>
    <r>
      <rPr>
        <u/>
        <sz val="11"/>
        <color rgb="FF1155CC"/>
        <rFont val="Arial"/>
        <scheme val="minor"/>
      </rPr>
      <t>神宮 僚介</t>
    </r>
  </si>
  <si>
    <t>97</t>
  </si>
  <si>
    <r>
      <rPr>
        <u/>
        <sz val="11"/>
        <color rgb="FF1155CC"/>
        <rFont val="Arial"/>
        <scheme val="minor"/>
      </rPr>
      <t>セベリーノ</t>
    </r>
  </si>
  <si>
    <t>-</t>
  </si>
  <si>
    <t>98</t>
  </si>
  <si>
    <r>
      <rPr>
        <u/>
        <sz val="11"/>
        <color rgb="FF1155CC"/>
        <rFont val="Arial"/>
        <scheme val="minor"/>
      </rPr>
      <t>ドリス</t>
    </r>
  </si>
  <si>
    <t>38歳</t>
  </si>
  <si>
    <t>196cm</t>
  </si>
  <si>
    <t>70</t>
  </si>
  <si>
    <t>99</t>
  </si>
  <si>
    <r>
      <rPr>
        <u/>
        <sz val="11"/>
        <color rgb="FF1155CC"/>
        <rFont val="Arial"/>
        <scheme val="minor"/>
      </rPr>
      <t>モレッタ</t>
    </r>
  </si>
  <si>
    <t>102kg</t>
  </si>
  <si>
    <t>15,500万円</t>
  </si>
  <si>
    <t>71</t>
  </si>
  <si>
    <t>120</t>
  </si>
  <si>
    <r>
      <rPr>
        <u/>
        <sz val="11"/>
        <color rgb="FF1155CC"/>
        <rFont val="Arial"/>
        <scheme val="minor"/>
      </rPr>
      <t>西 純矢</t>
    </r>
  </si>
  <si>
    <t>99kg</t>
  </si>
  <si>
    <t>72</t>
  </si>
  <si>
    <t>121</t>
  </si>
  <si>
    <r>
      <rPr>
        <u/>
        <sz val="11"/>
        <color rgb="FF1155CC"/>
        <rFont val="Arial"/>
        <scheme val="minor"/>
      </rPr>
      <t>戸井 零士</t>
    </r>
  </si>
  <si>
    <t>73</t>
  </si>
  <si>
    <t>122</t>
  </si>
  <si>
    <r>
      <rPr>
        <u/>
        <sz val="11"/>
        <color rgb="FF1155CC"/>
        <rFont val="Arial"/>
        <scheme val="minor"/>
      </rPr>
      <t>小川 一平</t>
    </r>
  </si>
  <si>
    <t>650万円</t>
  </si>
  <si>
    <t>74</t>
  </si>
  <si>
    <t>123</t>
  </si>
  <si>
    <r>
      <rPr>
        <u/>
        <sz val="11"/>
        <color rgb="FF1155CC"/>
        <rFont val="Arial"/>
        <scheme val="minor"/>
      </rPr>
      <t>松原 快</t>
    </r>
  </si>
  <si>
    <t>富山</t>
  </si>
  <si>
    <t>75</t>
  </si>
  <si>
    <t>125</t>
  </si>
  <si>
    <r>
      <rPr>
        <u/>
        <sz val="11"/>
        <color rgb="FF1155CC"/>
        <rFont val="Arial"/>
        <scheme val="minor"/>
      </rPr>
      <t>伊藤 稜</t>
    </r>
  </si>
  <si>
    <t>350万円</t>
  </si>
  <si>
    <t>76</t>
  </si>
  <si>
    <t>129</t>
  </si>
  <si>
    <r>
      <rPr>
        <u/>
        <sz val="11"/>
        <color rgb="FF1155CC"/>
        <rFont val="Arial"/>
        <scheme val="minor"/>
      </rPr>
      <t>山﨑 照英</t>
    </r>
  </si>
  <si>
    <t>67kg</t>
  </si>
  <si>
    <t>長崎</t>
  </si>
  <si>
    <t>77</t>
  </si>
  <si>
    <t>130</t>
  </si>
  <si>
    <r>
      <rPr>
        <u/>
        <sz val="11"/>
        <color rgb="FF1155CC"/>
        <rFont val="Arial"/>
        <scheme val="minor"/>
      </rPr>
      <t>川﨑 俊哲</t>
    </r>
  </si>
  <si>
    <t>78</t>
  </si>
  <si>
    <t>132</t>
  </si>
  <si>
    <r>
      <rPr>
        <u/>
        <sz val="11"/>
        <color rgb="FF1155CC"/>
        <rFont val="Arial"/>
        <scheme val="minor"/>
      </rPr>
      <t>マルティネス</t>
    </r>
  </si>
  <si>
    <t>190cm</t>
  </si>
  <si>
    <t>79</t>
  </si>
  <si>
    <t>133</t>
  </si>
  <si>
    <r>
      <rPr>
        <u/>
        <sz val="11"/>
        <color rgb="FF1155CC"/>
        <rFont val="Arial"/>
        <scheme val="minor"/>
      </rPr>
      <t>アルナエス</t>
    </r>
  </si>
  <si>
    <t>パナマ</t>
  </si>
  <si>
    <t>80</t>
  </si>
  <si>
    <t>134</t>
  </si>
  <si>
    <r>
      <rPr>
        <u/>
        <sz val="11"/>
        <color rgb="FF1155CC"/>
        <rFont val="Arial"/>
        <scheme val="minor"/>
      </rPr>
      <t>コンスエグラ</t>
    </r>
  </si>
  <si>
    <t>81</t>
  </si>
  <si>
    <r>
      <rPr>
        <u/>
        <sz val="11"/>
        <color rgb="FF1155CC"/>
        <rFont val="Arial"/>
        <scheme val="minor"/>
      </rPr>
      <t>林 琢真</t>
    </r>
  </si>
  <si>
    <t>yb</t>
  </si>
  <si>
    <t>83</t>
  </si>
  <si>
    <r>
      <rPr>
        <u/>
        <sz val="11"/>
        <color rgb="FF1155CC"/>
        <rFont val="Arial"/>
        <scheme val="minor"/>
      </rPr>
      <t>牧 秀悟</t>
    </r>
  </si>
  <si>
    <t>97kg</t>
  </si>
  <si>
    <t>84</t>
  </si>
  <si>
    <r>
      <rPr>
        <u/>
        <sz val="11"/>
        <color rgb="FF1155CC"/>
        <rFont val="Arial"/>
        <scheme val="minor"/>
      </rPr>
      <t>小田 康一郎</t>
    </r>
  </si>
  <si>
    <t>85kg</t>
  </si>
  <si>
    <r>
      <rPr>
        <u/>
        <sz val="11"/>
        <color rgb="FF1155CC"/>
        <rFont val="Arial"/>
        <scheme val="minor"/>
      </rPr>
      <t>度会 隆輝</t>
    </r>
  </si>
  <si>
    <t>3,500万円</t>
  </si>
  <si>
    <t>86</t>
  </si>
  <si>
    <r>
      <rPr>
        <u/>
        <sz val="11"/>
        <color rgb="FF1155CC"/>
        <rFont val="Arial"/>
        <scheme val="minor"/>
      </rPr>
      <t>松尾 汐恩</t>
    </r>
  </si>
  <si>
    <t>京都</t>
  </si>
  <si>
    <t>2,300万円</t>
  </si>
  <si>
    <t>87</t>
  </si>
  <si>
    <r>
      <rPr>
        <u/>
        <sz val="11"/>
        <color rgb="FF1155CC"/>
        <rFont val="Arial"/>
        <scheme val="minor"/>
      </rPr>
      <t>森 敬斗</t>
    </r>
  </si>
  <si>
    <t>2,100万円</t>
  </si>
  <si>
    <t>88</t>
  </si>
  <si>
    <r>
      <rPr>
        <u/>
        <sz val="11"/>
        <color rgb="FF1155CC"/>
        <rFont val="Arial"/>
        <scheme val="minor"/>
      </rPr>
      <t>佐野 恵太</t>
    </r>
  </si>
  <si>
    <t>17,000万円</t>
  </si>
  <si>
    <t>89</t>
  </si>
  <si>
    <r>
      <rPr>
        <u/>
        <sz val="11"/>
        <color rgb="FF1155CC"/>
        <rFont val="Arial"/>
        <scheme val="minor"/>
      </rPr>
      <t>神里 和毅</t>
    </r>
  </si>
  <si>
    <t>90</t>
  </si>
  <si>
    <r>
      <rPr>
        <u/>
        <sz val="11"/>
        <color rgb="FF1155CC"/>
        <rFont val="Arial"/>
        <scheme val="minor"/>
      </rPr>
      <t>京田 陽太</t>
    </r>
  </si>
  <si>
    <t>91</t>
  </si>
  <si>
    <r>
      <rPr>
        <u/>
        <sz val="11"/>
        <color rgb="FF1155CC"/>
        <rFont val="Arial"/>
        <scheme val="minor"/>
      </rPr>
      <t>戸柱 恭孝</t>
    </r>
  </si>
  <si>
    <t>鹿児島</t>
  </si>
  <si>
    <t>7,500万円</t>
  </si>
  <si>
    <r>
      <rPr>
        <u/>
        <sz val="11"/>
        <color rgb="FF1155CC"/>
        <rFont val="Arial"/>
        <scheme val="minor"/>
      </rPr>
      <t>東 克樹</t>
    </r>
  </si>
  <si>
    <t>93</t>
  </si>
  <si>
    <r>
      <rPr>
        <u/>
        <sz val="11"/>
        <color rgb="FF1155CC"/>
        <rFont val="Arial"/>
        <scheme val="minor"/>
      </rPr>
      <t>竹田 祐</t>
    </r>
  </si>
  <si>
    <r>
      <rPr>
        <u/>
        <sz val="11"/>
        <color rgb="FF1155CC"/>
        <rFont val="Arial"/>
        <scheme val="minor"/>
      </rPr>
      <t>伊勢 大夢</t>
    </r>
  </si>
  <si>
    <r>
      <rPr>
        <u/>
        <sz val="11"/>
        <color rgb="FF1155CC"/>
        <rFont val="Arial"/>
        <scheme val="minor"/>
      </rPr>
      <t>石田 健大</t>
    </r>
  </si>
  <si>
    <t>8,000万円</t>
  </si>
  <si>
    <t>96</t>
  </si>
  <si>
    <r>
      <rPr>
        <u/>
        <sz val="11"/>
        <color rgb="FF1155CC"/>
        <rFont val="Arial"/>
        <scheme val="minor"/>
      </rPr>
      <t>島田 舜也</t>
    </r>
  </si>
  <si>
    <t>95kg</t>
  </si>
  <si>
    <r>
      <rPr>
        <u/>
        <sz val="11"/>
        <color rgb="FF1155CC"/>
        <rFont val="Arial"/>
        <scheme val="minor"/>
      </rPr>
      <t>大貫 晋一</t>
    </r>
  </si>
  <si>
    <t>6,300万円</t>
  </si>
  <si>
    <r>
      <rPr>
        <u/>
        <sz val="11"/>
        <color rgb="FF1155CC"/>
        <rFont val="Arial"/>
        <scheme val="minor"/>
      </rPr>
      <t>小園 健太</t>
    </r>
  </si>
  <si>
    <r>
      <rPr>
        <u/>
        <sz val="11"/>
        <color rgb="FF1155CC"/>
        <rFont val="Arial"/>
        <scheme val="minor"/>
      </rPr>
      <t>山﨑 康晃</t>
    </r>
  </si>
  <si>
    <t>100</t>
  </si>
  <si>
    <r>
      <rPr>
        <u/>
        <sz val="11"/>
        <color rgb="FF1155CC"/>
        <rFont val="Arial"/>
        <scheme val="minor"/>
      </rPr>
      <t>坂本 裕哉</t>
    </r>
  </si>
  <si>
    <t>4,400万円</t>
  </si>
  <si>
    <t>101</t>
  </si>
  <si>
    <r>
      <rPr>
        <u/>
        <sz val="11"/>
        <color rgb="FF1155CC"/>
        <rFont val="Arial"/>
        <scheme val="minor"/>
      </rPr>
      <t>入江 大生</t>
    </r>
  </si>
  <si>
    <t>栃木</t>
  </si>
  <si>
    <t>5,800万円</t>
  </si>
  <si>
    <t>102</t>
  </si>
  <si>
    <r>
      <rPr>
        <u/>
        <sz val="11"/>
        <color rgb="FF1155CC"/>
        <rFont val="Arial"/>
        <scheme val="minor"/>
      </rPr>
      <t>吉野 光樹</t>
    </r>
  </si>
  <si>
    <t>103</t>
  </si>
  <si>
    <r>
      <rPr>
        <u/>
        <sz val="11"/>
        <color rgb="FF1155CC"/>
        <rFont val="Arial"/>
        <scheme val="minor"/>
      </rPr>
      <t>筒香 嘉智</t>
    </r>
  </si>
  <si>
    <t>34歳</t>
  </si>
  <si>
    <t>和歌山</t>
  </si>
  <si>
    <t>104</t>
  </si>
  <si>
    <r>
      <rPr>
        <u/>
        <sz val="11"/>
        <color rgb="FF1155CC"/>
        <rFont val="Arial"/>
        <scheme val="minor"/>
      </rPr>
      <t>三森 大貴</t>
    </r>
  </si>
  <si>
    <t>5,000万円</t>
  </si>
  <si>
    <t>105</t>
  </si>
  <si>
    <r>
      <rPr>
        <u/>
        <sz val="11"/>
        <color rgb="FF1155CC"/>
        <rFont val="Arial"/>
        <scheme val="minor"/>
      </rPr>
      <t>藤浪 晋太郎</t>
    </r>
  </si>
  <si>
    <t>197cm</t>
  </si>
  <si>
    <t>98kg</t>
  </si>
  <si>
    <t>106</t>
  </si>
  <si>
    <r>
      <rPr>
        <u/>
        <sz val="11"/>
        <color rgb="FF1155CC"/>
        <rFont val="Arial"/>
        <scheme val="minor"/>
      </rPr>
      <t>勝又 温史</t>
    </r>
  </si>
  <si>
    <t>620万円</t>
  </si>
  <si>
    <t>107</t>
  </si>
  <si>
    <r>
      <rPr>
        <u/>
        <sz val="11"/>
        <color rgb="FF1155CC"/>
        <rFont val="Arial"/>
        <scheme val="minor"/>
      </rPr>
      <t>篠木 健太郎</t>
    </r>
  </si>
  <si>
    <t>108</t>
  </si>
  <si>
    <r>
      <rPr>
        <u/>
        <sz val="11"/>
        <color rgb="FF1155CC"/>
        <rFont val="Arial"/>
        <scheme val="minor"/>
      </rPr>
      <t>柴田 竜拓</t>
    </r>
  </si>
  <si>
    <t>167cm</t>
  </si>
  <si>
    <t>109</t>
  </si>
  <si>
    <r>
      <rPr>
        <u/>
        <sz val="11"/>
        <color rgb="FF1155CC"/>
        <rFont val="Arial"/>
        <scheme val="minor"/>
      </rPr>
      <t>益子 京右</t>
    </r>
  </si>
  <si>
    <t>560万円</t>
  </si>
  <si>
    <t>110</t>
  </si>
  <si>
    <r>
      <rPr>
        <u/>
        <sz val="11"/>
        <color rgb="FF1155CC"/>
        <rFont val="Arial"/>
        <scheme val="minor"/>
      </rPr>
      <t>武田 陸玖</t>
    </r>
  </si>
  <si>
    <t>111</t>
  </si>
  <si>
    <r>
      <rPr>
        <u/>
        <sz val="11"/>
        <color rgb="FF1155CC"/>
        <rFont val="Arial"/>
        <scheme val="minor"/>
      </rPr>
      <t>宮下 朝陽</t>
    </r>
  </si>
  <si>
    <t>112</t>
  </si>
  <si>
    <r>
      <rPr>
        <u/>
        <sz val="11"/>
        <color rgb="FF1155CC"/>
        <rFont val="Arial"/>
        <scheme val="minor"/>
      </rPr>
      <t>橋本 達弥</t>
    </r>
  </si>
  <si>
    <t>113</t>
  </si>
  <si>
    <r>
      <rPr>
        <u/>
        <sz val="11"/>
        <color rgb="FF1155CC"/>
        <rFont val="Arial"/>
        <scheme val="minor"/>
      </rPr>
      <t>尾形 崇斗</t>
    </r>
  </si>
  <si>
    <t>2,700万円</t>
  </si>
  <si>
    <t>114</t>
  </si>
  <si>
    <r>
      <rPr>
        <u/>
        <sz val="11"/>
        <color rgb="FF1155CC"/>
        <rFont val="Arial"/>
        <scheme val="minor"/>
      </rPr>
      <t>加藤 響</t>
    </r>
  </si>
  <si>
    <t>750万円</t>
  </si>
  <si>
    <t>115</t>
  </si>
  <si>
    <r>
      <rPr>
        <u/>
        <sz val="11"/>
        <color rgb="FF1155CC"/>
        <rFont val="Arial"/>
        <scheme val="minor"/>
      </rPr>
      <t>松本 凌人</t>
    </r>
  </si>
  <si>
    <t>950万円</t>
  </si>
  <si>
    <t>116</t>
  </si>
  <si>
    <r>
      <rPr>
        <u/>
        <sz val="11"/>
        <color rgb="FF1155CC"/>
        <rFont val="Arial"/>
        <scheme val="minor"/>
      </rPr>
      <t>若松 尚輝</t>
    </r>
  </si>
  <si>
    <t>800万円</t>
  </si>
  <si>
    <t>117</t>
  </si>
  <si>
    <r>
      <rPr>
        <u/>
        <sz val="11"/>
        <color rgb="FF1155CC"/>
        <rFont val="Arial"/>
        <scheme val="minor"/>
      </rPr>
      <t>井上 朋也</t>
    </r>
  </si>
  <si>
    <t>91kg</t>
  </si>
  <si>
    <t>930万円</t>
  </si>
  <si>
    <t>118</t>
  </si>
  <si>
    <r>
      <rPr>
        <u/>
        <sz val="11"/>
        <color rgb="FF1155CC"/>
        <rFont val="Arial"/>
        <scheme val="minor"/>
      </rPr>
      <t>佐々木 千隼</t>
    </r>
  </si>
  <si>
    <t>3,400万円</t>
  </si>
  <si>
    <t>119</t>
  </si>
  <si>
    <r>
      <rPr>
        <u/>
        <sz val="11"/>
        <color rgb="FF1155CC"/>
        <rFont val="Arial"/>
        <scheme val="minor"/>
      </rPr>
      <t>ビド</t>
    </r>
  </si>
  <si>
    <r>
      <rPr>
        <u/>
        <sz val="11"/>
        <color rgb="FF1155CC"/>
        <rFont val="Arial"/>
        <scheme val="minor"/>
      </rPr>
      <t>深沢 鳳介</t>
    </r>
  </si>
  <si>
    <r>
      <rPr>
        <u/>
        <sz val="11"/>
        <color rgb="FF1155CC"/>
        <rFont val="Arial"/>
        <scheme val="minor"/>
      </rPr>
      <t>石上 泰輝</t>
    </r>
  </si>
  <si>
    <t>徳島</t>
  </si>
  <si>
    <r>
      <rPr>
        <u/>
        <sz val="11"/>
        <color rgb="FF1155CC"/>
        <rFont val="Arial"/>
        <scheme val="minor"/>
      </rPr>
      <t>森原 康平</t>
    </r>
  </si>
  <si>
    <t>124</t>
  </si>
  <si>
    <r>
      <rPr>
        <u/>
        <sz val="11"/>
        <color rgb="FF1155CC"/>
        <rFont val="Arial"/>
        <scheme val="minor"/>
      </rPr>
      <t>坂口 翔颯</t>
    </r>
  </si>
  <si>
    <r>
      <rPr>
        <u/>
        <sz val="11"/>
        <color rgb="FF1155CC"/>
        <rFont val="Arial"/>
        <scheme val="minor"/>
      </rPr>
      <t>片山 皓心</t>
    </r>
  </si>
  <si>
    <t>126</t>
  </si>
  <si>
    <r>
      <rPr>
        <u/>
        <sz val="11"/>
        <color rgb="FF1155CC"/>
        <rFont val="Arial"/>
        <scheme val="minor"/>
      </rPr>
      <t>成瀬 脩人</t>
    </r>
  </si>
  <si>
    <t>850万円</t>
  </si>
  <si>
    <t>127</t>
  </si>
  <si>
    <r>
      <rPr>
        <u/>
        <sz val="11"/>
        <color rgb="FF1155CC"/>
        <rFont val="Arial"/>
        <scheme val="minor"/>
      </rPr>
      <t>ルイーズ</t>
    </r>
  </si>
  <si>
    <t>111kg</t>
  </si>
  <si>
    <t>ベネズエラ</t>
  </si>
  <si>
    <t>128</t>
  </si>
  <si>
    <r>
      <rPr>
        <u/>
        <sz val="11"/>
        <color rgb="FF1155CC"/>
        <rFont val="Arial"/>
        <scheme val="minor"/>
      </rPr>
      <t>宮﨑 敏郎</t>
    </r>
  </si>
  <si>
    <t>37歳</t>
  </si>
  <si>
    <t>佐賀</t>
  </si>
  <si>
    <r>
      <rPr>
        <u/>
        <sz val="11"/>
        <color rgb="FF1155CC"/>
        <rFont val="Arial"/>
        <scheme val="minor"/>
      </rPr>
      <t>浜地 真澄</t>
    </r>
  </si>
  <si>
    <t>2,800万円</t>
  </si>
  <si>
    <r>
      <rPr>
        <u/>
        <sz val="11"/>
        <color rgb="FF1155CC"/>
        <rFont val="Arial"/>
        <scheme val="minor"/>
      </rPr>
      <t>中川 颯</t>
    </r>
  </si>
  <si>
    <t>131</t>
  </si>
  <si>
    <r>
      <rPr>
        <u/>
        <sz val="11"/>
        <color rgb="FF1155CC"/>
        <rFont val="Arial"/>
        <scheme val="minor"/>
      </rPr>
      <t>石田 裕太郎</t>
    </r>
  </si>
  <si>
    <r>
      <rPr>
        <u/>
        <sz val="11"/>
        <color rgb="FF1155CC"/>
        <rFont val="Arial"/>
        <scheme val="minor"/>
      </rPr>
      <t>井上 絢登</t>
    </r>
  </si>
  <si>
    <r>
      <rPr>
        <u/>
        <sz val="11"/>
        <color rgb="FF1155CC"/>
        <rFont val="Arial"/>
        <scheme val="minor"/>
      </rPr>
      <t>田内 真翔</t>
    </r>
  </si>
  <si>
    <t>520万円</t>
  </si>
  <si>
    <r>
      <rPr>
        <u/>
        <sz val="11"/>
        <color rgb="FF1155CC"/>
        <rFont val="Arial"/>
        <scheme val="minor"/>
      </rPr>
      <t>東妻 純平</t>
    </r>
  </si>
  <si>
    <t>135</t>
  </si>
  <si>
    <r>
      <rPr>
        <u/>
        <sz val="11"/>
        <color rgb="FF1155CC"/>
        <rFont val="Arial"/>
        <scheme val="minor"/>
      </rPr>
      <t>梶原 昂希</t>
    </r>
  </si>
  <si>
    <t>2,600万円</t>
  </si>
  <si>
    <t>136</t>
  </si>
  <si>
    <r>
      <rPr>
        <u/>
        <sz val="11"/>
        <color rgb="FF1155CC"/>
        <rFont val="Arial"/>
        <scheme val="minor"/>
      </rPr>
      <t>平良 拳太郎</t>
    </r>
  </si>
  <si>
    <t>137</t>
  </si>
  <si>
    <r>
      <rPr>
        <u/>
        <sz val="11"/>
        <color rgb="FF1155CC"/>
        <rFont val="Arial"/>
        <scheme val="minor"/>
      </rPr>
      <t>古市 尊</t>
    </r>
  </si>
  <si>
    <t>香川</t>
  </si>
  <si>
    <t>138</t>
  </si>
  <si>
    <r>
      <rPr>
        <u/>
        <sz val="11"/>
        <color rgb="FF1155CC"/>
        <rFont val="Arial"/>
        <scheme val="minor"/>
      </rPr>
      <t>蝦名 達夫</t>
    </r>
  </si>
  <si>
    <t>4,700万円</t>
  </si>
  <si>
    <t>139</t>
  </si>
  <si>
    <r>
      <rPr>
        <u/>
        <sz val="11"/>
        <color rgb="FF1155CC"/>
        <rFont val="Arial"/>
        <scheme val="minor"/>
      </rPr>
      <t>レイノルズ</t>
    </r>
  </si>
  <si>
    <t>113kg</t>
  </si>
  <si>
    <t>140</t>
  </si>
  <si>
    <r>
      <rPr>
        <u/>
        <sz val="11"/>
        <color rgb="FF1155CC"/>
        <rFont val="Arial"/>
        <scheme val="minor"/>
      </rPr>
      <t>関根 大気</t>
    </r>
  </si>
  <si>
    <t>4,040万円</t>
  </si>
  <si>
    <t>141</t>
  </si>
  <si>
    <r>
      <rPr>
        <u/>
        <sz val="11"/>
        <color rgb="FF1155CC"/>
        <rFont val="Arial"/>
        <scheme val="minor"/>
      </rPr>
      <t>中川 虎大</t>
    </r>
  </si>
  <si>
    <t>142</t>
  </si>
  <si>
    <r>
      <rPr>
        <u/>
        <sz val="11"/>
        <color rgb="FF1155CC"/>
        <rFont val="Arial"/>
        <scheme val="minor"/>
      </rPr>
      <t>宮城 滝太</t>
    </r>
  </si>
  <si>
    <t>1,280万円</t>
  </si>
  <si>
    <t>143</t>
  </si>
  <si>
    <r>
      <rPr>
        <u/>
        <sz val="11"/>
        <color rgb="FF1155CC"/>
        <rFont val="Arial"/>
        <scheme val="minor"/>
      </rPr>
      <t>高見澤 郁魅</t>
    </r>
  </si>
  <si>
    <t>340万円</t>
  </si>
  <si>
    <t>145</t>
  </si>
  <si>
    <r>
      <rPr>
        <u/>
        <sz val="11"/>
        <color rgb="FF1155CC"/>
        <rFont val="Arial"/>
        <scheme val="minor"/>
      </rPr>
      <t>濱 将乃介</t>
    </r>
  </si>
  <si>
    <t>146</t>
  </si>
  <si>
    <r>
      <rPr>
        <u/>
        <sz val="11"/>
        <color rgb="FF1155CC"/>
        <rFont val="Arial"/>
        <scheme val="minor"/>
      </rPr>
      <t>岩田 将貴</t>
    </r>
  </si>
  <si>
    <t>147</t>
  </si>
  <si>
    <r>
      <rPr>
        <u/>
        <sz val="11"/>
        <color rgb="FF1155CC"/>
        <rFont val="Arial"/>
        <scheme val="minor"/>
      </rPr>
      <t>エンカーナシオン</t>
    </r>
  </si>
  <si>
    <t>193cm</t>
  </si>
  <si>
    <t>148</t>
  </si>
  <si>
    <r>
      <rPr>
        <u/>
        <sz val="11"/>
        <color rgb="FF1155CC"/>
        <rFont val="Arial"/>
        <scheme val="minor"/>
      </rPr>
      <t>堀岡 隼人</t>
    </r>
  </si>
  <si>
    <t>149</t>
  </si>
  <si>
    <r>
      <rPr>
        <u/>
        <sz val="11"/>
        <color rgb="FF1155CC"/>
        <rFont val="Arial"/>
        <scheme val="minor"/>
      </rPr>
      <t>庄司 陽斗</t>
    </r>
  </si>
  <si>
    <t>450万円</t>
  </si>
  <si>
    <t>150</t>
  </si>
  <si>
    <r>
      <rPr>
        <u/>
        <sz val="11"/>
        <color rgb="FF1155CC"/>
        <rFont val="Arial"/>
        <scheme val="minor"/>
      </rPr>
      <t>九鬼 隆平</t>
    </r>
  </si>
  <si>
    <t>151</t>
  </si>
  <si>
    <r>
      <rPr>
        <u/>
        <sz val="11"/>
        <color rgb="FF1155CC"/>
        <rFont val="Arial"/>
        <scheme val="minor"/>
      </rPr>
      <t>馬場 皐輔</t>
    </r>
  </si>
  <si>
    <t>152</t>
  </si>
  <si>
    <r>
      <rPr>
        <u/>
        <sz val="11"/>
        <color rgb="FF1155CC"/>
        <rFont val="Arial"/>
        <scheme val="minor"/>
      </rPr>
      <t>マルセリーノ</t>
    </r>
  </si>
  <si>
    <t>1,090万円</t>
  </si>
  <si>
    <t>153</t>
  </si>
  <si>
    <r>
      <rPr>
        <u/>
        <sz val="11"/>
        <color rgb="FF1155CC"/>
        <rFont val="Arial"/>
        <scheme val="minor"/>
      </rPr>
      <t>ヒュンメル</t>
    </r>
  </si>
  <si>
    <t>10,500万円</t>
  </si>
  <si>
    <t>154</t>
  </si>
  <si>
    <r>
      <rPr>
        <u/>
        <sz val="11"/>
        <color rgb="FF1155CC"/>
        <rFont val="Arial"/>
        <scheme val="minor"/>
      </rPr>
      <t>清水 麻成</t>
    </r>
  </si>
  <si>
    <t>155</t>
  </si>
  <si>
    <r>
      <rPr>
        <u/>
        <sz val="11"/>
        <color rgb="FF1155CC"/>
        <rFont val="Arial"/>
        <scheme val="minor"/>
      </rPr>
      <t>金渕 光希</t>
    </r>
  </si>
  <si>
    <t>156</t>
  </si>
  <si>
    <r>
      <rPr>
        <u/>
        <sz val="11"/>
        <color rgb="FF1155CC"/>
        <rFont val="Arial"/>
        <scheme val="minor"/>
      </rPr>
      <t>吉岡 暖</t>
    </r>
  </si>
  <si>
    <t>157</t>
  </si>
  <si>
    <r>
      <rPr>
        <u/>
        <sz val="11"/>
        <color rgb="FF1155CC"/>
        <rFont val="Arial"/>
        <scheme val="minor"/>
      </rPr>
      <t>小笠原 蒼</t>
    </r>
  </si>
  <si>
    <t>158</t>
  </si>
  <si>
    <r>
      <rPr>
        <u/>
        <sz val="11"/>
        <color rgb="FF1155CC"/>
        <rFont val="Arial"/>
        <scheme val="minor"/>
      </rPr>
      <t>上甲 凌大</t>
    </r>
  </si>
  <si>
    <t>愛媛</t>
  </si>
  <si>
    <t>460万円</t>
  </si>
  <si>
    <t>159</t>
  </si>
  <si>
    <r>
      <rPr>
        <u/>
        <sz val="11"/>
        <color rgb="FF1155CC"/>
        <rFont val="Arial"/>
        <scheme val="minor"/>
      </rPr>
      <t>西巻 賢二</t>
    </r>
  </si>
  <si>
    <t>福島</t>
  </si>
  <si>
    <t>570万円</t>
  </si>
  <si>
    <t>160</t>
  </si>
  <si>
    <r>
      <rPr>
        <u/>
        <sz val="11"/>
        <color rgb="FF1155CC"/>
        <rFont val="Arial"/>
        <scheme val="minor"/>
      </rPr>
      <t>近藤 大雅</t>
    </r>
  </si>
  <si>
    <t>161</t>
  </si>
  <si>
    <r>
      <rPr>
        <u/>
        <sz val="11"/>
        <color rgb="FF1155CC"/>
        <rFont val="Arial"/>
        <scheme val="minor"/>
      </rPr>
      <t>清水 詩太</t>
    </r>
  </si>
  <si>
    <t>18歳</t>
  </si>
  <si>
    <t>福井</t>
  </si>
  <si>
    <t>162</t>
  </si>
  <si>
    <r>
      <rPr>
        <u/>
        <sz val="11"/>
        <color rgb="FF1155CC"/>
        <rFont val="Arial"/>
        <scheme val="minor"/>
      </rPr>
      <t>森下 瑠大</t>
    </r>
  </si>
  <si>
    <t>163</t>
  </si>
  <si>
    <r>
      <rPr>
        <u/>
        <sz val="11"/>
        <color rgb="FF1155CC"/>
        <rFont val="Arial"/>
        <scheme val="minor"/>
      </rPr>
      <t>松本 隆之介</t>
    </r>
  </si>
  <si>
    <t>164</t>
  </si>
  <si>
    <r>
      <rPr>
        <u/>
        <sz val="11"/>
        <color rgb="FF1155CC"/>
        <rFont val="Arial"/>
        <scheme val="minor"/>
      </rPr>
      <t>小針 大輝</t>
    </r>
  </si>
  <si>
    <t>192cm</t>
  </si>
  <si>
    <t>165</t>
  </si>
  <si>
    <r>
      <rPr>
        <u/>
        <sz val="11"/>
        <color rgb="FF1155CC"/>
        <rFont val="Arial"/>
        <scheme val="minor"/>
      </rPr>
      <t>湯浅 大</t>
    </r>
  </si>
  <si>
    <t>73kg</t>
  </si>
  <si>
    <t>1,350万円</t>
  </si>
  <si>
    <t>g</t>
  </si>
  <si>
    <t>166</t>
  </si>
  <si>
    <r>
      <rPr>
        <u/>
        <sz val="11"/>
        <color rgb="FF1155CC"/>
        <rFont val="Arial"/>
        <scheme val="minor"/>
      </rPr>
      <t>増田 大輝</t>
    </r>
  </si>
  <si>
    <t>167</t>
  </si>
  <si>
    <t>002</t>
  </si>
  <si>
    <r>
      <rPr>
        <u/>
        <sz val="11"/>
        <color rgb="FF1155CC"/>
        <rFont val="Arial"/>
        <scheme val="minor"/>
      </rPr>
      <t>中田 歩夢</t>
    </r>
  </si>
  <si>
    <t>420万円</t>
  </si>
  <si>
    <t>168</t>
  </si>
  <si>
    <r>
      <rPr>
        <u/>
        <sz val="11"/>
        <color rgb="FF1155CC"/>
        <rFont val="Arial"/>
        <scheme val="minor"/>
      </rPr>
      <t>吉川 尚輝</t>
    </r>
  </si>
  <si>
    <t>169</t>
  </si>
  <si>
    <t>004</t>
  </si>
  <si>
    <r>
      <rPr>
        <u/>
        <sz val="11"/>
        <color rgb="FF1155CC"/>
        <rFont val="Arial"/>
        <scheme val="minor"/>
      </rPr>
      <t>村山 源</t>
    </r>
  </si>
  <si>
    <t>370万円</t>
  </si>
  <si>
    <t>170</t>
  </si>
  <si>
    <r>
      <rPr>
        <u/>
        <sz val="11"/>
        <color rgb="FF1155CC"/>
        <rFont val="Arial"/>
        <scheme val="minor"/>
      </rPr>
      <t>門脇 誠</t>
    </r>
  </si>
  <si>
    <t>171</t>
  </si>
  <si>
    <t>005</t>
  </si>
  <si>
    <r>
      <rPr>
        <u/>
        <sz val="11"/>
        <color rgb="FF1155CC"/>
        <rFont val="Arial"/>
        <scheme val="minor"/>
      </rPr>
      <t>田上 優弥</t>
    </r>
  </si>
  <si>
    <t>172</t>
  </si>
  <si>
    <t>006</t>
  </si>
  <si>
    <r>
      <rPr>
        <u/>
        <sz val="11"/>
        <color rgb="FF1155CC"/>
        <rFont val="Arial"/>
        <scheme val="minor"/>
      </rPr>
      <t>松井 蓮太朗</t>
    </r>
  </si>
  <si>
    <t>360万円</t>
  </si>
  <si>
    <t>173</t>
  </si>
  <si>
    <r>
      <rPr>
        <u/>
        <sz val="11"/>
        <color rgb="FF1155CC"/>
        <rFont val="Arial"/>
        <scheme val="minor"/>
      </rPr>
      <t>坂本 勇人</t>
    </r>
  </si>
  <si>
    <t>20年</t>
  </si>
  <si>
    <t>174</t>
  </si>
  <si>
    <r>
      <rPr>
        <u/>
        <sz val="11"/>
        <color rgb="FF1155CC"/>
        <rFont val="Arial"/>
        <scheme val="minor"/>
      </rPr>
      <t>丸 佳浩</t>
    </r>
  </si>
  <si>
    <t>19年</t>
  </si>
  <si>
    <t>175</t>
  </si>
  <si>
    <t>008</t>
  </si>
  <si>
    <r>
      <rPr>
        <u/>
        <sz val="11"/>
        <color rgb="FF1155CC"/>
        <rFont val="Arial"/>
        <scheme val="minor"/>
      </rPr>
      <t>相澤 白虎</t>
    </r>
  </si>
  <si>
    <t>380万円</t>
  </si>
  <si>
    <t>176</t>
  </si>
  <si>
    <r>
      <rPr>
        <u/>
        <sz val="11"/>
        <color rgb="FF1155CC"/>
        <rFont val="Arial"/>
        <scheme val="minor"/>
      </rPr>
      <t>松本 剛</t>
    </r>
  </si>
  <si>
    <t>15年</t>
  </si>
  <si>
    <t>11,000万円</t>
  </si>
  <si>
    <t>177</t>
  </si>
  <si>
    <r>
      <rPr>
        <u/>
        <sz val="11"/>
        <color rgb="FF1155CC"/>
        <rFont val="Arial"/>
        <scheme val="minor"/>
      </rPr>
      <t>甲斐 拓也</t>
    </r>
  </si>
  <si>
    <t>16年</t>
  </si>
  <si>
    <t>178</t>
  </si>
  <si>
    <r>
      <rPr>
        <u/>
        <sz val="11"/>
        <color rgb="FF1155CC"/>
        <rFont val="Arial"/>
        <scheme val="minor"/>
      </rPr>
      <t>田中 将大</t>
    </r>
  </si>
  <si>
    <t>179</t>
  </si>
  <si>
    <t>011</t>
  </si>
  <si>
    <r>
      <rPr>
        <u/>
        <sz val="11"/>
        <color rgb="FF1155CC"/>
        <rFont val="Arial"/>
        <scheme val="minor"/>
      </rPr>
      <t>冨重 英二郎</t>
    </r>
  </si>
  <si>
    <t>400万円</t>
  </si>
  <si>
    <t>180</t>
  </si>
  <si>
    <t>012</t>
  </si>
  <si>
    <r>
      <rPr>
        <u/>
        <sz val="11"/>
        <color rgb="FF1155CC"/>
        <rFont val="Arial"/>
        <scheme val="minor"/>
      </rPr>
      <t>林 燦</t>
    </r>
  </si>
  <si>
    <t>181</t>
  </si>
  <si>
    <r>
      <rPr>
        <u/>
        <sz val="11"/>
        <color rgb="FF1155CC"/>
        <rFont val="Arial"/>
        <scheme val="minor"/>
      </rPr>
      <t>萩尾 匡也</t>
    </r>
  </si>
  <si>
    <t>182</t>
  </si>
  <si>
    <r>
      <rPr>
        <u/>
        <sz val="11"/>
        <color rgb="FF1155CC"/>
        <rFont val="Arial"/>
        <scheme val="minor"/>
      </rPr>
      <t>キャベッジ</t>
    </r>
  </si>
  <si>
    <t>183</t>
  </si>
  <si>
    <t>015</t>
  </si>
  <si>
    <r>
      <rPr>
        <u/>
        <sz val="11"/>
        <color rgb="FF1155CC"/>
        <rFont val="Arial"/>
        <scheme val="minor"/>
      </rPr>
      <t>鈴木 圭晋</t>
    </r>
  </si>
  <si>
    <t>184</t>
  </si>
  <si>
    <r>
      <rPr>
        <u/>
        <sz val="11"/>
        <color rgb="FF1155CC"/>
        <rFont val="Arial"/>
        <scheme val="minor"/>
      </rPr>
      <t>大勢</t>
    </r>
  </si>
  <si>
    <t>18,000万円</t>
  </si>
  <si>
    <t>185</t>
  </si>
  <si>
    <t>016</t>
  </si>
  <si>
    <r>
      <rPr>
        <u/>
        <sz val="11"/>
        <color rgb="FF1155CC"/>
        <rFont val="Arial"/>
        <scheme val="minor"/>
      </rPr>
      <t>千葉 隆広</t>
    </r>
  </si>
  <si>
    <t>186</t>
  </si>
  <si>
    <r>
      <rPr>
        <u/>
        <sz val="11"/>
        <color rgb="FF1155CC"/>
        <rFont val="Arial"/>
        <scheme val="minor"/>
      </rPr>
      <t>西舘 勇陽</t>
    </r>
  </si>
  <si>
    <t>岩手</t>
  </si>
  <si>
    <t>187</t>
  </si>
  <si>
    <t>018</t>
  </si>
  <si>
    <r>
      <rPr>
        <u/>
        <sz val="11"/>
        <color rgb="FF1155CC"/>
        <rFont val="Arial"/>
        <scheme val="minor"/>
      </rPr>
      <t>木下 幹也</t>
    </r>
  </si>
  <si>
    <t>100kg</t>
  </si>
  <si>
    <t>410万円</t>
  </si>
  <si>
    <t>188</t>
  </si>
  <si>
    <r>
      <rPr>
        <u/>
        <sz val="11"/>
        <color rgb="FF1155CC"/>
        <rFont val="Arial"/>
        <scheme val="minor"/>
      </rPr>
      <t>山﨑 伊織</t>
    </r>
  </si>
  <si>
    <t>189</t>
  </si>
  <si>
    <t>019</t>
  </si>
  <si>
    <r>
      <rPr>
        <u/>
        <sz val="11"/>
        <color rgb="FF1155CC"/>
        <rFont val="Arial"/>
        <scheme val="minor"/>
      </rPr>
      <t>園田 純規</t>
    </r>
  </si>
  <si>
    <t>190</t>
  </si>
  <si>
    <t>020</t>
  </si>
  <si>
    <r>
      <rPr>
        <u/>
        <sz val="11"/>
        <color rgb="FF1155CC"/>
        <rFont val="Arial"/>
        <scheme val="minor"/>
      </rPr>
      <t>喜多 隆介</t>
    </r>
  </si>
  <si>
    <t>191</t>
  </si>
  <si>
    <r>
      <rPr>
        <u/>
        <sz val="11"/>
        <color rgb="FF1155CC"/>
        <rFont val="Arial"/>
        <scheme val="minor"/>
      </rPr>
      <t>戸郷 翔征</t>
    </r>
  </si>
  <si>
    <t>宮崎</t>
  </si>
  <si>
    <t>24,000万円</t>
  </si>
  <si>
    <t>192</t>
  </si>
  <si>
    <t>021</t>
  </si>
  <si>
    <r>
      <rPr>
        <u/>
        <sz val="11"/>
        <color rgb="FF1155CC"/>
        <rFont val="Arial"/>
        <scheme val="minor"/>
      </rPr>
      <t>松井 颯</t>
    </r>
  </si>
  <si>
    <t>630万円</t>
  </si>
  <si>
    <t>193</t>
  </si>
  <si>
    <r>
      <rPr>
        <u/>
        <sz val="11"/>
        <color rgb="FF1155CC"/>
        <rFont val="Arial"/>
        <scheme val="minor"/>
      </rPr>
      <t>竹丸 和幸</t>
    </r>
  </si>
  <si>
    <t>194</t>
  </si>
  <si>
    <t>022</t>
  </si>
  <si>
    <r>
      <rPr>
        <u/>
        <sz val="11"/>
        <color rgb="FF1155CC"/>
        <rFont val="Arial"/>
        <scheme val="minor"/>
      </rPr>
      <t>亀田 啓太</t>
    </r>
  </si>
  <si>
    <t>390万円</t>
  </si>
  <si>
    <t>195</t>
  </si>
  <si>
    <r>
      <rPr>
        <u/>
        <sz val="11"/>
        <color rgb="FF1155CC"/>
        <rFont val="Arial"/>
        <scheme val="minor"/>
      </rPr>
      <t>小林 誠司</t>
    </r>
  </si>
  <si>
    <t>196</t>
  </si>
  <si>
    <t>023</t>
  </si>
  <si>
    <r>
      <rPr>
        <u/>
        <sz val="11"/>
        <color rgb="FF1155CC"/>
        <rFont val="Arial"/>
        <scheme val="minor"/>
      </rPr>
      <t>田村 朋輝</t>
    </r>
  </si>
  <si>
    <t>197</t>
  </si>
  <si>
    <r>
      <rPr>
        <u/>
        <sz val="11"/>
        <color rgb="FF1155CC"/>
        <rFont val="Arial"/>
        <scheme val="minor"/>
      </rPr>
      <t>石塚 裕惺</t>
    </r>
  </si>
  <si>
    <t>1,230万円</t>
  </si>
  <si>
    <t>198</t>
  </si>
  <si>
    <r>
      <rPr>
        <u/>
        <sz val="11"/>
        <color rgb="FF1155CC"/>
        <rFont val="Arial"/>
        <scheme val="minor"/>
      </rPr>
      <t>大城 卓三</t>
    </r>
  </si>
  <si>
    <t>16,000万円</t>
  </si>
  <si>
    <t>199</t>
  </si>
  <si>
    <t>024</t>
  </si>
  <si>
    <r>
      <rPr>
        <u/>
        <sz val="11"/>
        <color rgb="FF1155CC"/>
        <rFont val="Arial"/>
        <scheme val="minor"/>
      </rPr>
      <t>坂本 達也</t>
    </r>
  </si>
  <si>
    <t>200</t>
  </si>
  <si>
    <t>025</t>
  </si>
  <si>
    <r>
      <rPr>
        <u/>
        <sz val="11"/>
        <color rgb="FF1155CC"/>
        <rFont val="Arial"/>
        <scheme val="minor"/>
      </rPr>
      <t>竹下 徠空</t>
    </r>
  </si>
  <si>
    <t>115kg</t>
  </si>
  <si>
    <t>201</t>
  </si>
  <si>
    <r>
      <rPr>
        <u/>
        <sz val="11"/>
        <color rgb="FF1155CC"/>
        <rFont val="Arial"/>
        <scheme val="minor"/>
      </rPr>
      <t>ウィットリー</t>
    </r>
  </si>
  <si>
    <t>201cm</t>
  </si>
  <si>
    <t>202</t>
  </si>
  <si>
    <t>026</t>
  </si>
  <si>
    <r>
      <rPr>
        <u/>
        <sz val="11"/>
        <color rgb="FF1155CC"/>
        <rFont val="Arial"/>
        <scheme val="minor"/>
      </rPr>
      <t>吉村 優聖歩</t>
    </r>
  </si>
  <si>
    <t>203</t>
  </si>
  <si>
    <t>027</t>
  </si>
  <si>
    <r>
      <rPr>
        <u/>
        <sz val="11"/>
        <color rgb="FF1155CC"/>
        <rFont val="Arial"/>
        <scheme val="minor"/>
      </rPr>
      <t>北村 流音</t>
    </r>
  </si>
  <si>
    <t>204</t>
  </si>
  <si>
    <r>
      <rPr>
        <u/>
        <sz val="11"/>
        <color rgb="FF1155CC"/>
        <rFont val="Arial"/>
        <scheme val="minor"/>
      </rPr>
      <t>岸田 行倫</t>
    </r>
  </si>
  <si>
    <t>7,000万円</t>
  </si>
  <si>
    <t>205</t>
  </si>
  <si>
    <t>028</t>
  </si>
  <si>
    <r>
      <rPr>
        <u/>
        <sz val="11"/>
        <color rgb="FF1155CC"/>
        <rFont val="Arial"/>
        <scheme val="minor"/>
      </rPr>
      <t>富田 龍</t>
    </r>
  </si>
  <si>
    <t>206</t>
  </si>
  <si>
    <r>
      <rPr>
        <u/>
        <sz val="11"/>
        <color rgb="FF1155CC"/>
        <rFont val="Arial"/>
        <scheme val="minor"/>
      </rPr>
      <t>ハワード</t>
    </r>
  </si>
  <si>
    <t>207</t>
  </si>
  <si>
    <t>029</t>
  </si>
  <si>
    <r>
      <rPr>
        <u/>
        <sz val="11"/>
        <color rgb="FF1155CC"/>
        <rFont val="Arial"/>
        <scheme val="minor"/>
      </rPr>
      <t>西川 歩</t>
    </r>
  </si>
  <si>
    <t>169cm</t>
  </si>
  <si>
    <t>208</t>
  </si>
  <si>
    <r>
      <rPr>
        <u/>
        <sz val="11"/>
        <color rgb="FF1155CC"/>
        <rFont val="Arial"/>
        <scheme val="minor"/>
      </rPr>
      <t>ダルベック</t>
    </r>
  </si>
  <si>
    <t>15,000万円</t>
  </si>
  <si>
    <t>209</t>
  </si>
  <si>
    <r>
      <rPr>
        <u/>
        <sz val="11"/>
        <color rgb="FF1155CC"/>
        <rFont val="Arial"/>
        <scheme val="minor"/>
      </rPr>
      <t>田和 廉</t>
    </r>
  </si>
  <si>
    <t>210</t>
  </si>
  <si>
    <t>030</t>
  </si>
  <si>
    <r>
      <rPr>
        <u/>
        <sz val="11"/>
        <color rgb="FF1155CC"/>
        <rFont val="Arial"/>
        <scheme val="minor"/>
      </rPr>
      <t>吹田 志道</t>
    </r>
  </si>
  <si>
    <t>211</t>
  </si>
  <si>
    <r>
      <rPr>
        <u/>
        <sz val="11"/>
        <color rgb="FF1155CC"/>
        <rFont val="Arial"/>
        <scheme val="minor"/>
      </rPr>
      <t>赤星 優志</t>
    </r>
  </si>
  <si>
    <t>4,800万円</t>
  </si>
  <si>
    <t>212</t>
  </si>
  <si>
    <r>
      <rPr>
        <u/>
        <sz val="11"/>
        <color rgb="FF1155CC"/>
        <rFont val="Arial"/>
        <scheme val="minor"/>
      </rPr>
      <t>浦田 俊輔</t>
    </r>
  </si>
  <si>
    <t>1,300万円</t>
  </si>
  <si>
    <t>213</t>
  </si>
  <si>
    <r>
      <rPr>
        <u/>
        <sz val="11"/>
        <color rgb="FF1155CC"/>
        <rFont val="Arial"/>
        <scheme val="minor"/>
      </rPr>
      <t>小濱 佑斗</t>
    </r>
  </si>
  <si>
    <t>214</t>
  </si>
  <si>
    <t>034</t>
  </si>
  <si>
    <r>
      <rPr>
        <u/>
        <sz val="11"/>
        <color rgb="FF1155CC"/>
        <rFont val="Arial"/>
        <scheme val="minor"/>
      </rPr>
      <t>森本 哲星</t>
    </r>
  </si>
  <si>
    <t>鳥取</t>
  </si>
  <si>
    <t>215</t>
  </si>
  <si>
    <r>
      <rPr>
        <u/>
        <sz val="11"/>
        <color rgb="FF1155CC"/>
        <rFont val="Arial"/>
        <scheme val="minor"/>
      </rPr>
      <t>泉口 友汰</t>
    </r>
  </si>
  <si>
    <t>5,900万円</t>
  </si>
  <si>
    <t>216</t>
  </si>
  <si>
    <r>
      <rPr>
        <u/>
        <sz val="11"/>
        <color rgb="FF1155CC"/>
        <rFont val="Arial"/>
        <scheme val="minor"/>
      </rPr>
      <t>山城 京平</t>
    </r>
  </si>
  <si>
    <t>217</t>
  </si>
  <si>
    <r>
      <rPr>
        <u/>
        <sz val="11"/>
        <color rgb="FF1155CC"/>
        <rFont val="Arial"/>
        <scheme val="minor"/>
      </rPr>
      <t>郡 拓也</t>
    </r>
  </si>
  <si>
    <t>218</t>
  </si>
  <si>
    <r>
      <rPr>
        <u/>
        <sz val="11"/>
        <color rgb="FF1155CC"/>
        <rFont val="Arial"/>
        <scheme val="minor"/>
      </rPr>
      <t>岡田 悠希</t>
    </r>
  </si>
  <si>
    <t>219</t>
  </si>
  <si>
    <r>
      <rPr>
        <u/>
        <sz val="11"/>
        <color rgb="FF1155CC"/>
        <rFont val="Arial"/>
        <scheme val="minor"/>
      </rPr>
      <t>皆川 岳飛</t>
    </r>
  </si>
  <si>
    <t>220</t>
  </si>
  <si>
    <r>
      <rPr>
        <u/>
        <sz val="11"/>
        <color rgb="FF1155CC"/>
        <rFont val="Arial"/>
        <scheme val="minor"/>
      </rPr>
      <t>中山 礼都</t>
    </r>
  </si>
  <si>
    <t>3,800万円</t>
  </si>
  <si>
    <t>221</t>
  </si>
  <si>
    <t>041</t>
  </si>
  <si>
    <r>
      <rPr>
        <u/>
        <sz val="11"/>
        <color rgb="FF1155CC"/>
        <rFont val="Arial"/>
        <scheme val="minor"/>
      </rPr>
      <t>黄 錦豪</t>
    </r>
  </si>
  <si>
    <t>台湾</t>
  </si>
  <si>
    <t>222</t>
  </si>
  <si>
    <r>
      <rPr>
        <u/>
        <sz val="11"/>
        <color rgb="FF1155CC"/>
        <rFont val="Arial"/>
        <scheme val="minor"/>
      </rPr>
      <t>中川 皓太</t>
    </r>
  </si>
  <si>
    <t>223</t>
  </si>
  <si>
    <r>
      <rPr>
        <u/>
        <sz val="11"/>
        <color rgb="FF1155CC"/>
        <rFont val="Arial"/>
        <scheme val="minor"/>
      </rPr>
      <t>マタ</t>
    </r>
  </si>
  <si>
    <t>101kg</t>
  </si>
  <si>
    <t>224</t>
  </si>
  <si>
    <t>042</t>
  </si>
  <si>
    <r>
      <rPr>
        <u/>
        <sz val="11"/>
        <color rgb="FF1155CC"/>
        <rFont val="Arial"/>
        <scheme val="minor"/>
      </rPr>
      <t>グズマン</t>
    </r>
  </si>
  <si>
    <t>225</t>
  </si>
  <si>
    <r>
      <rPr>
        <u/>
        <sz val="11"/>
        <color rgb="FF1155CC"/>
        <rFont val="Arial"/>
        <scheme val="minor"/>
      </rPr>
      <t>則本 昂大</t>
    </r>
  </si>
  <si>
    <t>226</t>
  </si>
  <si>
    <r>
      <rPr>
        <u/>
        <sz val="11"/>
        <color rgb="FF1155CC"/>
        <rFont val="Arial"/>
        <scheme val="minor"/>
      </rPr>
      <t>佐々木 俊輔</t>
    </r>
  </si>
  <si>
    <t>227</t>
  </si>
  <si>
    <r>
      <rPr>
        <u/>
        <sz val="11"/>
        <color rgb="FF1155CC"/>
        <rFont val="Arial"/>
        <scheme val="minor"/>
      </rPr>
      <t>田中 瑛斗</t>
    </r>
  </si>
  <si>
    <t>4,650万円</t>
  </si>
  <si>
    <t>228</t>
  </si>
  <si>
    <r>
      <rPr>
        <u/>
        <sz val="11"/>
        <color rgb="FF1155CC"/>
        <rFont val="Arial"/>
        <scheme val="minor"/>
      </rPr>
      <t>又木 鉄平</t>
    </r>
  </si>
  <si>
    <t>山梨</t>
  </si>
  <si>
    <t>970万円</t>
  </si>
  <si>
    <t>229</t>
  </si>
  <si>
    <t>047</t>
  </si>
  <si>
    <r>
      <rPr>
        <u/>
        <sz val="11"/>
        <color rgb="FF1155CC"/>
        <rFont val="Arial"/>
        <scheme val="minor"/>
      </rPr>
      <t>河野 優作</t>
    </r>
  </si>
  <si>
    <t>230</t>
  </si>
  <si>
    <r>
      <rPr>
        <u/>
        <sz val="11"/>
        <color rgb="FF1155CC"/>
        <rFont val="Arial"/>
        <scheme val="minor"/>
      </rPr>
      <t>森田 駿哉</t>
    </r>
  </si>
  <si>
    <t>231</t>
  </si>
  <si>
    <r>
      <rPr>
        <u/>
        <sz val="11"/>
        <color rgb="FF1155CC"/>
        <rFont val="Arial"/>
        <scheme val="minor"/>
      </rPr>
      <t>ルシアーノ</t>
    </r>
  </si>
  <si>
    <t>232</t>
  </si>
  <si>
    <t>049</t>
  </si>
  <si>
    <r>
      <rPr>
        <u/>
        <sz val="11"/>
        <color rgb="FF1155CC"/>
        <rFont val="Arial"/>
        <scheme val="minor"/>
      </rPr>
      <t>フェリス</t>
    </r>
  </si>
  <si>
    <t>200cm</t>
  </si>
  <si>
    <t>127kg</t>
  </si>
  <si>
    <t>233</t>
  </si>
  <si>
    <r>
      <rPr>
        <u/>
        <sz val="11"/>
        <color rgb="FF1155CC"/>
        <rFont val="Arial"/>
        <scheme val="minor"/>
      </rPr>
      <t>バルドナード</t>
    </r>
  </si>
  <si>
    <t>122kg</t>
  </si>
  <si>
    <t>234</t>
  </si>
  <si>
    <r>
      <rPr>
        <u/>
        <sz val="11"/>
        <color rgb="FF1155CC"/>
        <rFont val="Arial"/>
        <scheme val="minor"/>
      </rPr>
      <t>ティマ</t>
    </r>
  </si>
  <si>
    <t>194cm</t>
  </si>
  <si>
    <t>235</t>
  </si>
  <si>
    <t>050</t>
  </si>
  <si>
    <r>
      <rPr>
        <u/>
        <sz val="11"/>
        <color rgb="FF1155CC"/>
        <rFont val="Arial"/>
        <scheme val="minor"/>
      </rPr>
      <t>板東 湧梧</t>
    </r>
  </si>
  <si>
    <t>236</t>
  </si>
  <si>
    <r>
      <rPr>
        <u/>
        <sz val="11"/>
        <color rgb="FF1155CC"/>
        <rFont val="Arial"/>
        <scheme val="minor"/>
      </rPr>
      <t>浅野 翔吾</t>
    </r>
  </si>
  <si>
    <t>1,700万円</t>
  </si>
  <si>
    <t>237</t>
  </si>
  <si>
    <r>
      <rPr>
        <u/>
        <sz val="11"/>
        <color rgb="FF1155CC"/>
        <rFont val="Arial"/>
        <scheme val="minor"/>
      </rPr>
      <t>リチャード</t>
    </r>
  </si>
  <si>
    <t>120kg</t>
  </si>
  <si>
    <t>238</t>
  </si>
  <si>
    <r>
      <rPr>
        <u/>
        <sz val="11"/>
        <color rgb="FF1155CC"/>
        <rFont val="Arial"/>
        <scheme val="minor"/>
      </rPr>
      <t>高梨 雄平</t>
    </r>
  </si>
  <si>
    <t>239</t>
  </si>
  <si>
    <r>
      <rPr>
        <u/>
        <sz val="11"/>
        <color rgb="FF1155CC"/>
        <rFont val="Arial"/>
        <scheme val="minor"/>
      </rPr>
      <t>松浦 慶斗</t>
    </r>
  </si>
  <si>
    <t>240</t>
  </si>
  <si>
    <r>
      <rPr>
        <u/>
        <sz val="11"/>
        <color rgb="FF1155CC"/>
        <rFont val="Arial"/>
        <scheme val="minor"/>
      </rPr>
      <t>北浦 竜次</t>
    </r>
  </si>
  <si>
    <t>103kg</t>
  </si>
  <si>
    <t>241</t>
  </si>
  <si>
    <r>
      <rPr>
        <u/>
        <sz val="11"/>
        <color rgb="FF1155CC"/>
        <rFont val="Arial"/>
        <scheme val="minor"/>
      </rPr>
      <t>宮原 駿介</t>
    </r>
  </si>
  <si>
    <t>242</t>
  </si>
  <si>
    <r>
      <rPr>
        <u/>
        <sz val="11"/>
        <color rgb="FF1155CC"/>
        <rFont val="Arial"/>
        <scheme val="minor"/>
      </rPr>
      <t>船迫 大雅</t>
    </r>
  </si>
  <si>
    <t>9,000万円</t>
  </si>
  <si>
    <t>244</t>
  </si>
  <si>
    <r>
      <rPr>
        <u/>
        <sz val="11"/>
        <color rgb="FF1155CC"/>
        <rFont val="Arial"/>
        <scheme val="minor"/>
      </rPr>
      <t>鈴木 大和</t>
    </r>
  </si>
  <si>
    <t>440万円</t>
  </si>
  <si>
    <t>245</t>
  </si>
  <si>
    <r>
      <rPr>
        <u/>
        <sz val="11"/>
        <color rgb="FF1155CC"/>
        <rFont val="Arial"/>
        <scheme val="minor"/>
      </rPr>
      <t>荒巻 悠</t>
    </r>
  </si>
  <si>
    <t>246</t>
  </si>
  <si>
    <r>
      <rPr>
        <u/>
        <sz val="11"/>
        <color rgb="FF1155CC"/>
        <rFont val="Arial"/>
        <scheme val="minor"/>
      </rPr>
      <t>増田 陸</t>
    </r>
  </si>
  <si>
    <t>247</t>
  </si>
  <si>
    <r>
      <rPr>
        <u/>
        <sz val="11"/>
        <color rgb="FF1155CC"/>
        <rFont val="Arial"/>
        <scheme val="minor"/>
      </rPr>
      <t>横川 凱</t>
    </r>
  </si>
  <si>
    <t>248</t>
  </si>
  <si>
    <r>
      <rPr>
        <u/>
        <sz val="11"/>
        <color rgb="FF1155CC"/>
        <rFont val="Arial"/>
        <scheme val="minor"/>
      </rPr>
      <t>泉 圭輔</t>
    </r>
  </si>
  <si>
    <t>249</t>
  </si>
  <si>
    <t>063</t>
  </si>
  <si>
    <r>
      <rPr>
        <u/>
        <sz val="11"/>
        <color rgb="FF1155CC"/>
        <rFont val="Arial"/>
        <scheme val="minor"/>
      </rPr>
      <t>花田 侑樹</t>
    </r>
  </si>
  <si>
    <t>250</t>
  </si>
  <si>
    <r>
      <rPr>
        <u/>
        <sz val="11"/>
        <color rgb="FF1155CC"/>
        <rFont val="Arial"/>
        <scheme val="minor"/>
      </rPr>
      <t>山田 龍聖</t>
    </r>
  </si>
  <si>
    <t>251</t>
  </si>
  <si>
    <r>
      <rPr>
        <u/>
        <sz val="11"/>
        <color rgb="FF1155CC"/>
        <rFont val="Arial"/>
        <scheme val="minor"/>
      </rPr>
      <t>石川 達也</t>
    </r>
  </si>
  <si>
    <t>左右</t>
  </si>
  <si>
    <t>3,650万円</t>
  </si>
  <si>
    <t>252</t>
  </si>
  <si>
    <r>
      <rPr>
        <u/>
        <sz val="11"/>
        <color rgb="FF1155CC"/>
        <rFont val="Arial"/>
        <scheme val="minor"/>
      </rPr>
      <t>平内 龍太</t>
    </r>
  </si>
  <si>
    <t>253</t>
  </si>
  <si>
    <r>
      <rPr>
        <u/>
        <sz val="11"/>
        <color rgb="FF1155CC"/>
        <rFont val="Arial"/>
        <scheme val="minor"/>
      </rPr>
      <t>山瀬 慎之助</t>
    </r>
  </si>
  <si>
    <t>254</t>
  </si>
  <si>
    <t>067</t>
  </si>
  <si>
    <r>
      <rPr>
        <u/>
        <sz val="11"/>
        <color rgb="FF1155CC"/>
        <rFont val="Arial"/>
        <scheme val="minor"/>
      </rPr>
      <t>川原田 純平</t>
    </r>
  </si>
  <si>
    <t>168cm</t>
  </si>
  <si>
    <t>255</t>
  </si>
  <si>
    <r>
      <rPr>
        <u/>
        <sz val="11"/>
        <color rgb="FF1155CC"/>
        <rFont val="Arial"/>
        <scheme val="minor"/>
      </rPr>
      <t>宇都宮 葵星</t>
    </r>
  </si>
  <si>
    <t>256</t>
  </si>
  <si>
    <r>
      <rPr>
        <u/>
        <sz val="11"/>
        <color rgb="FF1155CC"/>
        <rFont val="Arial"/>
        <scheme val="minor"/>
      </rPr>
      <t>平山 功太</t>
    </r>
  </si>
  <si>
    <t>257</t>
  </si>
  <si>
    <t>077</t>
  </si>
  <si>
    <r>
      <rPr>
        <u/>
        <sz val="11"/>
        <color rgb="FF1155CC"/>
        <rFont val="Arial"/>
        <scheme val="minor"/>
      </rPr>
      <t>石田 隼都</t>
    </r>
  </si>
  <si>
    <t>510万円</t>
  </si>
  <si>
    <t>258</t>
  </si>
  <si>
    <t>090</t>
  </si>
  <si>
    <r>
      <rPr>
        <u/>
        <sz val="11"/>
        <color rgb="FF1155CC"/>
        <rFont val="Arial"/>
        <scheme val="minor"/>
      </rPr>
      <t>石田 充冴</t>
    </r>
  </si>
  <si>
    <t>259</t>
  </si>
  <si>
    <r>
      <rPr>
        <u/>
        <sz val="11"/>
        <color rgb="FF1155CC"/>
        <rFont val="Arial"/>
        <scheme val="minor"/>
      </rPr>
      <t>堀田 賢慎</t>
    </r>
  </si>
  <si>
    <t>260</t>
  </si>
  <si>
    <t>キューバ</t>
  </si>
  <si>
    <t>120,000万円</t>
  </si>
  <si>
    <t>261</t>
  </si>
  <si>
    <r>
      <rPr>
        <u/>
        <sz val="11"/>
        <color rgb="FF1155CC"/>
        <rFont val="Arial"/>
        <scheme val="minor"/>
      </rPr>
      <t>知念 大成</t>
    </r>
  </si>
  <si>
    <t>262</t>
  </si>
  <si>
    <r>
      <rPr>
        <u/>
        <sz val="11"/>
        <color rgb="FF1155CC"/>
        <rFont val="Arial"/>
        <scheme val="minor"/>
      </rPr>
      <t>笹原 操希</t>
    </r>
  </si>
  <si>
    <t>263</t>
  </si>
  <si>
    <r>
      <rPr>
        <u/>
        <sz val="11"/>
        <color rgb="FF1155CC"/>
        <rFont val="Arial"/>
        <scheme val="minor"/>
      </rPr>
      <t>三塚 琉生</t>
    </r>
  </si>
  <si>
    <t>264</t>
  </si>
  <si>
    <r>
      <rPr>
        <u/>
        <sz val="11"/>
        <color rgb="FF1155CC"/>
        <rFont val="Arial"/>
        <scheme val="minor"/>
      </rPr>
      <t>井上 温大</t>
    </r>
  </si>
  <si>
    <t>265</t>
  </si>
  <si>
    <r>
      <rPr>
        <u/>
        <sz val="11"/>
        <color rgb="FF1155CC"/>
        <rFont val="Arial"/>
        <scheme val="minor"/>
      </rPr>
      <t>小笠原 慎之介</t>
    </r>
  </si>
  <si>
    <t>266</t>
  </si>
  <si>
    <r>
      <rPr>
        <u/>
        <sz val="11"/>
        <color rgb="FF1155CC"/>
        <rFont val="Arial"/>
        <scheme val="minor"/>
      </rPr>
      <t>藤井 健翔</t>
    </r>
  </si>
  <si>
    <t>267</t>
  </si>
  <si>
    <t>099</t>
  </si>
  <si>
    <r>
      <rPr>
        <u/>
        <sz val="11"/>
        <color rgb="FF1155CC"/>
        <rFont val="Arial"/>
        <scheme val="minor"/>
      </rPr>
      <t>京本 眞</t>
    </r>
  </si>
  <si>
    <t>268</t>
  </si>
  <si>
    <r>
      <rPr>
        <u/>
        <sz val="11"/>
        <color rgb="FF1155CC"/>
        <rFont val="Arial"/>
        <scheme val="minor"/>
      </rPr>
      <t>辻本 倫太郎</t>
    </r>
  </si>
  <si>
    <t>d</t>
  </si>
  <si>
    <t>269</t>
  </si>
  <si>
    <r>
      <rPr>
        <u/>
        <sz val="11"/>
        <color rgb="FF1155CC"/>
        <rFont val="Arial"/>
        <scheme val="minor"/>
      </rPr>
      <t>尾田 剛樹</t>
    </r>
  </si>
  <si>
    <t>270</t>
  </si>
  <si>
    <r>
      <rPr>
        <u/>
        <sz val="11"/>
        <color rgb="FF1155CC"/>
        <rFont val="Arial"/>
        <scheme val="minor"/>
      </rPr>
      <t>岡林 勇希</t>
    </r>
  </si>
  <si>
    <t>271</t>
  </si>
  <si>
    <r>
      <rPr>
        <u/>
        <sz val="11"/>
        <color rgb="FF1155CC"/>
        <rFont val="Arial"/>
        <scheme val="minor"/>
      </rPr>
      <t>田中 幹也</t>
    </r>
  </si>
  <si>
    <t>166cm</t>
  </si>
  <si>
    <t>272</t>
  </si>
  <si>
    <r>
      <rPr>
        <u/>
        <sz val="11"/>
        <color rgb="FF1155CC"/>
        <rFont val="Arial"/>
        <scheme val="minor"/>
      </rPr>
      <t>高橋 周平</t>
    </r>
  </si>
  <si>
    <t>273</t>
  </si>
  <si>
    <r>
      <rPr>
        <u/>
        <sz val="11"/>
        <color rgb="FF1155CC"/>
        <rFont val="Arial"/>
        <scheme val="minor"/>
      </rPr>
      <t>カリステ</t>
    </r>
  </si>
  <si>
    <t>274</t>
  </si>
  <si>
    <r>
      <rPr>
        <u/>
        <sz val="11"/>
        <color rgb="FF1155CC"/>
        <rFont val="Arial"/>
        <scheme val="minor"/>
      </rPr>
      <t>村松 開人</t>
    </r>
  </si>
  <si>
    <t>275</t>
  </si>
  <si>
    <r>
      <rPr>
        <u/>
        <sz val="11"/>
        <color rgb="FF1155CC"/>
        <rFont val="Arial"/>
        <scheme val="minor"/>
      </rPr>
      <t>福永 裕基</t>
    </r>
  </si>
  <si>
    <t>276</t>
  </si>
  <si>
    <r>
      <rPr>
        <u/>
        <sz val="11"/>
        <color rgb="FF1155CC"/>
        <rFont val="Arial"/>
        <scheme val="minor"/>
      </rPr>
      <t>大島 洋平</t>
    </r>
  </si>
  <si>
    <t>40歳</t>
  </si>
  <si>
    <t>17年</t>
  </si>
  <si>
    <t>277</t>
  </si>
  <si>
    <r>
      <rPr>
        <u/>
        <sz val="11"/>
        <color rgb="FF1155CC"/>
        <rFont val="Arial"/>
        <scheme val="minor"/>
      </rPr>
      <t>石伊 雄太</t>
    </r>
  </si>
  <si>
    <t>278</t>
  </si>
  <si>
    <r>
      <rPr>
        <u/>
        <sz val="11"/>
        <color rgb="FF1155CC"/>
        <rFont val="Arial"/>
        <scheme val="minor"/>
      </rPr>
      <t>中西 聖輝</t>
    </r>
  </si>
  <si>
    <t>279</t>
  </si>
  <si>
    <r>
      <rPr>
        <u/>
        <sz val="11"/>
        <color rgb="FF1155CC"/>
        <rFont val="Arial"/>
        <scheme val="minor"/>
      </rPr>
      <t>橋本 侑樹</t>
    </r>
  </si>
  <si>
    <t>3,900万円</t>
  </si>
  <si>
    <t>280</t>
  </si>
  <si>
    <r>
      <rPr>
        <u/>
        <sz val="11"/>
        <color rgb="FF1155CC"/>
        <rFont val="Arial"/>
        <scheme val="minor"/>
      </rPr>
      <t>草加 勝</t>
    </r>
  </si>
  <si>
    <t>281</t>
  </si>
  <si>
    <r>
      <rPr>
        <u/>
        <sz val="11"/>
        <color rgb="FF1155CC"/>
        <rFont val="Arial"/>
        <scheme val="minor"/>
      </rPr>
      <t>櫻井 頼之介</t>
    </r>
  </si>
  <si>
    <t>282</t>
  </si>
  <si>
    <r>
      <rPr>
        <u/>
        <sz val="11"/>
        <color rgb="FF1155CC"/>
        <rFont val="Arial"/>
        <scheme val="minor"/>
      </rPr>
      <t>柳 裕也</t>
    </r>
  </si>
  <si>
    <t>283</t>
  </si>
  <si>
    <r>
      <rPr>
        <u/>
        <sz val="11"/>
        <color rgb="FF1155CC"/>
        <rFont val="Arial"/>
        <scheme val="minor"/>
      </rPr>
      <t>髙橋 宏斗</t>
    </r>
  </si>
  <si>
    <t>284</t>
  </si>
  <si>
    <r>
      <rPr>
        <u/>
        <sz val="11"/>
        <color rgb="FF1155CC"/>
        <rFont val="Arial"/>
        <scheme val="minor"/>
      </rPr>
      <t>涌井 秀章</t>
    </r>
  </si>
  <si>
    <t>22年</t>
  </si>
  <si>
    <t>285</t>
  </si>
  <si>
    <r>
      <rPr>
        <u/>
        <sz val="11"/>
        <color rgb="FF1155CC"/>
        <rFont val="Arial"/>
        <scheme val="minor"/>
      </rPr>
      <t>金丸 夢斗</t>
    </r>
  </si>
  <si>
    <t>286</t>
  </si>
  <si>
    <r>
      <rPr>
        <u/>
        <sz val="11"/>
        <color rgb="FF1155CC"/>
        <rFont val="Arial"/>
        <scheme val="minor"/>
      </rPr>
      <t>大野 雄大</t>
    </r>
  </si>
  <si>
    <t>287</t>
  </si>
  <si>
    <r>
      <rPr>
        <u/>
        <sz val="11"/>
        <color rgb="FF1155CC"/>
        <rFont val="Arial"/>
        <scheme val="minor"/>
      </rPr>
      <t>サノー</t>
    </r>
  </si>
  <si>
    <t>126kg</t>
  </si>
  <si>
    <t>288</t>
  </si>
  <si>
    <r>
      <rPr>
        <u/>
        <sz val="11"/>
        <color rgb="FF1155CC"/>
        <rFont val="Arial"/>
        <scheme val="minor"/>
      </rPr>
      <t>ボスラー</t>
    </r>
  </si>
  <si>
    <t>289</t>
  </si>
  <si>
    <r>
      <rPr>
        <u/>
        <sz val="11"/>
        <color rgb="FF1155CC"/>
        <rFont val="Arial"/>
        <scheme val="minor"/>
      </rPr>
      <t>石川 昂弥</t>
    </r>
  </si>
  <si>
    <t>290</t>
  </si>
  <si>
    <r>
      <rPr>
        <u/>
        <sz val="11"/>
        <color rgb="FF1155CC"/>
        <rFont val="Arial"/>
        <scheme val="minor"/>
      </rPr>
      <t>仲地 礼亜</t>
    </r>
  </si>
  <si>
    <t>291</t>
  </si>
  <si>
    <r>
      <rPr>
        <u/>
        <sz val="11"/>
        <color rgb="FF1155CC"/>
        <rFont val="Arial"/>
        <scheme val="minor"/>
      </rPr>
      <t>アブレウ</t>
    </r>
  </si>
  <si>
    <t>292</t>
  </si>
  <si>
    <r>
      <rPr>
        <u/>
        <sz val="11"/>
        <color rgb="FF1155CC"/>
        <rFont val="Arial"/>
        <scheme val="minor"/>
      </rPr>
      <t>松木平 優太</t>
    </r>
  </si>
  <si>
    <t>293</t>
  </si>
  <si>
    <r>
      <rPr>
        <u/>
        <sz val="11"/>
        <color rgb="FF1155CC"/>
        <rFont val="Arial"/>
        <scheme val="minor"/>
      </rPr>
      <t>根尾 昂</t>
    </r>
  </si>
  <si>
    <t>1,050万円</t>
  </si>
  <si>
    <t>294</t>
  </si>
  <si>
    <r>
      <rPr>
        <u/>
        <sz val="11"/>
        <color rgb="FF1155CC"/>
        <rFont val="Arial"/>
        <scheme val="minor"/>
      </rPr>
      <t>森 駿太</t>
    </r>
  </si>
  <si>
    <t>295</t>
  </si>
  <si>
    <r>
      <rPr>
        <u/>
        <sz val="11"/>
        <color rgb="FF1155CC"/>
        <rFont val="Arial"/>
        <scheme val="minor"/>
      </rPr>
      <t>伊藤 茉央</t>
    </r>
  </si>
  <si>
    <t>296</t>
  </si>
  <si>
    <r>
      <rPr>
        <u/>
        <sz val="11"/>
        <color rgb="FF1155CC"/>
        <rFont val="Arial"/>
        <scheme val="minor"/>
      </rPr>
      <t>杉浦 稔大</t>
    </r>
  </si>
  <si>
    <t>297</t>
  </si>
  <si>
    <r>
      <rPr>
        <u/>
        <sz val="11"/>
        <color rgb="FF1155CC"/>
        <rFont val="Arial"/>
        <scheme val="minor"/>
      </rPr>
      <t>福 敬登</t>
    </r>
  </si>
  <si>
    <t>298</t>
  </si>
  <si>
    <r>
      <rPr>
        <u/>
        <sz val="11"/>
        <color rgb="FF1155CC"/>
        <rFont val="Arial"/>
        <scheme val="minor"/>
      </rPr>
      <t>木下 拓哉</t>
    </r>
  </si>
  <si>
    <t>299</t>
  </si>
  <si>
    <r>
      <rPr>
        <u/>
        <sz val="11"/>
        <color rgb="FF1155CC"/>
        <rFont val="Arial"/>
        <scheme val="minor"/>
      </rPr>
      <t>福田 幸之介</t>
    </r>
  </si>
  <si>
    <t>300</t>
  </si>
  <si>
    <r>
      <rPr>
        <u/>
        <sz val="11"/>
        <color rgb="FF1155CC"/>
        <rFont val="Arial"/>
        <scheme val="minor"/>
      </rPr>
      <t>松葉 貴大</t>
    </r>
  </si>
  <si>
    <t>301</t>
  </si>
  <si>
    <r>
      <rPr>
        <u/>
        <sz val="11"/>
        <color rgb="FF1155CC"/>
        <rFont val="Arial"/>
        <scheme val="minor"/>
      </rPr>
      <t>宇佐見 真吾</t>
    </r>
  </si>
  <si>
    <t>302</t>
  </si>
  <si>
    <r>
      <rPr>
        <u/>
        <sz val="11"/>
        <color rgb="FF1155CC"/>
        <rFont val="Arial"/>
        <scheme val="minor"/>
      </rPr>
      <t>勝野 昌慶</t>
    </r>
  </si>
  <si>
    <t>3,300万円</t>
  </si>
  <si>
    <t>303</t>
  </si>
  <si>
    <r>
      <rPr>
        <u/>
        <sz val="11"/>
        <color rgb="FF1155CC"/>
        <rFont val="Arial"/>
        <scheme val="minor"/>
      </rPr>
      <t>ブライト 健太</t>
    </r>
  </si>
  <si>
    <t>2,200万円</t>
  </si>
  <si>
    <t>304</t>
  </si>
  <si>
    <r>
      <rPr>
        <u/>
        <sz val="11"/>
        <color rgb="FF1155CC"/>
        <rFont val="Arial"/>
        <scheme val="minor"/>
      </rPr>
      <t>味谷 大誠</t>
    </r>
  </si>
  <si>
    <t>610万円</t>
  </si>
  <si>
    <t>305</t>
  </si>
  <si>
    <r>
      <rPr>
        <u/>
        <sz val="11"/>
        <color rgb="FF1155CC"/>
        <rFont val="Arial"/>
        <scheme val="minor"/>
      </rPr>
      <t>川越 誠司</t>
    </r>
  </si>
  <si>
    <t>1,400万円</t>
  </si>
  <si>
    <t>306</t>
  </si>
  <si>
    <r>
      <rPr>
        <u/>
        <sz val="11"/>
        <color rgb="FF1155CC"/>
        <rFont val="Arial"/>
        <scheme val="minor"/>
      </rPr>
      <t>土田 龍空</t>
    </r>
  </si>
  <si>
    <t>307</t>
  </si>
  <si>
    <r>
      <rPr>
        <u/>
        <sz val="11"/>
        <color rgb="FF1155CC"/>
        <rFont val="Arial"/>
        <scheme val="minor"/>
      </rPr>
      <t>梅野 雄吾</t>
    </r>
  </si>
  <si>
    <t>308</t>
  </si>
  <si>
    <r>
      <rPr>
        <u/>
        <sz val="11"/>
        <color rgb="FF1155CC"/>
        <rFont val="Arial"/>
        <scheme val="minor"/>
      </rPr>
      <t>吉田 聖弥</t>
    </r>
  </si>
  <si>
    <t>1,150万円</t>
  </si>
  <si>
    <t>309</t>
  </si>
  <si>
    <r>
      <rPr>
        <u/>
        <sz val="11"/>
        <color rgb="FF1155CC"/>
        <rFont val="Arial"/>
        <scheme val="minor"/>
      </rPr>
      <t>阿部 寿樹</t>
    </r>
  </si>
  <si>
    <t>310</t>
  </si>
  <si>
    <r>
      <rPr>
        <u/>
        <sz val="11"/>
        <color rgb="FF1155CC"/>
        <rFont val="Arial"/>
        <scheme val="minor"/>
      </rPr>
      <t>加藤 匠馬</t>
    </r>
  </si>
  <si>
    <t>2,250万円</t>
  </si>
  <si>
    <t>311</t>
  </si>
  <si>
    <r>
      <rPr>
        <u/>
        <sz val="11"/>
        <color rgb="FF1155CC"/>
        <rFont val="Arial"/>
        <scheme val="minor"/>
      </rPr>
      <t>清水 達也</t>
    </r>
  </si>
  <si>
    <t>12,500万円</t>
  </si>
  <si>
    <t>312</t>
  </si>
  <si>
    <r>
      <rPr>
        <u/>
        <sz val="11"/>
        <color rgb="FF1155CC"/>
        <rFont val="Arial"/>
        <scheme val="minor"/>
      </rPr>
      <t>上林 誠知</t>
    </r>
  </si>
  <si>
    <t>4,600万円</t>
  </si>
  <si>
    <t>313</t>
  </si>
  <si>
    <r>
      <rPr>
        <u/>
        <sz val="11"/>
        <color rgb="FF1155CC"/>
        <rFont val="Arial"/>
        <scheme val="minor"/>
      </rPr>
      <t>篠﨑 国忠</t>
    </r>
  </si>
  <si>
    <t>105kg</t>
  </si>
  <si>
    <t>314</t>
  </si>
  <si>
    <r>
      <rPr>
        <u/>
        <sz val="11"/>
        <color rgb="FF1155CC"/>
        <rFont val="Arial"/>
        <scheme val="minor"/>
      </rPr>
      <t>宮内 春輝</t>
    </r>
  </si>
  <si>
    <t>770万円</t>
  </si>
  <si>
    <t>315</t>
  </si>
  <si>
    <r>
      <rPr>
        <u/>
        <sz val="11"/>
        <color rgb="FF1155CC"/>
        <rFont val="Arial"/>
        <scheme val="minor"/>
      </rPr>
      <t>藤嶋 健人</t>
    </r>
  </si>
  <si>
    <t>316</t>
  </si>
  <si>
    <r>
      <rPr>
        <u/>
        <sz val="11"/>
        <color rgb="FF1155CC"/>
        <rFont val="Arial"/>
        <scheme val="minor"/>
      </rPr>
      <t>細川 成也</t>
    </r>
  </si>
  <si>
    <t>317</t>
  </si>
  <si>
    <r>
      <rPr>
        <u/>
        <sz val="11"/>
        <color rgb="FF1155CC"/>
        <rFont val="Arial"/>
        <scheme val="minor"/>
      </rPr>
      <t>新保 茉良</t>
    </r>
  </si>
  <si>
    <t>318</t>
  </si>
  <si>
    <r>
      <rPr>
        <u/>
        <sz val="11"/>
        <color rgb="FF1155CC"/>
        <rFont val="Arial"/>
        <scheme val="minor"/>
      </rPr>
      <t>花田 旭</t>
    </r>
  </si>
  <si>
    <t>319</t>
  </si>
  <si>
    <r>
      <rPr>
        <u/>
        <sz val="11"/>
        <color rgb="FF1155CC"/>
        <rFont val="Arial"/>
        <scheme val="minor"/>
      </rPr>
      <t>石橋 康太</t>
    </r>
  </si>
  <si>
    <t>1,060万円</t>
  </si>
  <si>
    <t>320</t>
  </si>
  <si>
    <r>
      <rPr>
        <u/>
        <sz val="11"/>
        <color rgb="FF1155CC"/>
        <rFont val="Arial"/>
        <scheme val="minor"/>
      </rPr>
      <t>齋藤 綱記</t>
    </r>
  </si>
  <si>
    <t>321</t>
  </si>
  <si>
    <r>
      <rPr>
        <u/>
        <sz val="11"/>
        <color rgb="FF1155CC"/>
        <rFont val="Arial"/>
        <scheme val="minor"/>
      </rPr>
      <t>山本 泰寛</t>
    </r>
  </si>
  <si>
    <t>322</t>
  </si>
  <si>
    <r>
      <rPr>
        <u/>
        <sz val="11"/>
        <color rgb="FF1155CC"/>
        <rFont val="Arial"/>
        <scheme val="minor"/>
      </rPr>
      <t>高橋 幸佑</t>
    </r>
  </si>
  <si>
    <t>323</t>
  </si>
  <si>
    <r>
      <rPr>
        <u/>
        <sz val="11"/>
        <color rgb="FF1155CC"/>
        <rFont val="Arial"/>
        <scheme val="minor"/>
      </rPr>
      <t>森 博人</t>
    </r>
  </si>
  <si>
    <t>324</t>
  </si>
  <si>
    <r>
      <rPr>
        <u/>
        <sz val="11"/>
        <color rgb="FF1155CC"/>
        <rFont val="Arial"/>
        <scheme val="minor"/>
      </rPr>
      <t>板山 祐太郎</t>
    </r>
  </si>
  <si>
    <t>325</t>
  </si>
  <si>
    <r>
      <rPr>
        <u/>
        <sz val="11"/>
        <color rgb="FF1155CC"/>
        <rFont val="Arial"/>
        <scheme val="minor"/>
      </rPr>
      <t>有馬 惠叶</t>
    </r>
  </si>
  <si>
    <t>326</t>
  </si>
  <si>
    <r>
      <rPr>
        <u/>
        <sz val="11"/>
        <color rgb="FF1155CC"/>
        <rFont val="Arial"/>
        <scheme val="minor"/>
      </rPr>
      <t>知野 直人</t>
    </r>
  </si>
  <si>
    <t>新潟</t>
  </si>
  <si>
    <t>327</t>
  </si>
  <si>
    <r>
      <rPr>
        <u/>
        <sz val="11"/>
        <color rgb="FF1155CC"/>
        <rFont val="Arial"/>
        <scheme val="minor"/>
      </rPr>
      <t>鵜飼 航丞</t>
    </r>
  </si>
  <si>
    <t>328</t>
  </si>
  <si>
    <r>
      <rPr>
        <u/>
        <sz val="11"/>
        <color rgb="FF1155CC"/>
        <rFont val="Arial"/>
        <scheme val="minor"/>
      </rPr>
      <t>能戸 輝夢</t>
    </r>
  </si>
  <si>
    <t>329</t>
  </si>
  <si>
    <r>
      <rPr>
        <u/>
        <sz val="11"/>
        <color rgb="FF1155CC"/>
        <rFont val="Arial"/>
        <scheme val="minor"/>
      </rPr>
      <t>牧野 憲伸</t>
    </r>
  </si>
  <si>
    <t>330</t>
  </si>
  <si>
    <r>
      <rPr>
        <u/>
        <sz val="11"/>
        <color rgb="FF1155CC"/>
        <rFont val="Arial"/>
        <scheme val="minor"/>
      </rPr>
      <t>三浦 瑞樹</t>
    </r>
  </si>
  <si>
    <t>331</t>
  </si>
  <si>
    <r>
      <rPr>
        <u/>
        <sz val="11"/>
        <color rgb="FF1155CC"/>
        <rFont val="Arial"/>
        <scheme val="minor"/>
      </rPr>
      <t>近藤 廉</t>
    </r>
  </si>
  <si>
    <t>332</t>
  </si>
  <si>
    <r>
      <rPr>
        <u/>
        <sz val="11"/>
        <color rgb="FF1155CC"/>
        <rFont val="Arial"/>
        <scheme val="minor"/>
      </rPr>
      <t>松山 晋也</t>
    </r>
  </si>
  <si>
    <t>333</t>
  </si>
  <si>
    <r>
      <rPr>
        <u/>
        <sz val="11"/>
        <color rgb="FF1155CC"/>
        <rFont val="Arial"/>
        <scheme val="minor"/>
      </rPr>
      <t>メヒア</t>
    </r>
  </si>
  <si>
    <t>104kg</t>
  </si>
  <si>
    <t>334</t>
  </si>
  <si>
    <r>
      <rPr>
        <u/>
        <sz val="11"/>
        <color rgb="FF1155CC"/>
        <rFont val="Arial"/>
        <scheme val="minor"/>
      </rPr>
      <t>マラー</t>
    </r>
  </si>
  <si>
    <t>118kg</t>
  </si>
  <si>
    <t>335</t>
  </si>
  <si>
    <r>
      <rPr>
        <u/>
        <sz val="11"/>
        <color rgb="FF1155CC"/>
        <rFont val="Arial"/>
        <scheme val="minor"/>
      </rPr>
      <t>ロドリゲス</t>
    </r>
  </si>
  <si>
    <t>336</t>
  </si>
  <si>
    <r>
      <rPr>
        <u/>
        <sz val="11"/>
        <color rgb="FF1155CC"/>
        <rFont val="Arial"/>
        <scheme val="minor"/>
      </rPr>
      <t>樋口 正修</t>
    </r>
  </si>
  <si>
    <t>337</t>
  </si>
  <si>
    <r>
      <rPr>
        <u/>
        <sz val="11"/>
        <color rgb="FF1155CC"/>
        <rFont val="Arial"/>
        <scheme val="minor"/>
      </rPr>
      <t>中村 奈一輝</t>
    </r>
  </si>
  <si>
    <t>338</t>
  </si>
  <si>
    <r>
      <rPr>
        <u/>
        <sz val="11"/>
        <color rgb="FF1155CC"/>
        <rFont val="Arial"/>
        <scheme val="minor"/>
      </rPr>
      <t>井上 剣也</t>
    </r>
  </si>
  <si>
    <t>339</t>
  </si>
  <si>
    <r>
      <rPr>
        <u/>
        <sz val="11"/>
        <color rgb="FF1155CC"/>
        <rFont val="Arial"/>
        <scheme val="minor"/>
      </rPr>
      <t>土生 翔太</t>
    </r>
  </si>
  <si>
    <t>340</t>
  </si>
  <si>
    <r>
      <rPr>
        <u/>
        <sz val="11"/>
        <color rgb="FF1155CC"/>
        <rFont val="Arial"/>
        <scheme val="minor"/>
      </rPr>
      <t>山浅 龍之介</t>
    </r>
  </si>
  <si>
    <t>341</t>
  </si>
  <si>
    <r>
      <rPr>
        <u/>
        <sz val="11"/>
        <color rgb="FF1155CC"/>
        <rFont val="Arial"/>
        <scheme val="minor"/>
      </rPr>
      <t>津田 啓史</t>
    </r>
  </si>
  <si>
    <t>342</t>
  </si>
  <si>
    <r>
      <rPr>
        <u/>
        <sz val="11"/>
        <color rgb="FF1155CC"/>
        <rFont val="Arial"/>
        <scheme val="minor"/>
      </rPr>
      <t>福元 悠真</t>
    </r>
  </si>
  <si>
    <t>343</t>
  </si>
  <si>
    <r>
      <rPr>
        <u/>
        <sz val="11"/>
        <color rgb="FF1155CC"/>
        <rFont val="Arial"/>
        <scheme val="minor"/>
      </rPr>
      <t>梅津 晃大</t>
    </r>
  </si>
  <si>
    <t>344</t>
  </si>
  <si>
    <r>
      <rPr>
        <u/>
        <sz val="11"/>
        <color rgb="FF1155CC"/>
        <rFont val="Arial"/>
        <scheme val="minor"/>
      </rPr>
      <t>森山 暁生</t>
    </r>
  </si>
  <si>
    <t>345</t>
  </si>
  <si>
    <r>
      <rPr>
        <u/>
        <sz val="11"/>
        <color rgb="FF1155CC"/>
        <rFont val="Arial"/>
        <scheme val="minor"/>
      </rPr>
      <t>石川 大峨</t>
    </r>
  </si>
  <si>
    <t>346</t>
  </si>
  <si>
    <r>
      <rPr>
        <u/>
        <sz val="11"/>
        <color rgb="FF1155CC"/>
        <rFont val="Arial"/>
        <scheme val="minor"/>
      </rPr>
      <t>三上 愛介</t>
    </r>
  </si>
  <si>
    <t>347</t>
  </si>
  <si>
    <r>
      <rPr>
        <u/>
        <sz val="11"/>
        <color rgb="FF1155CC"/>
        <rFont val="Arial"/>
        <scheme val="minor"/>
      </rPr>
      <t>川上 理偉</t>
    </r>
  </si>
  <si>
    <t>330万円</t>
  </si>
  <si>
    <t>348</t>
  </si>
  <si>
    <t>349</t>
  </si>
  <si>
    <r>
      <rPr>
        <u/>
        <sz val="11"/>
        <color rgb="FF1155CC"/>
        <rFont val="Arial"/>
        <scheme val="minor"/>
      </rPr>
      <t>勝田 成</t>
    </r>
  </si>
  <si>
    <t>163cm</t>
  </si>
  <si>
    <t>c</t>
  </si>
  <si>
    <t>350</t>
  </si>
  <si>
    <r>
      <rPr>
        <u/>
        <sz val="11"/>
        <color rgb="FF1155CC"/>
        <rFont val="Arial"/>
        <scheme val="minor"/>
      </rPr>
      <t>矢野 雅哉</t>
    </r>
  </si>
  <si>
    <t>351</t>
  </si>
  <si>
    <r>
      <rPr>
        <u/>
        <sz val="11"/>
        <color rgb="FF1155CC"/>
        <rFont val="Arial"/>
        <scheme val="minor"/>
      </rPr>
      <t>小園 海斗</t>
    </r>
  </si>
  <si>
    <t>352</t>
  </si>
  <si>
    <r>
      <rPr>
        <u/>
        <sz val="11"/>
        <color rgb="FF1155CC"/>
        <rFont val="Arial"/>
        <scheme val="minor"/>
      </rPr>
      <t>堂林 翔太</t>
    </r>
  </si>
  <si>
    <t>353</t>
  </si>
  <si>
    <r>
      <rPr>
        <u/>
        <sz val="11"/>
        <color rgb="FF1155CC"/>
        <rFont val="Arial"/>
        <scheme val="minor"/>
      </rPr>
      <t>秋山 翔吾</t>
    </r>
  </si>
  <si>
    <t>354</t>
  </si>
  <si>
    <r>
      <rPr>
        <u/>
        <sz val="11"/>
        <color rgb="FF1155CC"/>
        <rFont val="Arial"/>
        <scheme val="minor"/>
      </rPr>
      <t>佐々木 泰</t>
    </r>
  </si>
  <si>
    <t>1,800万円</t>
  </si>
  <si>
    <t>355</t>
  </si>
  <si>
    <r>
      <rPr>
        <u/>
        <sz val="11"/>
        <color rgb="FF1155CC"/>
        <rFont val="Arial"/>
        <scheme val="minor"/>
      </rPr>
      <t>齊藤 汰直</t>
    </r>
  </si>
  <si>
    <t>356</t>
  </si>
  <si>
    <r>
      <rPr>
        <u/>
        <sz val="11"/>
        <color rgb="FF1155CC"/>
        <rFont val="Arial"/>
        <scheme val="minor"/>
      </rPr>
      <t>森浦 大輔</t>
    </r>
  </si>
  <si>
    <t>357</t>
  </si>
  <si>
    <r>
      <rPr>
        <u/>
        <sz val="11"/>
        <color rgb="FF1155CC"/>
        <rFont val="Arial"/>
        <scheme val="minor"/>
      </rPr>
      <t>大瀬良 大地</t>
    </r>
  </si>
  <si>
    <t>358</t>
  </si>
  <si>
    <r>
      <rPr>
        <u/>
        <sz val="11"/>
        <color rgb="FF1155CC"/>
        <rFont val="Arial"/>
        <scheme val="minor"/>
      </rPr>
      <t>森 翔平</t>
    </r>
  </si>
  <si>
    <t>359</t>
  </si>
  <si>
    <r>
      <rPr>
        <u/>
        <sz val="11"/>
        <color rgb="FF1155CC"/>
        <rFont val="Arial"/>
        <scheme val="minor"/>
      </rPr>
      <t>常廣 羽也斗</t>
    </r>
  </si>
  <si>
    <t>360</t>
  </si>
  <si>
    <r>
      <rPr>
        <u/>
        <sz val="11"/>
        <color rgb="FF1155CC"/>
        <rFont val="Arial"/>
        <scheme val="minor"/>
      </rPr>
      <t>森下 暢仁</t>
    </r>
  </si>
  <si>
    <t>361</t>
  </si>
  <si>
    <r>
      <rPr>
        <u/>
        <sz val="11"/>
        <color rgb="FF1155CC"/>
        <rFont val="Arial"/>
        <scheme val="minor"/>
      </rPr>
      <t>床田 寛樹</t>
    </r>
  </si>
  <si>
    <t>18,500万円</t>
  </si>
  <si>
    <t>362</t>
  </si>
  <si>
    <r>
      <rPr>
        <u/>
        <sz val="11"/>
        <color rgb="FF1155CC"/>
        <rFont val="Arial"/>
        <scheme val="minor"/>
      </rPr>
      <t>栗林 良吏</t>
    </r>
  </si>
  <si>
    <t>363</t>
  </si>
  <si>
    <r>
      <rPr>
        <u/>
        <sz val="11"/>
        <color rgb="FF1155CC"/>
        <rFont val="Arial"/>
        <scheme val="minor"/>
      </rPr>
      <t>中﨑 翔太</t>
    </r>
  </si>
  <si>
    <t>6,200万円</t>
  </si>
  <si>
    <t>364</t>
  </si>
  <si>
    <r>
      <rPr>
        <u/>
        <sz val="11"/>
        <color rgb="FF1155CC"/>
        <rFont val="Arial"/>
        <scheme val="minor"/>
      </rPr>
      <t>髙 太一</t>
    </r>
  </si>
  <si>
    <t>365</t>
  </si>
  <si>
    <r>
      <rPr>
        <u/>
        <sz val="11"/>
        <color rgb="FF1155CC"/>
        <rFont val="Arial"/>
        <scheme val="minor"/>
      </rPr>
      <t>黒原 拓未</t>
    </r>
  </si>
  <si>
    <t>366</t>
  </si>
  <si>
    <r>
      <rPr>
        <u/>
        <sz val="11"/>
        <color rgb="FF1155CC"/>
        <rFont val="Arial"/>
        <scheme val="minor"/>
      </rPr>
      <t>益田 武尚</t>
    </r>
  </si>
  <si>
    <t>367</t>
  </si>
  <si>
    <r>
      <rPr>
        <u/>
        <sz val="11"/>
        <color rgb="FF1155CC"/>
        <rFont val="Arial"/>
        <scheme val="minor"/>
      </rPr>
      <t>會澤 翼</t>
    </r>
  </si>
  <si>
    <t>368</t>
  </si>
  <si>
    <r>
      <rPr>
        <u/>
        <sz val="11"/>
        <color rgb="FF1155CC"/>
        <rFont val="Arial"/>
        <scheme val="minor"/>
      </rPr>
      <t>佐藤 柳之介</t>
    </r>
  </si>
  <si>
    <t>369</t>
  </si>
  <si>
    <r>
      <rPr>
        <u/>
        <sz val="11"/>
        <color rgb="FF1155CC"/>
        <rFont val="Arial"/>
        <scheme val="minor"/>
      </rPr>
      <t>ケムナ 誠</t>
    </r>
  </si>
  <si>
    <t>370</t>
  </si>
  <si>
    <r>
      <rPr>
        <u/>
        <sz val="11"/>
        <color rgb="FF1155CC"/>
        <rFont val="Arial"/>
        <scheme val="minor"/>
      </rPr>
      <t>滝田 一希</t>
    </r>
  </si>
  <si>
    <t>371</t>
  </si>
  <si>
    <r>
      <rPr>
        <u/>
        <sz val="11"/>
        <color rgb="FF1155CC"/>
        <rFont val="Arial"/>
        <scheme val="minor"/>
      </rPr>
      <t>坂倉 将吾</t>
    </r>
  </si>
  <si>
    <t>372</t>
  </si>
  <si>
    <r>
      <rPr>
        <u/>
        <sz val="11"/>
        <color rgb="FF1155CC"/>
        <rFont val="Arial"/>
        <scheme val="minor"/>
      </rPr>
      <t>石原 貴規</t>
    </r>
  </si>
  <si>
    <t>373</t>
  </si>
  <si>
    <r>
      <rPr>
        <u/>
        <sz val="11"/>
        <color rgb="FF1155CC"/>
        <rFont val="Arial"/>
        <scheme val="minor"/>
      </rPr>
      <t>菊池 涼介</t>
    </r>
  </si>
  <si>
    <t>374</t>
  </si>
  <si>
    <r>
      <rPr>
        <u/>
        <sz val="11"/>
        <color rgb="FF1155CC"/>
        <rFont val="Arial"/>
        <scheme val="minor"/>
      </rPr>
      <t>高橋 昂也</t>
    </r>
  </si>
  <si>
    <t>375</t>
  </si>
  <si>
    <r>
      <rPr>
        <u/>
        <sz val="11"/>
        <color rgb="FF1155CC"/>
        <rFont val="Arial"/>
        <scheme val="minor"/>
      </rPr>
      <t>工藤 泰己</t>
    </r>
  </si>
  <si>
    <t>376</t>
  </si>
  <si>
    <r>
      <rPr>
        <u/>
        <sz val="11"/>
        <color rgb="FF1155CC"/>
        <rFont val="Arial"/>
        <scheme val="minor"/>
      </rPr>
      <t>塹江 敦哉</t>
    </r>
  </si>
  <si>
    <t>377</t>
  </si>
  <si>
    <r>
      <rPr>
        <u/>
        <sz val="11"/>
        <color rgb="FF1155CC"/>
        <rFont val="Arial"/>
        <scheme val="minor"/>
      </rPr>
      <t>野間 峻祥</t>
    </r>
  </si>
  <si>
    <t>378</t>
  </si>
  <si>
    <r>
      <rPr>
        <u/>
        <sz val="11"/>
        <color rgb="FF1155CC"/>
        <rFont val="Arial"/>
        <scheme val="minor"/>
      </rPr>
      <t>赤木 晴哉</t>
    </r>
  </si>
  <si>
    <t>379</t>
  </si>
  <si>
    <r>
      <rPr>
        <u/>
        <sz val="11"/>
        <color rgb="FF1155CC"/>
        <rFont val="Arial"/>
        <scheme val="minor"/>
      </rPr>
      <t>長谷部 銀次</t>
    </r>
  </si>
  <si>
    <t>380</t>
  </si>
  <si>
    <r>
      <rPr>
        <u/>
        <sz val="11"/>
        <color rgb="FF1155CC"/>
        <rFont val="Arial"/>
        <scheme val="minor"/>
      </rPr>
      <t>鈴木 健矢</t>
    </r>
  </si>
  <si>
    <t>381</t>
  </si>
  <si>
    <r>
      <rPr>
        <u/>
        <sz val="11"/>
        <color rgb="FF1155CC"/>
        <rFont val="Arial"/>
        <scheme val="minor"/>
      </rPr>
      <t>ターノック</t>
    </r>
  </si>
  <si>
    <t>382</t>
  </si>
  <si>
    <r>
      <rPr>
        <u/>
        <sz val="11"/>
        <color rgb="FF1155CC"/>
        <rFont val="Arial"/>
        <scheme val="minor"/>
      </rPr>
      <t>島内 颯太郎</t>
    </r>
  </si>
  <si>
    <t>383</t>
  </si>
  <si>
    <r>
      <rPr>
        <u/>
        <sz val="11"/>
        <color rgb="FF1155CC"/>
        <rFont val="Arial"/>
        <scheme val="minor"/>
      </rPr>
      <t>林 晃汰</t>
    </r>
  </si>
  <si>
    <t>384</t>
  </si>
  <si>
    <r>
      <rPr>
        <u/>
        <sz val="11"/>
        <color rgb="FF1155CC"/>
        <rFont val="Arial"/>
        <scheme val="minor"/>
      </rPr>
      <t>松本 竜也</t>
    </r>
  </si>
  <si>
    <t>385</t>
  </si>
  <si>
    <r>
      <rPr>
        <u/>
        <sz val="11"/>
        <color rgb="FF1155CC"/>
        <rFont val="Arial"/>
        <scheme val="minor"/>
      </rPr>
      <t>髙木 快大</t>
    </r>
  </si>
  <si>
    <t>386</t>
  </si>
  <si>
    <r>
      <rPr>
        <u/>
        <sz val="11"/>
        <color rgb="FF1155CC"/>
        <rFont val="Arial"/>
        <scheme val="minor"/>
      </rPr>
      <t>斉藤 優汰</t>
    </r>
  </si>
  <si>
    <t>387</t>
  </si>
  <si>
    <r>
      <rPr>
        <u/>
        <sz val="11"/>
        <color rgb="FF1155CC"/>
        <rFont val="Arial"/>
        <scheme val="minor"/>
      </rPr>
      <t>アドゥワ 誠</t>
    </r>
  </si>
  <si>
    <t>2,900万円</t>
  </si>
  <si>
    <t>388</t>
  </si>
  <si>
    <r>
      <rPr>
        <u/>
        <sz val="11"/>
        <color rgb="FF1155CC"/>
        <rFont val="Arial"/>
        <scheme val="minor"/>
      </rPr>
      <t>渡邉 悠斗</t>
    </r>
  </si>
  <si>
    <t>389</t>
  </si>
  <si>
    <r>
      <rPr>
        <u/>
        <sz val="11"/>
        <color rgb="FF1155CC"/>
        <rFont val="Arial"/>
        <scheme val="minor"/>
      </rPr>
      <t>杉田 健</t>
    </r>
  </si>
  <si>
    <t>390</t>
  </si>
  <si>
    <r>
      <rPr>
        <u/>
        <sz val="11"/>
        <color rgb="FF1155CC"/>
        <rFont val="Arial"/>
        <scheme val="minor"/>
      </rPr>
      <t>平川 蓮</t>
    </r>
  </si>
  <si>
    <t>391</t>
  </si>
  <si>
    <r>
      <rPr>
        <u/>
        <sz val="11"/>
        <color rgb="FF1155CC"/>
        <rFont val="Arial"/>
        <scheme val="minor"/>
      </rPr>
      <t>末包 昇大</t>
    </r>
  </si>
  <si>
    <t>108kg</t>
  </si>
  <si>
    <t>6,100万円</t>
  </si>
  <si>
    <t>392</t>
  </si>
  <si>
    <r>
      <rPr>
        <u/>
        <sz val="11"/>
        <color rgb="FF1155CC"/>
        <rFont val="Arial"/>
        <scheme val="minor"/>
      </rPr>
      <t>岡本 駿</t>
    </r>
  </si>
  <si>
    <t>393</t>
  </si>
  <si>
    <r>
      <rPr>
        <u/>
        <sz val="11"/>
        <color rgb="FF1155CC"/>
        <rFont val="Arial"/>
        <scheme val="minor"/>
      </rPr>
      <t>西川 篤夢</t>
    </r>
  </si>
  <si>
    <t>394</t>
  </si>
  <si>
    <r>
      <rPr>
        <u/>
        <sz val="11"/>
        <color rgb="FF1155CC"/>
        <rFont val="Arial"/>
        <scheme val="minor"/>
      </rPr>
      <t>久保 修</t>
    </r>
  </si>
  <si>
    <t>395</t>
  </si>
  <si>
    <r>
      <rPr>
        <u/>
        <sz val="11"/>
        <color rgb="FF1155CC"/>
        <rFont val="Arial"/>
        <scheme val="minor"/>
      </rPr>
      <t>持丸 泰輝</t>
    </r>
  </si>
  <si>
    <t>396</t>
  </si>
  <si>
    <r>
      <rPr>
        <u/>
        <sz val="11"/>
        <color rgb="FF1155CC"/>
        <rFont val="Arial"/>
        <scheme val="minor"/>
      </rPr>
      <t>仲田 侑仁</t>
    </r>
  </si>
  <si>
    <t>397</t>
  </si>
  <si>
    <r>
      <rPr>
        <u/>
        <sz val="11"/>
        <color rgb="FF1155CC"/>
        <rFont val="Arial"/>
        <scheme val="minor"/>
      </rPr>
      <t>大盛 穂</t>
    </r>
  </si>
  <si>
    <t>398</t>
  </si>
  <si>
    <r>
      <rPr>
        <u/>
        <sz val="11"/>
        <color rgb="FF1155CC"/>
        <rFont val="Arial"/>
        <scheme val="minor"/>
      </rPr>
      <t>田村 俊介</t>
    </r>
  </si>
  <si>
    <t>399</t>
  </si>
  <si>
    <r>
      <rPr>
        <u/>
        <sz val="11"/>
        <color rgb="FF1155CC"/>
        <rFont val="Arial"/>
        <scheme val="minor"/>
      </rPr>
      <t>ファビアン</t>
    </r>
  </si>
  <si>
    <t>18,400万円</t>
  </si>
  <si>
    <t>400</t>
  </si>
  <si>
    <r>
      <rPr>
        <u/>
        <sz val="11"/>
        <color rgb="FF1155CC"/>
        <rFont val="Arial"/>
        <scheme val="minor"/>
      </rPr>
      <t>清水 叶人</t>
    </r>
  </si>
  <si>
    <t>401</t>
  </si>
  <si>
    <r>
      <rPr>
        <u/>
        <sz val="11"/>
        <color rgb="FF1155CC"/>
        <rFont val="Arial"/>
        <scheme val="minor"/>
      </rPr>
      <t>内田 湘大</t>
    </r>
  </si>
  <si>
    <t>402</t>
  </si>
  <si>
    <r>
      <rPr>
        <u/>
        <sz val="11"/>
        <color rgb="FF1155CC"/>
        <rFont val="Arial"/>
        <scheme val="minor"/>
      </rPr>
      <t>髙木 翔斗</t>
    </r>
  </si>
  <si>
    <t>403</t>
  </si>
  <si>
    <r>
      <rPr>
        <u/>
        <sz val="11"/>
        <color rgb="FF1155CC"/>
        <rFont val="Arial"/>
        <scheme val="minor"/>
      </rPr>
      <t>玉村 昇悟</t>
    </r>
  </si>
  <si>
    <t>404</t>
  </si>
  <si>
    <r>
      <rPr>
        <u/>
        <sz val="11"/>
        <color rgb="FF1155CC"/>
        <rFont val="Arial"/>
        <scheme val="minor"/>
      </rPr>
      <t>遠藤 淳志</t>
    </r>
  </si>
  <si>
    <t>405</t>
  </si>
  <si>
    <r>
      <rPr>
        <u/>
        <sz val="11"/>
        <color rgb="FF1155CC"/>
        <rFont val="Arial"/>
        <scheme val="minor"/>
      </rPr>
      <t>菊地 ハルン</t>
    </r>
  </si>
  <si>
    <t>117kg</t>
  </si>
  <si>
    <t>406</t>
  </si>
  <si>
    <r>
      <rPr>
        <u/>
        <sz val="11"/>
        <color rgb="FF1155CC"/>
        <rFont val="Arial"/>
        <scheme val="minor"/>
      </rPr>
      <t>ハーン</t>
    </r>
  </si>
  <si>
    <t>198cm</t>
  </si>
  <si>
    <t>11,625万円</t>
  </si>
  <si>
    <t>407</t>
  </si>
  <si>
    <r>
      <rPr>
        <u/>
        <sz val="11"/>
        <color rgb="FF1155CC"/>
        <rFont val="Arial"/>
        <scheme val="minor"/>
      </rPr>
      <t>辰見 鴻之介</t>
    </r>
  </si>
  <si>
    <t>470万円</t>
  </si>
  <si>
    <t>408</t>
  </si>
  <si>
    <r>
      <rPr>
        <u/>
        <sz val="11"/>
        <color rgb="FF1155CC"/>
        <rFont val="Arial"/>
        <scheme val="minor"/>
      </rPr>
      <t>日髙 暖己</t>
    </r>
  </si>
  <si>
    <t>409</t>
  </si>
  <si>
    <r>
      <rPr>
        <u/>
        <sz val="11"/>
        <color rgb="FF1155CC"/>
        <rFont val="Arial"/>
        <scheme val="minor"/>
      </rPr>
      <t>名原 典彦</t>
    </r>
  </si>
  <si>
    <t>410</t>
  </si>
  <si>
    <r>
      <rPr>
        <u/>
        <sz val="11"/>
        <color rgb="FF1155CC"/>
        <rFont val="Arial"/>
        <scheme val="minor"/>
      </rPr>
      <t>前川 誠太</t>
    </r>
  </si>
  <si>
    <t>66kg</t>
  </si>
  <si>
    <t>411</t>
  </si>
  <si>
    <r>
      <rPr>
        <u/>
        <sz val="11"/>
        <color rgb="FF1155CC"/>
        <rFont val="Arial"/>
        <scheme val="minor"/>
      </rPr>
      <t>佐藤 啓介</t>
    </r>
  </si>
  <si>
    <t>412</t>
  </si>
  <si>
    <r>
      <rPr>
        <u/>
        <sz val="11"/>
        <color rgb="FF1155CC"/>
        <rFont val="Arial"/>
        <scheme val="minor"/>
      </rPr>
      <t>モンテロ</t>
    </r>
  </si>
  <si>
    <t>11,600万円</t>
  </si>
  <si>
    <t>413</t>
  </si>
  <si>
    <r>
      <rPr>
        <u/>
        <sz val="11"/>
        <color rgb="FF1155CC"/>
        <rFont val="Arial"/>
        <scheme val="minor"/>
      </rPr>
      <t>中村 奨成</t>
    </r>
  </si>
  <si>
    <t>414</t>
  </si>
  <si>
    <r>
      <rPr>
        <u/>
        <sz val="11"/>
        <color rgb="FF1155CC"/>
        <rFont val="Arial"/>
        <scheme val="minor"/>
      </rPr>
      <t>中村 貴浩</t>
    </r>
  </si>
  <si>
    <t>415</t>
  </si>
  <si>
    <r>
      <rPr>
        <u/>
        <sz val="11"/>
        <color rgb="FF1155CC"/>
        <rFont val="Arial"/>
        <scheme val="minor"/>
      </rPr>
      <t>辻 大雅</t>
    </r>
  </si>
  <si>
    <t>416</t>
  </si>
  <si>
    <r>
      <rPr>
        <u/>
        <sz val="11"/>
        <color rgb="FF1155CC"/>
        <rFont val="Arial"/>
        <scheme val="minor"/>
      </rPr>
      <t>二俣 翔一</t>
    </r>
  </si>
  <si>
    <t>417</t>
  </si>
  <si>
    <r>
      <rPr>
        <u/>
        <sz val="11"/>
        <color rgb="FF1155CC"/>
        <rFont val="Arial"/>
        <scheme val="minor"/>
      </rPr>
      <t>安竹 俊喜</t>
    </r>
  </si>
  <si>
    <t>418</t>
  </si>
  <si>
    <r>
      <rPr>
        <u/>
        <sz val="11"/>
        <color rgb="FF1155CC"/>
        <rFont val="Arial"/>
        <scheme val="minor"/>
      </rPr>
      <t>小船 翼</t>
    </r>
  </si>
  <si>
    <t>119kg</t>
  </si>
  <si>
    <t>419</t>
  </si>
  <si>
    <r>
      <rPr>
        <u/>
        <sz val="11"/>
        <color rgb="FF1155CC"/>
        <rFont val="Arial"/>
        <scheme val="minor"/>
      </rPr>
      <t>小林 結太</t>
    </r>
  </si>
  <si>
    <t>420</t>
  </si>
  <si>
    <r>
      <rPr>
        <u/>
        <sz val="11"/>
        <color rgb="FF1155CC"/>
        <rFont val="Arial"/>
        <scheme val="minor"/>
      </rPr>
      <t>岸本 大希</t>
    </r>
  </si>
  <si>
    <t>421</t>
  </si>
  <si>
    <r>
      <rPr>
        <u/>
        <sz val="11"/>
        <color rgb="FF1155CC"/>
        <rFont val="Arial"/>
        <scheme val="minor"/>
      </rPr>
      <t>竹下 海斗</t>
    </r>
  </si>
  <si>
    <t>422</t>
  </si>
  <si>
    <r>
      <rPr>
        <u/>
        <sz val="11"/>
        <color rgb="FF1155CC"/>
        <rFont val="Arial"/>
        <scheme val="minor"/>
      </rPr>
      <t>河野 佳</t>
    </r>
  </si>
  <si>
    <t>423</t>
  </si>
  <si>
    <r>
      <rPr>
        <u/>
        <sz val="11"/>
        <color rgb="FF1155CC"/>
        <rFont val="Arial"/>
        <scheme val="minor"/>
      </rPr>
      <t>杉原 望来</t>
    </r>
  </si>
  <si>
    <t>424</t>
  </si>
  <si>
    <r>
      <rPr>
        <u/>
        <sz val="11"/>
        <color rgb="FF1155CC"/>
        <rFont val="Arial"/>
        <scheme val="minor"/>
      </rPr>
      <t>ラミレス</t>
    </r>
  </si>
  <si>
    <t>124kg</t>
  </si>
  <si>
    <t>425</t>
  </si>
  <si>
    <r>
      <rPr>
        <u/>
        <sz val="11"/>
        <color rgb="FF1155CC"/>
        <rFont val="Arial"/>
        <scheme val="minor"/>
      </rPr>
      <t>ロベルト</t>
    </r>
  </si>
  <si>
    <t>426</t>
  </si>
  <si>
    <r>
      <rPr>
        <u/>
        <sz val="11"/>
        <color rgb="FF1155CC"/>
        <rFont val="Arial"/>
        <scheme val="minor"/>
      </rPr>
      <t>アリア</t>
    </r>
  </si>
  <si>
    <t>230万円</t>
  </si>
  <si>
    <t>427</t>
  </si>
  <si>
    <r>
      <rPr>
        <u/>
        <sz val="11"/>
        <color rgb="FF1155CC"/>
        <rFont val="Arial"/>
        <scheme val="minor"/>
      </rPr>
      <t>並木 秀尊</t>
    </r>
  </si>
  <si>
    <t>s</t>
  </si>
  <si>
    <t>428</t>
  </si>
  <si>
    <r>
      <rPr>
        <u/>
        <sz val="11"/>
        <color rgb="FF1155CC"/>
        <rFont val="Arial"/>
        <scheme val="minor"/>
      </rPr>
      <t>赤羽 由紘</t>
    </r>
  </si>
  <si>
    <t>429</t>
  </si>
  <si>
    <r>
      <rPr>
        <u/>
        <sz val="11"/>
        <color rgb="FF1155CC"/>
        <rFont val="Arial"/>
        <scheme val="minor"/>
      </rPr>
      <t>山田 哲人</t>
    </r>
  </si>
  <si>
    <t>430</t>
  </si>
  <si>
    <r>
      <rPr>
        <u/>
        <sz val="11"/>
        <color rgb="FF1155CC"/>
        <rFont val="Arial"/>
        <scheme val="minor"/>
      </rPr>
      <t>古賀 優大</t>
    </r>
  </si>
  <si>
    <t>431</t>
  </si>
  <si>
    <r>
      <rPr>
        <u/>
        <sz val="11"/>
        <color rgb="FF1155CC"/>
        <rFont val="Arial"/>
        <scheme val="minor"/>
      </rPr>
      <t>内山 壮真</t>
    </r>
  </si>
  <si>
    <t>432</t>
  </si>
  <si>
    <r>
      <rPr>
        <u/>
        <sz val="11"/>
        <color rgb="FF1155CC"/>
        <rFont val="Arial"/>
        <scheme val="minor"/>
      </rPr>
      <t>丸山 和郁</t>
    </r>
  </si>
  <si>
    <t>433</t>
  </si>
  <si>
    <r>
      <rPr>
        <u/>
        <sz val="11"/>
        <color rgb="FF1155CC"/>
        <rFont val="Arial"/>
        <scheme val="minor"/>
      </rPr>
      <t>松下 歩叶</t>
    </r>
  </si>
  <si>
    <t>434</t>
  </si>
  <si>
    <r>
      <rPr>
        <u/>
        <sz val="11"/>
        <color rgb="FF1155CC"/>
        <rFont val="Arial"/>
        <scheme val="minor"/>
      </rPr>
      <t>長岡 秀樹</t>
    </r>
  </si>
  <si>
    <t>435</t>
  </si>
  <si>
    <r>
      <rPr>
        <u/>
        <sz val="11"/>
        <color rgb="FF1155CC"/>
        <rFont val="Arial"/>
        <scheme val="minor"/>
      </rPr>
      <t>茂木 栄五郎</t>
    </r>
  </si>
  <si>
    <t>436</t>
  </si>
  <si>
    <r>
      <rPr>
        <u/>
        <sz val="11"/>
        <color rgb="FF1155CC"/>
        <rFont val="Arial"/>
        <scheme val="minor"/>
      </rPr>
      <t>塩見 泰隆</t>
    </r>
  </si>
  <si>
    <t>4,300万円</t>
  </si>
  <si>
    <t>437</t>
  </si>
  <si>
    <r>
      <rPr>
        <u/>
        <sz val="11"/>
        <color rgb="FF1155CC"/>
        <rFont val="Arial"/>
        <scheme val="minor"/>
      </rPr>
      <t>宮本 丈</t>
    </r>
  </si>
  <si>
    <t>438</t>
  </si>
  <si>
    <r>
      <rPr>
        <u/>
        <sz val="11"/>
        <color rgb="FF1155CC"/>
        <rFont val="Arial"/>
        <scheme val="minor"/>
      </rPr>
      <t>キハダ</t>
    </r>
  </si>
  <si>
    <t>13,200万円</t>
  </si>
  <si>
    <t>439</t>
  </si>
  <si>
    <r>
      <rPr>
        <u/>
        <sz val="11"/>
        <color rgb="FF1155CC"/>
        <rFont val="Arial"/>
        <scheme val="minor"/>
      </rPr>
      <t>石山 泰稚</t>
    </r>
  </si>
  <si>
    <t>440</t>
  </si>
  <si>
    <t>42,600万円</t>
  </si>
  <si>
    <t>441</t>
  </si>
  <si>
    <t>013</t>
  </si>
  <si>
    <r>
      <rPr>
        <u/>
        <sz val="11"/>
        <color rgb="FF1155CC"/>
        <rFont val="Arial"/>
        <scheme val="minor"/>
      </rPr>
      <t>竹山 日向</t>
    </r>
  </si>
  <si>
    <t>442</t>
  </si>
  <si>
    <r>
      <rPr>
        <u/>
        <sz val="11"/>
        <color rgb="FF1155CC"/>
        <rFont val="Arial"/>
        <scheme val="minor"/>
      </rPr>
      <t>西舘 昂汰</t>
    </r>
  </si>
  <si>
    <t>443</t>
  </si>
  <si>
    <r>
      <rPr>
        <u/>
        <sz val="11"/>
        <color rgb="FF1155CC"/>
        <rFont val="Arial"/>
        <scheme val="minor"/>
      </rPr>
      <t>小宮 悠瞳</t>
    </r>
  </si>
  <si>
    <t>290万円</t>
  </si>
  <si>
    <t>444</t>
  </si>
  <si>
    <r>
      <rPr>
        <u/>
        <sz val="11"/>
        <color rgb="FF1155CC"/>
        <rFont val="Arial"/>
        <scheme val="minor"/>
      </rPr>
      <t>中村 優斗</t>
    </r>
  </si>
  <si>
    <t>445</t>
  </si>
  <si>
    <r>
      <rPr>
        <u/>
        <sz val="11"/>
        <color rgb="FF1155CC"/>
        <rFont val="Arial"/>
        <scheme val="minor"/>
      </rPr>
      <t>西濱 勇星</t>
    </r>
  </si>
  <si>
    <t>320万円</t>
  </si>
  <si>
    <t>446</t>
  </si>
  <si>
    <r>
      <rPr>
        <u/>
        <sz val="11"/>
        <color rgb="FF1155CC"/>
        <rFont val="Arial"/>
        <scheme val="minor"/>
      </rPr>
      <t>清水 昇</t>
    </r>
  </si>
  <si>
    <t>447</t>
  </si>
  <si>
    <t>017</t>
  </si>
  <si>
    <r>
      <rPr>
        <u/>
        <sz val="11"/>
        <color rgb="FF1155CC"/>
        <rFont val="Arial"/>
        <scheme val="minor"/>
      </rPr>
      <t>翔聖</t>
    </r>
  </si>
  <si>
    <t>448</t>
  </si>
  <si>
    <r>
      <rPr>
        <u/>
        <sz val="11"/>
        <color rgb="FF1155CC"/>
        <rFont val="Arial"/>
        <scheme val="minor"/>
      </rPr>
      <t>奥川 恭伸</t>
    </r>
  </si>
  <si>
    <t>3,200万円</t>
  </si>
  <si>
    <t>449</t>
  </si>
  <si>
    <r>
      <rPr>
        <u/>
        <sz val="11"/>
        <color rgb="FF1155CC"/>
        <rFont val="Arial"/>
        <scheme val="minor"/>
      </rPr>
      <t>佐藤 琢磨</t>
    </r>
  </si>
  <si>
    <t>450</t>
  </si>
  <si>
    <r>
      <rPr>
        <u/>
        <sz val="11"/>
        <color rgb="FF1155CC"/>
        <rFont val="Arial"/>
        <scheme val="minor"/>
      </rPr>
      <t>石川 雅規</t>
    </r>
  </si>
  <si>
    <t>46歳</t>
  </si>
  <si>
    <t>25年</t>
  </si>
  <si>
    <t>451</t>
  </si>
  <si>
    <r>
      <rPr>
        <u/>
        <sz val="11"/>
        <color rgb="FF1155CC"/>
        <rFont val="Arial"/>
        <scheme val="minor"/>
      </rPr>
      <t>木澤 尚文</t>
    </r>
  </si>
  <si>
    <t>452</t>
  </si>
  <si>
    <r>
      <rPr>
        <u/>
        <sz val="11"/>
        <color rgb="FF1155CC"/>
        <rFont val="Arial"/>
        <scheme val="minor"/>
      </rPr>
      <t>吉村 貢司郎</t>
    </r>
  </si>
  <si>
    <t>453</t>
  </si>
  <si>
    <r>
      <rPr>
        <u/>
        <sz val="11"/>
        <color rgb="FF1155CC"/>
        <rFont val="Arial"/>
        <scheme val="minor"/>
      </rPr>
      <t>松本 龍之介</t>
    </r>
  </si>
  <si>
    <t>454</t>
  </si>
  <si>
    <r>
      <rPr>
        <u/>
        <sz val="11"/>
        <color rgb="FF1155CC"/>
        <rFont val="Arial"/>
        <scheme val="minor"/>
      </rPr>
      <t>澤野 聖悠</t>
    </r>
  </si>
  <si>
    <t>455</t>
  </si>
  <si>
    <r>
      <rPr>
        <u/>
        <sz val="11"/>
        <color rgb="FF1155CC"/>
        <rFont val="Arial"/>
        <scheme val="minor"/>
      </rPr>
      <t>星 知弥</t>
    </r>
  </si>
  <si>
    <t>5,600万円</t>
  </si>
  <si>
    <t>456</t>
  </si>
  <si>
    <r>
      <rPr>
        <u/>
        <sz val="11"/>
        <color rgb="FF1155CC"/>
        <rFont val="Arial"/>
        <scheme val="minor"/>
      </rPr>
      <t>根岸 辰昇</t>
    </r>
  </si>
  <si>
    <t>457</t>
  </si>
  <si>
    <r>
      <rPr>
        <u/>
        <sz val="11"/>
        <color rgb="FF1155CC"/>
        <rFont val="Arial"/>
        <scheme val="minor"/>
      </rPr>
      <t>サンタナ</t>
    </r>
  </si>
  <si>
    <t>195cm</t>
  </si>
  <si>
    <t>46,500万円</t>
  </si>
  <si>
    <t>458</t>
  </si>
  <si>
    <r>
      <rPr>
        <u/>
        <sz val="11"/>
        <color rgb="FF1155CC"/>
        <rFont val="Arial"/>
        <scheme val="minor"/>
      </rPr>
      <t>髙野 颯太</t>
    </r>
  </si>
  <si>
    <t>459</t>
  </si>
  <si>
    <r>
      <rPr>
        <u/>
        <sz val="11"/>
        <color rgb="FF1155CC"/>
        <rFont val="Arial"/>
        <scheme val="minor"/>
      </rPr>
      <t>山野 太一</t>
    </r>
  </si>
  <si>
    <t>460</t>
  </si>
  <si>
    <r>
      <rPr>
        <u/>
        <sz val="11"/>
        <color rgb="FF1155CC"/>
        <rFont val="Arial"/>
        <scheme val="minor"/>
      </rPr>
      <t>中村 悠平</t>
    </r>
  </si>
  <si>
    <t>461</t>
  </si>
  <si>
    <r>
      <rPr>
        <u/>
        <sz val="11"/>
        <color rgb="FF1155CC"/>
        <rFont val="Arial"/>
        <scheme val="minor"/>
      </rPr>
      <t>中川 拓真</t>
    </r>
  </si>
  <si>
    <t>462</t>
  </si>
  <si>
    <r>
      <rPr>
        <u/>
        <sz val="11"/>
        <color rgb="FF1155CC"/>
        <rFont val="Arial"/>
        <scheme val="minor"/>
      </rPr>
      <t>松本 健吾</t>
    </r>
  </si>
  <si>
    <t>463</t>
  </si>
  <si>
    <r>
      <rPr>
        <u/>
        <sz val="11"/>
        <color rgb="FF1155CC"/>
        <rFont val="Arial"/>
        <scheme val="minor"/>
      </rPr>
      <t>小川 泰弘</t>
    </r>
  </si>
  <si>
    <t>8,900万円</t>
  </si>
  <si>
    <t>464</t>
  </si>
  <si>
    <r>
      <rPr>
        <u/>
        <sz val="11"/>
        <color rgb="FF1155CC"/>
        <rFont val="Arial"/>
        <scheme val="minor"/>
      </rPr>
      <t>荘司 宏太</t>
    </r>
  </si>
  <si>
    <t>4,200万円</t>
  </si>
  <si>
    <t>465</t>
  </si>
  <si>
    <r>
      <rPr>
        <u/>
        <sz val="11"/>
        <color rgb="FF1155CC"/>
        <rFont val="Arial"/>
        <scheme val="minor"/>
      </rPr>
      <t>モイセエフ ニキータ</t>
    </r>
  </si>
  <si>
    <t>466</t>
  </si>
  <si>
    <r>
      <rPr>
        <u/>
        <sz val="11"/>
        <color rgb="FF1155CC"/>
        <rFont val="Arial"/>
        <scheme val="minor"/>
      </rPr>
      <t>松本 直樹</t>
    </r>
  </si>
  <si>
    <t>467</t>
  </si>
  <si>
    <r>
      <rPr>
        <u/>
        <sz val="11"/>
        <color rgb="FF1155CC"/>
        <rFont val="Arial"/>
        <scheme val="minor"/>
      </rPr>
      <t>山崎 太陽</t>
    </r>
  </si>
  <si>
    <t>468</t>
  </si>
  <si>
    <r>
      <rPr>
        <u/>
        <sz val="11"/>
        <color rgb="FF1155CC"/>
        <rFont val="Arial"/>
        <scheme val="minor"/>
      </rPr>
      <t>田口 麗斗</t>
    </r>
  </si>
  <si>
    <t>17,500万円</t>
  </si>
  <si>
    <t>469</t>
  </si>
  <si>
    <r>
      <rPr>
        <u/>
        <sz val="11"/>
        <color rgb="FF1155CC"/>
        <rFont val="Arial"/>
        <scheme val="minor"/>
      </rPr>
      <t>石原 勇輝</t>
    </r>
  </si>
  <si>
    <t>470</t>
  </si>
  <si>
    <r>
      <rPr>
        <u/>
        <sz val="11"/>
        <color rgb="FF1155CC"/>
        <rFont val="Arial"/>
        <scheme val="minor"/>
      </rPr>
      <t>西村 瑠伊斗</t>
    </r>
  </si>
  <si>
    <t>471</t>
  </si>
  <si>
    <r>
      <rPr>
        <u/>
        <sz val="11"/>
        <color rgb="FF1155CC"/>
        <rFont val="Arial"/>
        <scheme val="minor"/>
      </rPr>
      <t>山野辺 翔</t>
    </r>
  </si>
  <si>
    <t>472</t>
  </si>
  <si>
    <r>
      <rPr>
        <u/>
        <sz val="11"/>
        <color rgb="FF1155CC"/>
        <rFont val="Arial"/>
        <scheme val="minor"/>
      </rPr>
      <t>石井 巧</t>
    </r>
  </si>
  <si>
    <t>473</t>
  </si>
  <si>
    <r>
      <rPr>
        <u/>
        <sz val="11"/>
        <color rgb="FF1155CC"/>
        <rFont val="Arial"/>
        <scheme val="minor"/>
      </rPr>
      <t>松川 玲央</t>
    </r>
  </si>
  <si>
    <t>474</t>
  </si>
  <si>
    <r>
      <rPr>
        <u/>
        <sz val="11"/>
        <color rgb="FF1155CC"/>
        <rFont val="Arial"/>
        <scheme val="minor"/>
      </rPr>
      <t>高梨 裕稔</t>
    </r>
  </si>
  <si>
    <t>475</t>
  </si>
  <si>
    <r>
      <rPr>
        <u/>
        <sz val="11"/>
        <color rgb="FF1155CC"/>
        <rFont val="Arial"/>
        <scheme val="minor"/>
      </rPr>
      <t>拓也</t>
    </r>
  </si>
  <si>
    <t>476</t>
  </si>
  <si>
    <r>
      <rPr>
        <u/>
        <sz val="11"/>
        <color rgb="FF1155CC"/>
        <rFont val="Arial"/>
        <scheme val="minor"/>
      </rPr>
      <t>澤井 廉</t>
    </r>
  </si>
  <si>
    <t>477</t>
  </si>
  <si>
    <r>
      <rPr>
        <u/>
        <sz val="11"/>
        <color rgb="FF1155CC"/>
        <rFont val="Arial"/>
        <scheme val="minor"/>
      </rPr>
      <t>増居 翔太</t>
    </r>
  </si>
  <si>
    <t>478</t>
  </si>
  <si>
    <r>
      <rPr>
        <u/>
        <sz val="11"/>
        <color rgb="FF1155CC"/>
        <rFont val="Arial"/>
        <scheme val="minor"/>
      </rPr>
      <t>大西 広樹</t>
    </r>
  </si>
  <si>
    <t>479</t>
  </si>
  <si>
    <r>
      <rPr>
        <u/>
        <sz val="11"/>
        <color rgb="FF1155CC"/>
        <rFont val="Arial"/>
        <scheme val="minor"/>
      </rPr>
      <t>小澤 怜史</t>
    </r>
  </si>
  <si>
    <t>4,100万円</t>
  </si>
  <si>
    <t>480</t>
  </si>
  <si>
    <r>
      <rPr>
        <u/>
        <sz val="11"/>
        <color rgb="FF1155CC"/>
        <rFont val="Arial"/>
        <scheme val="minor"/>
      </rPr>
      <t>大道 温貴</t>
    </r>
  </si>
  <si>
    <t>1,850万円</t>
  </si>
  <si>
    <t>481</t>
  </si>
  <si>
    <r>
      <rPr>
        <u/>
        <sz val="11"/>
        <color rgb="FF1155CC"/>
        <rFont val="Arial"/>
        <scheme val="minor"/>
      </rPr>
      <t>高橋 奎二</t>
    </r>
  </si>
  <si>
    <t>482</t>
  </si>
  <si>
    <r>
      <rPr>
        <u/>
        <sz val="11"/>
        <color rgb="FF1155CC"/>
        <rFont val="Arial"/>
        <scheme val="minor"/>
      </rPr>
      <t>柿沼 友哉</t>
    </r>
  </si>
  <si>
    <t>483</t>
  </si>
  <si>
    <r>
      <rPr>
        <u/>
        <sz val="11"/>
        <color rgb="FF1155CC"/>
        <rFont val="Arial"/>
        <scheme val="minor"/>
      </rPr>
      <t>鈴木 蓮吾</t>
    </r>
  </si>
  <si>
    <t>484</t>
  </si>
  <si>
    <r>
      <rPr>
        <u/>
        <sz val="11"/>
        <color rgb="FF1155CC"/>
        <rFont val="Arial"/>
        <scheme val="minor"/>
      </rPr>
      <t>北村 恵吾</t>
    </r>
  </si>
  <si>
    <t>485</t>
  </si>
  <si>
    <r>
      <rPr>
        <u/>
        <sz val="11"/>
        <color rgb="FF1155CC"/>
        <rFont val="Arial"/>
        <scheme val="minor"/>
      </rPr>
      <t>橋本 星哉</t>
    </r>
  </si>
  <si>
    <t>486</t>
  </si>
  <si>
    <r>
      <rPr>
        <u/>
        <sz val="11"/>
        <color rgb="FF1155CC"/>
        <rFont val="Arial"/>
        <scheme val="minor"/>
      </rPr>
      <t>長谷川 宙輝</t>
    </r>
  </si>
  <si>
    <t>487</t>
  </si>
  <si>
    <r>
      <rPr>
        <u/>
        <sz val="11"/>
        <color rgb="FF1155CC"/>
        <rFont val="Arial"/>
        <scheme val="minor"/>
      </rPr>
      <t>田中 陽翔</t>
    </r>
  </si>
  <si>
    <t>488</t>
  </si>
  <si>
    <r>
      <rPr>
        <u/>
        <sz val="11"/>
        <color rgb="FF1155CC"/>
        <rFont val="Arial"/>
        <scheme val="minor"/>
      </rPr>
      <t>坂本 拓己</t>
    </r>
  </si>
  <si>
    <t>580万円</t>
  </si>
  <si>
    <t>489</t>
  </si>
  <si>
    <r>
      <rPr>
        <u/>
        <sz val="11"/>
        <color rgb="FF1155CC"/>
        <rFont val="Arial"/>
        <scheme val="minor"/>
      </rPr>
      <t>矢野 泰二郎</t>
    </r>
  </si>
  <si>
    <t>490</t>
  </si>
  <si>
    <r>
      <rPr>
        <u/>
        <sz val="11"/>
        <color rgb="FF1155CC"/>
        <rFont val="Arial"/>
        <scheme val="minor"/>
      </rPr>
      <t>ウォルターズ</t>
    </r>
  </si>
  <si>
    <t>7,750万円</t>
  </si>
  <si>
    <t>491</t>
  </si>
  <si>
    <r>
      <rPr>
        <u/>
        <sz val="11"/>
        <color rgb="FF1155CC"/>
        <rFont val="Arial"/>
        <scheme val="minor"/>
      </rPr>
      <t>武岡 龍世</t>
    </r>
  </si>
  <si>
    <t>492</t>
  </si>
  <si>
    <r>
      <rPr>
        <u/>
        <sz val="11"/>
        <color rgb="FF1155CC"/>
        <rFont val="Arial"/>
        <scheme val="minor"/>
      </rPr>
      <t>飯田 琉斗</t>
    </r>
  </si>
  <si>
    <t>493</t>
  </si>
  <si>
    <r>
      <rPr>
        <u/>
        <sz val="11"/>
        <color rgb="FF1155CC"/>
        <rFont val="Arial"/>
        <scheme val="minor"/>
      </rPr>
      <t>リランソ</t>
    </r>
  </si>
  <si>
    <t>112kg</t>
  </si>
  <si>
    <t>9,300万円</t>
  </si>
  <si>
    <t>494</t>
  </si>
  <si>
    <r>
      <rPr>
        <u/>
        <sz val="11"/>
        <color rgb="FF1155CC"/>
        <rFont val="Arial"/>
        <scheme val="minor"/>
      </rPr>
      <t>増田 珠</t>
    </r>
  </si>
  <si>
    <t>495</t>
  </si>
  <si>
    <r>
      <rPr>
        <u/>
        <sz val="11"/>
        <color rgb="FF1155CC"/>
        <rFont val="Arial"/>
        <scheme val="minor"/>
      </rPr>
      <t>岩田 幸宏</t>
    </r>
  </si>
  <si>
    <t>496</t>
  </si>
  <si>
    <r>
      <rPr>
        <u/>
        <sz val="11"/>
        <color rgb="FF1155CC"/>
        <rFont val="Arial"/>
        <scheme val="minor"/>
      </rPr>
      <t>鈴木 叶</t>
    </r>
  </si>
  <si>
    <t>497</t>
  </si>
  <si>
    <r>
      <rPr>
        <u/>
        <sz val="11"/>
        <color rgb="FF1155CC"/>
        <rFont val="Arial"/>
        <scheme val="minor"/>
      </rPr>
      <t>阪口 皓亮</t>
    </r>
  </si>
  <si>
    <t>498</t>
  </si>
  <si>
    <r>
      <rPr>
        <u/>
        <sz val="11"/>
        <color rgb="FF1155CC"/>
        <rFont val="Arial"/>
        <scheme val="minor"/>
      </rPr>
      <t>伊藤 琉偉</t>
    </r>
  </si>
  <si>
    <t>499</t>
  </si>
  <si>
    <r>
      <rPr>
        <u/>
        <sz val="11"/>
        <color rgb="FF1155CC"/>
        <rFont val="Arial"/>
        <scheme val="minor"/>
      </rPr>
      <t>丸山 翔大</t>
    </r>
  </si>
  <si>
    <t>1,250万円</t>
  </si>
  <si>
    <t>500</t>
  </si>
  <si>
    <r>
      <rPr>
        <u/>
        <sz val="11"/>
        <color rgb="FF1155CC"/>
        <rFont val="Arial"/>
        <scheme val="minor"/>
      </rPr>
      <t>下川 隼佑</t>
    </r>
  </si>
  <si>
    <t>501</t>
  </si>
  <si>
    <r>
      <rPr>
        <u/>
        <sz val="11"/>
        <color rgb="FF1155CC"/>
        <rFont val="Arial"/>
        <scheme val="minor"/>
      </rPr>
      <t>廣澤 優</t>
    </r>
  </si>
  <si>
    <t>502</t>
  </si>
  <si>
    <r>
      <rPr>
        <u/>
        <sz val="11"/>
        <color rgb="FF1155CC"/>
        <rFont val="Arial"/>
        <scheme val="minor"/>
      </rPr>
      <t>沼田 翔平</t>
    </r>
  </si>
  <si>
    <t>503</t>
  </si>
  <si>
    <r>
      <rPr>
        <u/>
        <sz val="11"/>
        <color rgb="FF1155CC"/>
        <rFont val="Arial"/>
        <scheme val="minor"/>
      </rPr>
      <t>モンテル</t>
    </r>
  </si>
  <si>
    <t>504</t>
  </si>
  <si>
    <r>
      <rPr>
        <u/>
        <sz val="11"/>
        <color rgb="FF1155CC"/>
        <rFont val="Arial"/>
        <scheme val="minor"/>
      </rPr>
      <t>セデーニョ</t>
    </r>
  </si>
  <si>
    <t>505</t>
  </si>
  <si>
    <r>
      <rPr>
        <u/>
        <sz val="11"/>
        <color rgb="FF1155CC"/>
        <rFont val="Arial"/>
        <scheme val="minor"/>
      </rPr>
      <t>青柳 晃洋</t>
    </r>
  </si>
  <si>
    <t>506</t>
  </si>
  <si>
    <r>
      <rPr>
        <u/>
        <sz val="11"/>
        <color rgb="FF1155CC"/>
        <rFont val="Arial"/>
        <scheme val="minor"/>
      </rPr>
      <t>川瀬 晃</t>
    </r>
  </si>
  <si>
    <t>h</t>
  </si>
  <si>
    <t>507</t>
  </si>
  <si>
    <r>
      <rPr>
        <u/>
        <sz val="11"/>
        <color rgb="FF1155CC"/>
        <rFont val="Arial"/>
        <scheme val="minor"/>
      </rPr>
      <t>渡邉 陸</t>
    </r>
  </si>
  <si>
    <t>508</t>
  </si>
  <si>
    <t>スチュワート</t>
  </si>
  <si>
    <t>70,000万円</t>
  </si>
  <si>
    <t>509</t>
  </si>
  <si>
    <r>
      <rPr>
        <u/>
        <sz val="11"/>
        <color rgb="FF1155CC"/>
        <rFont val="Arial"/>
        <scheme val="minor"/>
      </rPr>
      <t>近藤 健介</t>
    </r>
  </si>
  <si>
    <t>55,000万円</t>
  </si>
  <si>
    <t>510</t>
  </si>
  <si>
    <r>
      <rPr>
        <u/>
        <sz val="11"/>
        <color rgb="FF1155CC"/>
        <rFont val="Arial"/>
        <scheme val="minor"/>
      </rPr>
      <t>ダウンズ</t>
    </r>
  </si>
  <si>
    <t>コロンビア</t>
  </si>
  <si>
    <t>511</t>
  </si>
  <si>
    <r>
      <rPr>
        <u/>
        <sz val="11"/>
        <color rgb="FF1155CC"/>
        <rFont val="Arial"/>
        <scheme val="minor"/>
      </rPr>
      <t>山川 穂高</t>
    </r>
  </si>
  <si>
    <t>512</t>
  </si>
  <si>
    <r>
      <rPr>
        <u/>
        <sz val="11"/>
        <color rgb="FF1155CC"/>
        <rFont val="Arial"/>
        <scheme val="minor"/>
      </rPr>
      <t>今宮 健太</t>
    </r>
  </si>
  <si>
    <t>513</t>
  </si>
  <si>
    <r>
      <rPr>
        <u/>
        <sz val="11"/>
        <color rgb="FF1155CC"/>
        <rFont val="Arial"/>
        <scheme val="minor"/>
      </rPr>
      <t>中村 晃</t>
    </r>
  </si>
  <si>
    <t>514</t>
  </si>
  <si>
    <r>
      <rPr>
        <u/>
        <sz val="11"/>
        <color rgb="FF1155CC"/>
        <rFont val="Arial"/>
        <scheme val="minor"/>
      </rPr>
      <t>牧原 大成</t>
    </r>
  </si>
  <si>
    <t>515</t>
  </si>
  <si>
    <r>
      <rPr>
        <u/>
        <sz val="11"/>
        <color rgb="FF1155CC"/>
        <rFont val="Arial"/>
        <scheme val="minor"/>
      </rPr>
      <t>柳田 悠岐</t>
    </r>
  </si>
  <si>
    <t>37,000万円</t>
  </si>
  <si>
    <t>516</t>
  </si>
  <si>
    <r>
      <rPr>
        <u/>
        <sz val="11"/>
        <color rgb="FF1155CC"/>
        <rFont val="Arial"/>
        <scheme val="minor"/>
      </rPr>
      <t>上沢 直之</t>
    </r>
  </si>
  <si>
    <t>517</t>
  </si>
  <si>
    <r>
      <rPr>
        <u/>
        <sz val="11"/>
        <color rgb="FF1155CC"/>
        <rFont val="Arial"/>
        <scheme val="minor"/>
      </rPr>
      <t>津森 宥紀</t>
    </r>
  </si>
  <si>
    <t>518</t>
  </si>
  <si>
    <r>
      <rPr>
        <u/>
        <sz val="11"/>
        <color rgb="FF1155CC"/>
        <rFont val="Arial"/>
        <scheme val="minor"/>
      </rPr>
      <t>嶺井 博希</t>
    </r>
  </si>
  <si>
    <t>519</t>
  </si>
  <si>
    <r>
      <rPr>
        <u/>
        <sz val="11"/>
        <color rgb="FF1155CC"/>
        <rFont val="Arial"/>
        <scheme val="minor"/>
      </rPr>
      <t>稲川 竜汰</t>
    </r>
  </si>
  <si>
    <t>520</t>
  </si>
  <si>
    <r>
      <rPr>
        <u/>
        <sz val="11"/>
        <color rgb="FF1155CC"/>
        <rFont val="Arial"/>
        <scheme val="minor"/>
      </rPr>
      <t>ラトリッジ</t>
    </r>
  </si>
  <si>
    <t>109kg</t>
  </si>
  <si>
    <t>521</t>
  </si>
  <si>
    <r>
      <rPr>
        <u/>
        <sz val="11"/>
        <color rgb="FF1155CC"/>
        <rFont val="Arial"/>
        <scheme val="minor"/>
      </rPr>
      <t>東浜 巨</t>
    </r>
  </si>
  <si>
    <t>522</t>
  </si>
  <si>
    <r>
      <rPr>
        <u/>
        <sz val="11"/>
        <color rgb="FF1155CC"/>
        <rFont val="Arial"/>
        <scheme val="minor"/>
      </rPr>
      <t>張 峻瑋</t>
    </r>
  </si>
  <si>
    <t>523</t>
  </si>
  <si>
    <r>
      <rPr>
        <u/>
        <sz val="11"/>
        <color rgb="FF1155CC"/>
        <rFont val="Arial"/>
        <scheme val="minor"/>
      </rPr>
      <t>徐 若熙</t>
    </r>
  </si>
  <si>
    <t>524</t>
  </si>
  <si>
    <r>
      <rPr>
        <u/>
        <sz val="11"/>
        <color rgb="FF1155CC"/>
        <rFont val="Arial"/>
        <scheme val="minor"/>
      </rPr>
      <t>大津 亮介</t>
    </r>
  </si>
  <si>
    <t>6,800万円</t>
  </si>
  <si>
    <t>525</t>
  </si>
  <si>
    <r>
      <rPr>
        <u/>
        <sz val="11"/>
        <color rgb="FF1155CC"/>
        <rFont val="Arial"/>
        <scheme val="minor"/>
      </rPr>
      <t>村上 泰斗</t>
    </r>
  </si>
  <si>
    <t>526</t>
  </si>
  <si>
    <r>
      <rPr>
        <u/>
        <sz val="11"/>
        <color rgb="FF1155CC"/>
        <rFont val="Arial"/>
        <scheme val="minor"/>
      </rPr>
      <t>藤原 大翔</t>
    </r>
  </si>
  <si>
    <t>527</t>
  </si>
  <si>
    <r>
      <rPr>
        <u/>
        <sz val="11"/>
        <color rgb="FF1155CC"/>
        <rFont val="Arial"/>
        <scheme val="minor"/>
      </rPr>
      <t>周東 佑京</t>
    </r>
  </si>
  <si>
    <t>40,000万円</t>
  </si>
  <si>
    <t>528</t>
  </si>
  <si>
    <r>
      <rPr>
        <u/>
        <sz val="11"/>
        <color rgb="FF1155CC"/>
        <rFont val="Arial"/>
        <scheme val="minor"/>
      </rPr>
      <t>栗原 陵矢</t>
    </r>
  </si>
  <si>
    <t>529</t>
  </si>
  <si>
    <r>
      <rPr>
        <u/>
        <sz val="11"/>
        <color rgb="FF1155CC"/>
        <rFont val="Arial"/>
        <scheme val="minor"/>
      </rPr>
      <t>庄子 雄大</t>
    </r>
  </si>
  <si>
    <t>530</t>
  </si>
  <si>
    <r>
      <rPr>
        <u/>
        <sz val="11"/>
        <color rgb="FF1155CC"/>
        <rFont val="Arial"/>
        <scheme val="minor"/>
      </rPr>
      <t>鈴木 豪太</t>
    </r>
  </si>
  <si>
    <t>531</t>
  </si>
  <si>
    <r>
      <rPr>
        <u/>
        <sz val="11"/>
        <color rgb="FF1155CC"/>
        <rFont val="Arial"/>
        <scheme val="minor"/>
      </rPr>
      <t>岩井 俊介</t>
    </r>
  </si>
  <si>
    <t>532</t>
  </si>
  <si>
    <r>
      <rPr>
        <u/>
        <sz val="11"/>
        <color rgb="FF1155CC"/>
        <rFont val="Arial"/>
        <scheme val="minor"/>
      </rPr>
      <t>安德 駿</t>
    </r>
  </si>
  <si>
    <t>980万円</t>
  </si>
  <si>
    <t>533</t>
  </si>
  <si>
    <r>
      <rPr>
        <u/>
        <sz val="11"/>
        <color rgb="FF1155CC"/>
        <rFont val="Arial"/>
        <scheme val="minor"/>
      </rPr>
      <t>大江 竜聖</t>
    </r>
  </si>
  <si>
    <t>534</t>
  </si>
  <si>
    <r>
      <rPr>
        <u/>
        <sz val="11"/>
        <color rgb="FF1155CC"/>
        <rFont val="Arial"/>
        <scheme val="minor"/>
      </rPr>
      <t>中村 稔弥</t>
    </r>
  </si>
  <si>
    <t>535</t>
  </si>
  <si>
    <r>
      <rPr>
        <u/>
        <sz val="11"/>
        <color rgb="FF1155CC"/>
        <rFont val="Arial"/>
        <scheme val="minor"/>
      </rPr>
      <t>正木 智也</t>
    </r>
  </si>
  <si>
    <t>536</t>
  </si>
  <si>
    <r>
      <rPr>
        <u/>
        <sz val="11"/>
        <color rgb="FF1155CC"/>
        <rFont val="Arial"/>
        <scheme val="minor"/>
      </rPr>
      <t>柳町 達</t>
    </r>
  </si>
  <si>
    <t>537</t>
  </si>
  <si>
    <r>
      <rPr>
        <u/>
        <sz val="11"/>
        <color rgb="FF1155CC"/>
        <rFont val="Arial"/>
        <scheme val="minor"/>
      </rPr>
      <t>廣瀨 隆太</t>
    </r>
  </si>
  <si>
    <t>538</t>
  </si>
  <si>
    <r>
      <rPr>
        <u/>
        <sz val="11"/>
        <color rgb="FF1155CC"/>
        <rFont val="Arial"/>
        <scheme val="minor"/>
      </rPr>
      <t>アルメンタ</t>
    </r>
  </si>
  <si>
    <t>メキシコ</t>
  </si>
  <si>
    <t>539</t>
  </si>
  <si>
    <r>
      <rPr>
        <u/>
        <sz val="11"/>
        <color rgb="FF1155CC"/>
        <rFont val="Arial"/>
        <scheme val="minor"/>
      </rPr>
      <t>モイネロ</t>
    </r>
  </si>
  <si>
    <t>100,000万円</t>
  </si>
  <si>
    <t>540</t>
  </si>
  <si>
    <r>
      <rPr>
        <u/>
        <sz val="11"/>
        <color rgb="FF1155CC"/>
        <rFont val="Arial"/>
        <scheme val="minor"/>
      </rPr>
      <t>イヒネ イツア</t>
    </r>
  </si>
  <si>
    <t>541</t>
  </si>
  <si>
    <r>
      <rPr>
        <u/>
        <sz val="11"/>
        <color rgb="FF1155CC"/>
        <rFont val="Arial"/>
        <scheme val="minor"/>
      </rPr>
      <t>山本 祐大</t>
    </r>
  </si>
  <si>
    <t>7,300万円</t>
  </si>
  <si>
    <t>542</t>
  </si>
  <si>
    <r>
      <rPr>
        <u/>
        <sz val="11"/>
        <color rgb="FF1155CC"/>
        <rFont val="Arial"/>
        <scheme val="minor"/>
      </rPr>
      <t>杉山 一樹</t>
    </r>
  </si>
  <si>
    <t>543</t>
  </si>
  <si>
    <r>
      <rPr>
        <u/>
        <sz val="11"/>
        <color rgb="FF1155CC"/>
        <rFont val="Arial"/>
        <scheme val="minor"/>
      </rPr>
      <t>前田 悠伍</t>
    </r>
  </si>
  <si>
    <t>544</t>
  </si>
  <si>
    <r>
      <rPr>
        <u/>
        <sz val="11"/>
        <color rgb="FF1155CC"/>
        <rFont val="Arial"/>
        <scheme val="minor"/>
      </rPr>
      <t>伊藤 優輔</t>
    </r>
  </si>
  <si>
    <t>545</t>
  </si>
  <si>
    <r>
      <rPr>
        <u/>
        <sz val="11"/>
        <color rgb="FF1155CC"/>
        <rFont val="Arial"/>
        <scheme val="minor"/>
      </rPr>
      <t>北斗</t>
    </r>
  </si>
  <si>
    <t>546</t>
  </si>
  <si>
    <r>
      <rPr>
        <u/>
        <sz val="11"/>
        <color rgb="FF1155CC"/>
        <rFont val="Arial"/>
        <scheme val="minor"/>
      </rPr>
      <t>笹川 吉康</t>
    </r>
  </si>
  <si>
    <t>547</t>
  </si>
  <si>
    <r>
      <rPr>
        <u/>
        <sz val="11"/>
        <color rgb="FF1155CC"/>
        <rFont val="Arial"/>
        <scheme val="minor"/>
      </rPr>
      <t>谷川原 健太</t>
    </r>
  </si>
  <si>
    <t>548</t>
  </si>
  <si>
    <r>
      <rPr>
        <u/>
        <sz val="11"/>
        <color rgb="FF1155CC"/>
        <rFont val="Arial"/>
        <scheme val="minor"/>
      </rPr>
      <t>宇野 真仁朗</t>
    </r>
  </si>
  <si>
    <t>549</t>
  </si>
  <si>
    <r>
      <rPr>
        <u/>
        <sz val="11"/>
        <color rgb="FF1155CC"/>
        <rFont val="Arial"/>
        <scheme val="minor"/>
      </rPr>
      <t>大関 友久</t>
    </r>
  </si>
  <si>
    <t>550</t>
  </si>
  <si>
    <r>
      <rPr>
        <u/>
        <sz val="11"/>
        <color rgb="FF1155CC"/>
        <rFont val="Arial"/>
        <scheme val="minor"/>
      </rPr>
      <t>藤井 皓哉</t>
    </r>
  </si>
  <si>
    <t>551</t>
  </si>
  <si>
    <r>
      <rPr>
        <u/>
        <sz val="11"/>
        <color rgb="FF1155CC"/>
        <rFont val="Arial"/>
        <scheme val="minor"/>
      </rPr>
      <t>松本 晴</t>
    </r>
  </si>
  <si>
    <t>552</t>
  </si>
  <si>
    <r>
      <rPr>
        <u/>
        <sz val="11"/>
        <color rgb="FF1155CC"/>
        <rFont val="Arial"/>
        <scheme val="minor"/>
      </rPr>
      <t>相良 雅斗</t>
    </r>
  </si>
  <si>
    <t>553</t>
  </si>
  <si>
    <r>
      <rPr>
        <u/>
        <sz val="11"/>
        <color rgb="FF1155CC"/>
        <rFont val="Arial"/>
        <scheme val="minor"/>
      </rPr>
      <t>前田 純</t>
    </r>
  </si>
  <si>
    <t>554</t>
  </si>
  <si>
    <r>
      <rPr>
        <u/>
        <sz val="11"/>
        <color rgb="FF1155CC"/>
        <rFont val="Arial"/>
        <scheme val="minor"/>
      </rPr>
      <t>秋広 優人</t>
    </r>
  </si>
  <si>
    <t>2,450万円</t>
  </si>
  <si>
    <t>555</t>
  </si>
  <si>
    <r>
      <rPr>
        <u/>
        <sz val="11"/>
        <color rgb="FF1155CC"/>
        <rFont val="Arial"/>
        <scheme val="minor"/>
      </rPr>
      <t>大山 凌</t>
    </r>
  </si>
  <si>
    <t>556</t>
  </si>
  <si>
    <t>557</t>
  </si>
  <si>
    <r>
      <rPr>
        <u/>
        <sz val="11"/>
        <color rgb="FF1155CC"/>
        <rFont val="Arial"/>
        <scheme val="minor"/>
      </rPr>
      <t>石塚 綜一郎</t>
    </r>
  </si>
  <si>
    <t>558</t>
  </si>
  <si>
    <r>
      <rPr>
        <u/>
        <sz val="11"/>
        <color rgb="FF1155CC"/>
        <rFont val="Arial"/>
        <scheme val="minor"/>
      </rPr>
      <t>髙橋 隆慶</t>
    </r>
  </si>
  <si>
    <t>559</t>
  </si>
  <si>
    <r>
      <rPr>
        <u/>
        <sz val="11"/>
        <color rgb="FF1155CC"/>
        <rFont val="Arial"/>
        <scheme val="minor"/>
      </rPr>
      <t>緒方 理貢</t>
    </r>
  </si>
  <si>
    <t>2,400万円</t>
  </si>
  <si>
    <t>560</t>
  </si>
  <si>
    <r>
      <rPr>
        <u/>
        <sz val="11"/>
        <color rgb="FF1155CC"/>
        <rFont val="Arial"/>
        <scheme val="minor"/>
      </rPr>
      <t>木村 大成</t>
    </r>
  </si>
  <si>
    <t>590万円</t>
  </si>
  <si>
    <t>561</t>
  </si>
  <si>
    <r>
      <rPr>
        <u/>
        <sz val="11"/>
        <color rgb="FF1155CC"/>
        <rFont val="Arial"/>
        <scheme val="minor"/>
      </rPr>
      <t>大竹 風雅</t>
    </r>
  </si>
  <si>
    <t>562</t>
  </si>
  <si>
    <r>
      <rPr>
        <u/>
        <sz val="11"/>
        <color rgb="FF1155CC"/>
        <rFont val="Arial"/>
        <scheme val="minor"/>
      </rPr>
      <t>大野 稼頭央</t>
    </r>
  </si>
  <si>
    <t>563</t>
  </si>
  <si>
    <r>
      <rPr>
        <u/>
        <sz val="11"/>
        <color rgb="FF1155CC"/>
        <rFont val="Arial"/>
        <scheme val="minor"/>
      </rPr>
      <t>川村 友斗</t>
    </r>
  </si>
  <si>
    <t>564</t>
  </si>
  <si>
    <r>
      <rPr>
        <u/>
        <sz val="11"/>
        <color rgb="FF1155CC"/>
        <rFont val="Arial"/>
        <scheme val="minor"/>
      </rPr>
      <t>海野 隆司</t>
    </r>
  </si>
  <si>
    <t>565</t>
  </si>
  <si>
    <r>
      <rPr>
        <u/>
        <sz val="11"/>
        <color rgb="FF1155CC"/>
        <rFont val="Arial"/>
        <scheme val="minor"/>
      </rPr>
      <t>ヘルナンデス</t>
    </r>
  </si>
  <si>
    <t>566</t>
  </si>
  <si>
    <r>
      <rPr>
        <u/>
        <sz val="11"/>
        <color rgb="FF1155CC"/>
        <rFont val="Arial"/>
        <scheme val="minor"/>
      </rPr>
      <t>上茶谷 大河</t>
    </r>
  </si>
  <si>
    <t>567</t>
  </si>
  <si>
    <r>
      <rPr>
        <u/>
        <sz val="11"/>
        <color rgb="FF1155CC"/>
        <rFont val="Arial"/>
        <scheme val="minor"/>
      </rPr>
      <t>藤田 悠太郎</t>
    </r>
  </si>
  <si>
    <t>568</t>
  </si>
  <si>
    <r>
      <rPr>
        <u/>
        <sz val="11"/>
        <color rgb="FF1155CC"/>
        <rFont val="Arial"/>
        <scheme val="minor"/>
      </rPr>
      <t>松本 裕樹</t>
    </r>
  </si>
  <si>
    <t>569</t>
  </si>
  <si>
    <r>
      <rPr>
        <u/>
        <sz val="11"/>
        <color rgb="FF1155CC"/>
        <rFont val="Arial"/>
        <scheme val="minor"/>
      </rPr>
      <t>石見 颯真</t>
    </r>
  </si>
  <si>
    <t>570</t>
  </si>
  <si>
    <r>
      <rPr>
        <u/>
        <sz val="11"/>
        <color rgb="FF1155CC"/>
        <rFont val="Arial"/>
        <scheme val="minor"/>
      </rPr>
      <t>木村 光</t>
    </r>
  </si>
  <si>
    <t>571</t>
  </si>
  <si>
    <r>
      <rPr>
        <u/>
        <sz val="11"/>
        <color rgb="FF1155CC"/>
        <rFont val="Arial"/>
        <scheme val="minor"/>
      </rPr>
      <t>岩崎 峻典</t>
    </r>
  </si>
  <si>
    <t>860万円</t>
  </si>
  <si>
    <t>572</t>
  </si>
  <si>
    <r>
      <rPr>
        <u/>
        <sz val="11"/>
        <color rgb="FF1155CC"/>
        <rFont val="Arial"/>
        <scheme val="minor"/>
      </rPr>
      <t>山本 恵大</t>
    </r>
  </si>
  <si>
    <t>573</t>
  </si>
  <si>
    <t>574</t>
  </si>
  <si>
    <r>
      <rPr>
        <u/>
        <sz val="11"/>
        <color rgb="FF1155CC"/>
        <rFont val="Arial"/>
        <scheme val="minor"/>
      </rPr>
      <t>小林 樹斗</t>
    </r>
  </si>
  <si>
    <t>575</t>
  </si>
  <si>
    <r>
      <rPr>
        <u/>
        <sz val="11"/>
        <color rgb="FF1155CC"/>
        <rFont val="Arial"/>
        <scheme val="minor"/>
      </rPr>
      <t>野村 勇</t>
    </r>
  </si>
  <si>
    <t>5,200万円</t>
  </si>
  <si>
    <t>576</t>
  </si>
  <si>
    <r>
      <rPr>
        <u/>
        <sz val="11"/>
        <color rgb="FF1155CC"/>
        <rFont val="Arial"/>
        <scheme val="minor"/>
      </rPr>
      <t>長谷川 威展</t>
    </r>
  </si>
  <si>
    <t>577</t>
  </si>
  <si>
    <r>
      <rPr>
        <u/>
        <sz val="11"/>
        <color rgb="FF1155CC"/>
        <rFont val="Arial"/>
        <scheme val="minor"/>
      </rPr>
      <t>ザイレン</t>
    </r>
  </si>
  <si>
    <t>578</t>
  </si>
  <si>
    <r>
      <rPr>
        <u/>
        <sz val="11"/>
        <color rgb="FF1155CC"/>
        <rFont val="Arial"/>
        <scheme val="minor"/>
      </rPr>
      <t>藤野 恵音</t>
    </r>
  </si>
  <si>
    <t>579</t>
  </si>
  <si>
    <r>
      <rPr>
        <u/>
        <sz val="11"/>
        <color rgb="FF1155CC"/>
        <rFont val="Arial"/>
        <scheme val="minor"/>
      </rPr>
      <t>大泉 周也</t>
    </r>
  </si>
  <si>
    <t>580</t>
  </si>
  <si>
    <r>
      <rPr>
        <u/>
        <sz val="11"/>
        <color rgb="FF1155CC"/>
        <rFont val="Arial"/>
        <scheme val="minor"/>
      </rPr>
      <t>桑原 秀侍</t>
    </r>
  </si>
  <si>
    <t>581</t>
  </si>
  <si>
    <r>
      <rPr>
        <u/>
        <sz val="11"/>
        <color rgb="FF1155CC"/>
        <rFont val="Arial"/>
        <scheme val="minor"/>
      </rPr>
      <t>大友 宗</t>
    </r>
  </si>
  <si>
    <t>582</t>
  </si>
  <si>
    <r>
      <rPr>
        <u/>
        <sz val="11"/>
        <color rgb="FF1155CC"/>
        <rFont val="Arial"/>
        <scheme val="minor"/>
      </rPr>
      <t>宮里 優吾</t>
    </r>
  </si>
  <si>
    <t>583</t>
  </si>
  <si>
    <r>
      <rPr>
        <u/>
        <sz val="11"/>
        <color rgb="FF1155CC"/>
        <rFont val="Arial"/>
        <scheme val="minor"/>
      </rPr>
      <t>広瀬 結煌</t>
    </r>
  </si>
  <si>
    <t>584</t>
  </si>
  <si>
    <r>
      <rPr>
        <u/>
        <sz val="11"/>
        <color rgb="FF1155CC"/>
        <rFont val="Arial"/>
        <scheme val="minor"/>
      </rPr>
      <t>河野 伸一朗</t>
    </r>
  </si>
  <si>
    <t>585</t>
  </si>
  <si>
    <r>
      <rPr>
        <u/>
        <sz val="11"/>
        <color rgb="FF1155CC"/>
        <rFont val="Arial"/>
        <scheme val="minor"/>
      </rPr>
      <t>佐倉 俠史朗</t>
    </r>
  </si>
  <si>
    <t>586</t>
  </si>
  <si>
    <r>
      <rPr>
        <u/>
        <sz val="11"/>
        <color rgb="FF1155CC"/>
        <rFont val="Arial"/>
        <scheme val="minor"/>
      </rPr>
      <t>牧原 巧汰</t>
    </r>
  </si>
  <si>
    <t>587</t>
  </si>
  <si>
    <r>
      <rPr>
        <u/>
        <sz val="11"/>
        <color rgb="FF1155CC"/>
        <rFont val="Arial"/>
        <scheme val="minor"/>
      </rPr>
      <t>中澤 恒貴</t>
    </r>
  </si>
  <si>
    <t>588</t>
  </si>
  <si>
    <r>
      <rPr>
        <u/>
        <sz val="11"/>
        <color rgb="FF1155CC"/>
        <rFont val="Arial"/>
        <scheme val="minor"/>
      </rPr>
      <t>川口 冬弥</t>
    </r>
  </si>
  <si>
    <t>589</t>
  </si>
  <si>
    <r>
      <rPr>
        <u/>
        <sz val="11"/>
        <color rgb="FF1155CC"/>
        <rFont val="Arial"/>
        <scheme val="minor"/>
      </rPr>
      <t>池田 栞太</t>
    </r>
  </si>
  <si>
    <t>590</t>
  </si>
  <si>
    <r>
      <rPr>
        <u/>
        <sz val="11"/>
        <color rgb="FF1155CC"/>
        <rFont val="Arial"/>
        <scheme val="minor"/>
      </rPr>
      <t>村田 賢一</t>
    </r>
  </si>
  <si>
    <t>591</t>
  </si>
  <si>
    <r>
      <rPr>
        <u/>
        <sz val="11"/>
        <color rgb="FF1155CC"/>
        <rFont val="Arial"/>
        <scheme val="minor"/>
      </rPr>
      <t>津嘉山 憲志郎</t>
    </r>
  </si>
  <si>
    <t>592</t>
  </si>
  <si>
    <r>
      <rPr>
        <u/>
        <sz val="11"/>
        <color rgb="FF1155CC"/>
        <rFont val="Arial"/>
        <scheme val="minor"/>
      </rPr>
      <t>相原 雄太</t>
    </r>
  </si>
  <si>
    <t>593</t>
  </si>
  <si>
    <r>
      <rPr>
        <u/>
        <sz val="11"/>
        <color rgb="FF1155CC"/>
        <rFont val="Arial"/>
        <scheme val="minor"/>
      </rPr>
      <t>井﨑 燦志郎</t>
    </r>
  </si>
  <si>
    <t>594</t>
  </si>
  <si>
    <r>
      <rPr>
        <u/>
        <sz val="11"/>
        <color rgb="FF1155CC"/>
        <rFont val="Arial"/>
        <scheme val="minor"/>
      </rPr>
      <t>岡田 皓一朗</t>
    </r>
  </si>
  <si>
    <t>595</t>
  </si>
  <si>
    <r>
      <rPr>
        <u/>
        <sz val="11"/>
        <color rgb="FF1155CC"/>
        <rFont val="Arial"/>
        <scheme val="minor"/>
      </rPr>
      <t>澤柳 亮太郎</t>
    </r>
  </si>
  <si>
    <t>596</t>
  </si>
  <si>
    <r>
      <rPr>
        <u/>
        <sz val="11"/>
        <color rgb="FF1155CC"/>
        <rFont val="Arial"/>
        <scheme val="minor"/>
      </rPr>
      <t>漁府 輝羽</t>
    </r>
  </si>
  <si>
    <t>597</t>
  </si>
  <si>
    <t>144</t>
  </si>
  <si>
    <r>
      <rPr>
        <u/>
        <sz val="11"/>
        <color rgb="FF1155CC"/>
        <rFont val="Arial"/>
        <scheme val="minor"/>
      </rPr>
      <t>江崎 歩</t>
    </r>
  </si>
  <si>
    <t>598</t>
  </si>
  <si>
    <r>
      <rPr>
        <u/>
        <sz val="11"/>
        <color rgb="FF1155CC"/>
        <rFont val="Arial"/>
        <scheme val="minor"/>
      </rPr>
      <t>ハモンド</t>
    </r>
  </si>
  <si>
    <t>599</t>
  </si>
  <si>
    <r>
      <rPr>
        <u/>
        <sz val="11"/>
        <color rgb="FF1155CC"/>
        <rFont val="Arial"/>
        <scheme val="minor"/>
      </rPr>
      <t>大矢 琉晟</t>
    </r>
  </si>
  <si>
    <t>600</t>
  </si>
  <si>
    <r>
      <rPr>
        <u/>
        <sz val="11"/>
        <color rgb="FF1155CC"/>
        <rFont val="Arial"/>
        <scheme val="minor"/>
      </rPr>
      <t>木下 勇人</t>
    </r>
  </si>
  <si>
    <t>601</t>
  </si>
  <si>
    <r>
      <rPr>
        <u/>
        <sz val="11"/>
        <color rgb="FF1155CC"/>
        <rFont val="Arial"/>
        <scheme val="minor"/>
      </rPr>
      <t>山崎 琢磨</t>
    </r>
  </si>
  <si>
    <t>602</t>
  </si>
  <si>
    <r>
      <rPr>
        <u/>
        <sz val="11"/>
        <color rgb="FF1155CC"/>
        <rFont val="Arial"/>
        <scheme val="minor"/>
      </rPr>
      <t>熊谷 太雅</t>
    </r>
  </si>
  <si>
    <t>603</t>
  </si>
  <si>
    <r>
      <rPr>
        <u/>
        <sz val="11"/>
        <color rgb="FF1155CC"/>
        <rFont val="Arial"/>
        <scheme val="minor"/>
      </rPr>
      <t>大橋 令和</t>
    </r>
  </si>
  <si>
    <t>604</t>
  </si>
  <si>
    <r>
      <rPr>
        <u/>
        <sz val="11"/>
        <color rgb="FF1155CC"/>
        <rFont val="Arial"/>
        <scheme val="minor"/>
      </rPr>
      <t>鈴木 貴大</t>
    </r>
  </si>
  <si>
    <t>605</t>
  </si>
  <si>
    <r>
      <rPr>
        <u/>
        <sz val="11"/>
        <color rgb="FF1155CC"/>
        <rFont val="Arial"/>
        <scheme val="minor"/>
      </rPr>
      <t>塩士 暖</t>
    </r>
  </si>
  <si>
    <t>606</t>
  </si>
  <si>
    <r>
      <rPr>
        <u/>
        <sz val="11"/>
        <color rgb="FF1155CC"/>
        <rFont val="Arial"/>
        <scheme val="minor"/>
      </rPr>
      <t>生海</t>
    </r>
  </si>
  <si>
    <t>607</t>
  </si>
  <si>
    <r>
      <rPr>
        <u/>
        <sz val="11"/>
        <color rgb="FF1155CC"/>
        <rFont val="Arial"/>
        <scheme val="minor"/>
      </rPr>
      <t>長﨑 蓮汰</t>
    </r>
  </si>
  <si>
    <t>608</t>
  </si>
  <si>
    <r>
      <rPr>
        <u/>
        <sz val="11"/>
        <color rgb="FF1155CC"/>
        <rFont val="Arial"/>
        <scheme val="minor"/>
      </rPr>
      <t>田上 奏大</t>
    </r>
  </si>
  <si>
    <t>609</t>
  </si>
  <si>
    <r>
      <rPr>
        <u/>
        <sz val="11"/>
        <color rgb="FF1155CC"/>
        <rFont val="Arial"/>
        <scheme val="minor"/>
      </rPr>
      <t>エミール</t>
    </r>
  </si>
  <si>
    <t>610</t>
  </si>
  <si>
    <r>
      <rPr>
        <u/>
        <sz val="11"/>
        <color rgb="FF1155CC"/>
        <rFont val="Arial"/>
        <scheme val="minor"/>
      </rPr>
      <t>山下 恭吾</t>
    </r>
  </si>
  <si>
    <t>611</t>
  </si>
  <si>
    <r>
      <rPr>
        <u/>
        <sz val="11"/>
        <color rgb="FF1155CC"/>
        <rFont val="Arial"/>
        <scheme val="minor"/>
      </rPr>
      <t>長水 啓眞</t>
    </r>
  </si>
  <si>
    <t>612</t>
  </si>
  <si>
    <r>
      <rPr>
        <u/>
        <sz val="11"/>
        <color rgb="FF1155CC"/>
        <rFont val="Arial"/>
        <scheme val="minor"/>
      </rPr>
      <t>内野 海斗</t>
    </r>
  </si>
  <si>
    <t>613</t>
  </si>
  <si>
    <r>
      <rPr>
        <u/>
        <sz val="11"/>
        <color rgb="FF1155CC"/>
        <rFont val="Arial"/>
        <scheme val="minor"/>
      </rPr>
      <t>岡植 純平</t>
    </r>
  </si>
  <si>
    <t>614</t>
  </si>
  <si>
    <r>
      <rPr>
        <u/>
        <sz val="11"/>
        <color rgb="FF1155CC"/>
        <rFont val="Arial"/>
        <scheme val="minor"/>
      </rPr>
      <t>佐々木 明都</t>
    </r>
  </si>
  <si>
    <t>615</t>
  </si>
  <si>
    <r>
      <rPr>
        <u/>
        <sz val="11"/>
        <color rgb="FF1155CC"/>
        <rFont val="Arial"/>
        <scheme val="minor"/>
      </rPr>
      <t>重松 凱人</t>
    </r>
  </si>
  <si>
    <t>616</t>
  </si>
  <si>
    <r>
      <rPr>
        <u/>
        <sz val="11"/>
        <color rgb="FF1155CC"/>
        <rFont val="Arial"/>
        <scheme val="minor"/>
      </rPr>
      <t>佐藤 航太</t>
    </r>
  </si>
  <si>
    <t>617</t>
  </si>
  <si>
    <r>
      <rPr>
        <u/>
        <sz val="11"/>
        <color rgb="FF1155CC"/>
        <rFont val="Arial"/>
        <scheme val="minor"/>
      </rPr>
      <t>飛田 悠成</t>
    </r>
  </si>
  <si>
    <t>618</t>
  </si>
  <si>
    <r>
      <rPr>
        <u/>
        <sz val="11"/>
        <color rgb="FF1155CC"/>
        <rFont val="Arial"/>
        <scheme val="minor"/>
      </rPr>
      <t>西尾 歩真</t>
    </r>
  </si>
  <si>
    <t>619</t>
  </si>
  <si>
    <r>
      <rPr>
        <u/>
        <sz val="11"/>
        <color rgb="FF1155CC"/>
        <rFont val="Arial"/>
        <scheme val="minor"/>
      </rPr>
      <t>盛島 稜大</t>
    </r>
  </si>
  <si>
    <t>620</t>
  </si>
  <si>
    <r>
      <rPr>
        <u/>
        <sz val="11"/>
        <color rgb="FF1155CC"/>
        <rFont val="Arial"/>
        <scheme val="minor"/>
      </rPr>
      <t>オスーナ</t>
    </r>
  </si>
  <si>
    <t>621</t>
  </si>
  <si>
    <r>
      <rPr>
        <u/>
        <sz val="11"/>
        <color rgb="FF1155CC"/>
        <rFont val="Arial"/>
        <scheme val="minor"/>
      </rPr>
      <t>モレノ</t>
    </r>
  </si>
  <si>
    <t>622</t>
  </si>
  <si>
    <r>
      <rPr>
        <u/>
        <sz val="11"/>
        <color rgb="FF1155CC"/>
        <rFont val="Arial"/>
        <scheme val="minor"/>
      </rPr>
      <t>アルモンテ</t>
    </r>
  </si>
  <si>
    <t>623</t>
  </si>
  <si>
    <r>
      <rPr>
        <u/>
        <sz val="11"/>
        <color rgb="FF1155CC"/>
        <rFont val="Arial"/>
        <scheme val="minor"/>
      </rPr>
      <t>サルディ</t>
    </r>
  </si>
  <si>
    <t>624</t>
  </si>
  <si>
    <t>f</t>
  </si>
  <si>
    <t>625</t>
  </si>
  <si>
    <r>
      <rPr>
        <u/>
        <sz val="11"/>
        <color rgb="FF1155CC"/>
        <rFont val="Arial"/>
        <scheme val="minor"/>
      </rPr>
      <t>郡司 裕也</t>
    </r>
  </si>
  <si>
    <t>626</t>
  </si>
  <si>
    <r>
      <rPr>
        <u/>
        <sz val="11"/>
        <color rgb="FF1155CC"/>
        <rFont val="Arial"/>
        <scheme val="minor"/>
      </rPr>
      <t>上川畑 大悟</t>
    </r>
  </si>
  <si>
    <t>627</t>
  </si>
  <si>
    <r>
      <rPr>
        <u/>
        <sz val="11"/>
        <color rgb="FF1155CC"/>
        <rFont val="Arial"/>
        <scheme val="minor"/>
      </rPr>
      <t>野村 佑希</t>
    </r>
  </si>
  <si>
    <t>628</t>
  </si>
  <si>
    <r>
      <rPr>
        <u/>
        <sz val="11"/>
        <color rgb="FF1155CC"/>
        <rFont val="Arial"/>
        <scheme val="minor"/>
      </rPr>
      <t>カストロ</t>
    </r>
  </si>
  <si>
    <t>629</t>
  </si>
  <si>
    <r>
      <rPr>
        <u/>
        <sz val="11"/>
        <color rgb="FF1155CC"/>
        <rFont val="Arial"/>
        <scheme val="minor"/>
      </rPr>
      <t>西川 遥輝</t>
    </r>
  </si>
  <si>
    <t>630</t>
  </si>
  <si>
    <r>
      <rPr>
        <u/>
        <sz val="11"/>
        <color rgb="FF1155CC"/>
        <rFont val="Arial"/>
        <scheme val="minor"/>
      </rPr>
      <t>淺間 大基</t>
    </r>
  </si>
  <si>
    <t>631</t>
  </si>
  <si>
    <r>
      <rPr>
        <u/>
        <sz val="11"/>
        <color rgb="FF1155CC"/>
        <rFont val="Arial"/>
        <scheme val="minor"/>
      </rPr>
      <t>中島 卓也</t>
    </r>
  </si>
  <si>
    <t>632</t>
  </si>
  <si>
    <r>
      <rPr>
        <u/>
        <sz val="11"/>
        <color rgb="FF1155CC"/>
        <rFont val="Arial"/>
        <scheme val="minor"/>
      </rPr>
      <t>清水 優心</t>
    </r>
  </si>
  <si>
    <t>633</t>
  </si>
  <si>
    <r>
      <rPr>
        <u/>
        <sz val="11"/>
        <color rgb="FF1155CC"/>
        <rFont val="Arial"/>
        <scheme val="minor"/>
      </rPr>
      <t>矢澤 宏太</t>
    </r>
  </si>
  <si>
    <t>634</t>
  </si>
  <si>
    <r>
      <rPr>
        <u/>
        <sz val="11"/>
        <color rgb="FF1155CC"/>
        <rFont val="Arial"/>
        <scheme val="minor"/>
      </rPr>
      <t>生田目 翼</t>
    </r>
  </si>
  <si>
    <t>2,950万円</t>
  </si>
  <si>
    <t>635</t>
  </si>
  <si>
    <r>
      <rPr>
        <u/>
        <sz val="11"/>
        <color rgb="FF1155CC"/>
        <rFont val="Arial"/>
        <scheme val="minor"/>
      </rPr>
      <t>加藤 貴之</t>
    </r>
  </si>
  <si>
    <t>636</t>
  </si>
  <si>
    <r>
      <rPr>
        <u/>
        <sz val="11"/>
        <color rgb="FF1155CC"/>
        <rFont val="Arial"/>
        <scheme val="minor"/>
      </rPr>
      <t>北山 亘基</t>
    </r>
  </si>
  <si>
    <t>9,500万円</t>
  </si>
  <si>
    <t>637</t>
  </si>
  <si>
    <r>
      <rPr>
        <u/>
        <sz val="11"/>
        <color rgb="FF1155CC"/>
        <rFont val="Arial"/>
        <scheme val="minor"/>
      </rPr>
      <t>達 孝太</t>
    </r>
  </si>
  <si>
    <t>638</t>
  </si>
  <si>
    <t>伊藤 大海</t>
  </si>
  <si>
    <t>639</t>
  </si>
  <si>
    <r>
      <rPr>
        <u/>
        <sz val="11"/>
        <color rgb="FF1155CC"/>
        <rFont val="Arial"/>
        <scheme val="minor"/>
      </rPr>
      <t>山﨑 福也</t>
    </r>
  </si>
  <si>
    <t>640</t>
  </si>
  <si>
    <r>
      <rPr>
        <u/>
        <sz val="11"/>
        <color rgb="FF1155CC"/>
        <rFont val="Arial"/>
        <scheme val="minor"/>
      </rPr>
      <t>玉井 大翔</t>
    </r>
  </si>
  <si>
    <t>6,600万円</t>
  </si>
  <si>
    <t>641</t>
  </si>
  <si>
    <r>
      <rPr>
        <u/>
        <sz val="11"/>
        <color rgb="FF1155CC"/>
        <rFont val="Arial"/>
        <scheme val="minor"/>
      </rPr>
      <t>上原 健太</t>
    </r>
  </si>
  <si>
    <t>4,900万円</t>
  </si>
  <si>
    <t>642</t>
  </si>
  <si>
    <r>
      <rPr>
        <u/>
        <sz val="11"/>
        <color rgb="FF1155CC"/>
        <rFont val="Arial"/>
        <scheme val="minor"/>
      </rPr>
      <t>清宮 幸太郎</t>
    </r>
  </si>
  <si>
    <t>643</t>
  </si>
  <si>
    <r>
      <rPr>
        <u/>
        <sz val="11"/>
        <color rgb="FF1155CC"/>
        <rFont val="Arial"/>
        <scheme val="minor"/>
      </rPr>
      <t>金村 尚真</t>
    </r>
  </si>
  <si>
    <t>644</t>
  </si>
  <si>
    <r>
      <rPr>
        <u/>
        <sz val="11"/>
        <color rgb="FF1155CC"/>
        <rFont val="Arial"/>
        <scheme val="minor"/>
      </rPr>
      <t>宮西 尚生</t>
    </r>
  </si>
  <si>
    <t>41歳</t>
  </si>
  <si>
    <t>6,500万円</t>
  </si>
  <si>
    <t>645</t>
  </si>
  <si>
    <r>
      <rPr>
        <u/>
        <sz val="11"/>
        <color rgb="FF1155CC"/>
        <rFont val="Arial"/>
        <scheme val="minor"/>
      </rPr>
      <t>田中 正義</t>
    </r>
  </si>
  <si>
    <t>646</t>
  </si>
  <si>
    <r>
      <rPr>
        <u/>
        <sz val="11"/>
        <color rgb="FF1155CC"/>
        <rFont val="Arial"/>
        <scheme val="minor"/>
      </rPr>
      <t>大川 慈英</t>
    </r>
  </si>
  <si>
    <t>647</t>
  </si>
  <si>
    <r>
      <rPr>
        <u/>
        <sz val="11"/>
        <color rgb="FF1155CC"/>
        <rFont val="Arial"/>
        <scheme val="minor"/>
      </rPr>
      <t>河野 竜生</t>
    </r>
  </si>
  <si>
    <t>8,600万円</t>
  </si>
  <si>
    <t>648</t>
  </si>
  <si>
    <r>
      <rPr>
        <u/>
        <sz val="11"/>
        <color rgb="FF1155CC"/>
        <rFont val="Arial"/>
        <scheme val="minor"/>
      </rPr>
      <t>細野 晴希</t>
    </r>
  </si>
  <si>
    <t>649</t>
  </si>
  <si>
    <r>
      <rPr>
        <u/>
        <sz val="11"/>
        <color rgb="FF1155CC"/>
        <rFont val="Arial"/>
        <scheme val="minor"/>
      </rPr>
      <t>ラオ</t>
    </r>
  </si>
  <si>
    <t>650</t>
  </si>
  <si>
    <r>
      <rPr>
        <u/>
        <sz val="11"/>
        <color rgb="FF1155CC"/>
        <rFont val="Arial"/>
        <scheme val="minor"/>
      </rPr>
      <t>柴田 獅子</t>
    </r>
  </si>
  <si>
    <t>990万円</t>
  </si>
  <si>
    <t>651</t>
  </si>
  <si>
    <r>
      <rPr>
        <u/>
        <sz val="11"/>
        <color rgb="FF1155CC"/>
        <rFont val="Arial"/>
        <scheme val="minor"/>
      </rPr>
      <t>藤田 琉生</t>
    </r>
  </si>
  <si>
    <t>652</t>
  </si>
  <si>
    <r>
      <rPr>
        <u/>
        <sz val="11"/>
        <color rgb="FF1155CC"/>
        <rFont val="Arial"/>
        <scheme val="minor"/>
      </rPr>
      <t>進藤 勇也</t>
    </r>
  </si>
  <si>
    <t>653</t>
  </si>
  <si>
    <r>
      <rPr>
        <u/>
        <sz val="11"/>
        <color rgb="FF1155CC"/>
        <rFont val="Arial"/>
        <scheme val="minor"/>
      </rPr>
      <t>堀 瑞輝</t>
    </r>
  </si>
  <si>
    <t>654</t>
  </si>
  <si>
    <r>
      <rPr>
        <u/>
        <sz val="11"/>
        <color rgb="FF1155CC"/>
        <rFont val="Arial"/>
        <scheme val="minor"/>
      </rPr>
      <t>浅利 太門</t>
    </r>
  </si>
  <si>
    <t>655</t>
  </si>
  <si>
    <r>
      <rPr>
        <u/>
        <sz val="11"/>
        <color rgb="FF1155CC"/>
        <rFont val="Arial"/>
        <scheme val="minor"/>
      </rPr>
      <t>宮崎 一樹</t>
    </r>
  </si>
  <si>
    <t>656</t>
  </si>
  <si>
    <r>
      <rPr>
        <u/>
        <sz val="11"/>
        <color rgb="FF1155CC"/>
        <rFont val="Arial"/>
        <scheme val="minor"/>
      </rPr>
      <t>古林 睿煬</t>
    </r>
  </si>
  <si>
    <t>657</t>
  </si>
  <si>
    <r>
      <rPr>
        <u/>
        <sz val="11"/>
        <color rgb="FF1155CC"/>
        <rFont val="Arial"/>
        <scheme val="minor"/>
      </rPr>
      <t>リン</t>
    </r>
  </si>
  <si>
    <t>658</t>
  </si>
  <si>
    <r>
      <rPr>
        <u/>
        <sz val="11"/>
        <color rgb="FF1155CC"/>
        <rFont val="Arial"/>
        <scheme val="minor"/>
      </rPr>
      <t>有薗 直輝</t>
    </r>
  </si>
  <si>
    <t>659</t>
  </si>
  <si>
    <r>
      <rPr>
        <u/>
        <sz val="11"/>
        <color rgb="FF1155CC"/>
        <rFont val="Arial"/>
        <scheme val="minor"/>
      </rPr>
      <t>島本 浩也</t>
    </r>
  </si>
  <si>
    <t>660</t>
  </si>
  <si>
    <r>
      <rPr>
        <u/>
        <sz val="11"/>
        <color rgb="FF1155CC"/>
        <rFont val="Arial"/>
        <scheme val="minor"/>
      </rPr>
      <t>福谷 浩司</t>
    </r>
  </si>
  <si>
    <t>4,500万円</t>
  </si>
  <si>
    <t>661</t>
  </si>
  <si>
    <r>
      <rPr>
        <u/>
        <sz val="11"/>
        <color rgb="FF1155CC"/>
        <rFont val="Arial"/>
        <scheme val="minor"/>
      </rPr>
      <t>エドポロ ケイン</t>
    </r>
  </si>
  <si>
    <t>662</t>
  </si>
  <si>
    <r>
      <rPr>
        <u/>
        <sz val="11"/>
        <color rgb="FF1155CC"/>
        <rFont val="Arial"/>
        <scheme val="minor"/>
      </rPr>
      <t>水野 達稀</t>
    </r>
  </si>
  <si>
    <t>663</t>
  </si>
  <si>
    <r>
      <rPr>
        <u/>
        <sz val="11"/>
        <color rgb="FF1155CC"/>
        <rFont val="Arial"/>
        <scheme val="minor"/>
      </rPr>
      <t>阪口 樂</t>
    </r>
  </si>
  <si>
    <t>664</t>
  </si>
  <si>
    <r>
      <rPr>
        <u/>
        <sz val="11"/>
        <color rgb="FF1155CC"/>
        <rFont val="Arial"/>
        <scheme val="minor"/>
      </rPr>
      <t>福島 蓮</t>
    </r>
  </si>
  <si>
    <t>665</t>
  </si>
  <si>
    <r>
      <rPr>
        <u/>
        <sz val="11"/>
        <color rgb="FF1155CC"/>
        <rFont val="Arial"/>
        <scheme val="minor"/>
      </rPr>
      <t>畔柳 亨丞</t>
    </r>
  </si>
  <si>
    <t>666</t>
  </si>
  <si>
    <r>
      <rPr>
        <u/>
        <sz val="11"/>
        <color rgb="FF1155CC"/>
        <rFont val="Arial"/>
        <scheme val="minor"/>
      </rPr>
      <t>柳川 大晟</t>
    </r>
  </si>
  <si>
    <t>667</t>
  </si>
  <si>
    <r>
      <rPr>
        <u/>
        <sz val="11"/>
        <color rgb="FF1155CC"/>
        <rFont val="Arial"/>
        <scheme val="minor"/>
      </rPr>
      <t>齋藤 友貴哉</t>
    </r>
  </si>
  <si>
    <t>668</t>
  </si>
  <si>
    <r>
      <rPr>
        <u/>
        <sz val="11"/>
        <color rgb="FF1155CC"/>
        <rFont val="Arial"/>
        <scheme val="minor"/>
      </rPr>
      <t>大塚 瑠晏</t>
    </r>
  </si>
  <si>
    <t>669</t>
  </si>
  <si>
    <r>
      <rPr>
        <u/>
        <sz val="11"/>
        <color rgb="FF1155CC"/>
        <rFont val="Arial"/>
        <scheme val="minor"/>
      </rPr>
      <t>五十幡 亮汰</t>
    </r>
  </si>
  <si>
    <t>670</t>
  </si>
  <si>
    <r>
      <rPr>
        <u/>
        <sz val="11"/>
        <color rgb="FF1155CC"/>
        <rFont val="Arial"/>
        <scheme val="minor"/>
      </rPr>
      <t>半田 南十</t>
    </r>
  </si>
  <si>
    <t>530万円</t>
  </si>
  <si>
    <t>671</t>
  </si>
  <si>
    <r>
      <rPr>
        <u/>
        <sz val="11"/>
        <color rgb="FF1155CC"/>
        <rFont val="Arial"/>
        <scheme val="minor"/>
      </rPr>
      <t>池田 隆英</t>
    </r>
  </si>
  <si>
    <t>672</t>
  </si>
  <si>
    <r>
      <rPr>
        <u/>
        <sz val="11"/>
        <color rgb="FF1155CC"/>
        <rFont val="Arial"/>
        <scheme val="minor"/>
      </rPr>
      <t>水谷 瞬</t>
    </r>
  </si>
  <si>
    <t>673</t>
  </si>
  <si>
    <r>
      <rPr>
        <u/>
        <sz val="11"/>
        <color rgb="FF1155CC"/>
        <rFont val="Arial"/>
        <scheme val="minor"/>
      </rPr>
      <t>山縣 秀</t>
    </r>
  </si>
  <si>
    <t>674</t>
  </si>
  <si>
    <r>
      <rPr>
        <u/>
        <sz val="11"/>
        <color rgb="FF1155CC"/>
        <rFont val="Arial"/>
        <scheme val="minor"/>
      </rPr>
      <t>菊地 大稀</t>
    </r>
  </si>
  <si>
    <t>675</t>
  </si>
  <si>
    <r>
      <rPr>
        <u/>
        <sz val="11"/>
        <color rgb="FF1155CC"/>
        <rFont val="Arial"/>
        <scheme val="minor"/>
      </rPr>
      <t>細川 凌平</t>
    </r>
  </si>
  <si>
    <t>676</t>
  </si>
  <si>
    <r>
      <rPr>
        <u/>
        <sz val="11"/>
        <color rgb="FF1155CC"/>
        <rFont val="Arial"/>
        <scheme val="minor"/>
      </rPr>
      <t>藤森 海斗</t>
    </r>
  </si>
  <si>
    <t>677</t>
  </si>
  <si>
    <r>
      <rPr>
        <u/>
        <sz val="11"/>
        <color rgb="FF1155CC"/>
        <rFont val="Arial"/>
        <scheme val="minor"/>
      </rPr>
      <t>奈良間 大己</t>
    </r>
  </si>
  <si>
    <t>678</t>
  </si>
  <si>
    <r>
      <rPr>
        <u/>
        <sz val="11"/>
        <color rgb="FF1155CC"/>
        <rFont val="Arial"/>
        <scheme val="minor"/>
      </rPr>
      <t>吉田 賢吾</t>
    </r>
  </si>
  <si>
    <t>679</t>
  </si>
  <si>
    <r>
      <rPr>
        <u/>
        <sz val="11"/>
        <color rgb="FF1155CC"/>
        <rFont val="Arial"/>
        <scheme val="minor"/>
      </rPr>
      <t>今川 優馬</t>
    </r>
  </si>
  <si>
    <t>680</t>
  </si>
  <si>
    <r>
      <rPr>
        <u/>
        <sz val="11"/>
        <color rgb="FF1155CC"/>
        <rFont val="Arial"/>
        <scheme val="minor"/>
      </rPr>
      <t>清水 大暉</t>
    </r>
  </si>
  <si>
    <t>681</t>
  </si>
  <si>
    <r>
      <rPr>
        <u/>
        <sz val="11"/>
        <color rgb="FF1155CC"/>
        <rFont val="Arial"/>
        <scheme val="minor"/>
      </rPr>
      <t>山城 航太郎</t>
    </r>
  </si>
  <si>
    <t>682</t>
  </si>
  <si>
    <r>
      <rPr>
        <u/>
        <sz val="11"/>
        <color rgb="FF1155CC"/>
        <rFont val="Arial"/>
        <scheme val="minor"/>
      </rPr>
      <t>田宮 裕涼</t>
    </r>
  </si>
  <si>
    <t>683</t>
  </si>
  <si>
    <r>
      <rPr>
        <u/>
        <sz val="11"/>
        <color rgb="FF1155CC"/>
        <rFont val="Arial"/>
        <scheme val="minor"/>
      </rPr>
      <t>明瀬 諒介</t>
    </r>
  </si>
  <si>
    <t>684</t>
  </si>
  <si>
    <r>
      <rPr>
        <u/>
        <sz val="11"/>
        <color rgb="FF1155CC"/>
        <rFont val="Arial"/>
        <scheme val="minor"/>
      </rPr>
      <t>万波 中正</t>
    </r>
  </si>
  <si>
    <t>19,500万円</t>
  </si>
  <si>
    <t>685</t>
  </si>
  <si>
    <r>
      <rPr>
        <u/>
        <sz val="11"/>
        <color rgb="FF1155CC"/>
        <rFont val="Arial"/>
        <scheme val="minor"/>
      </rPr>
      <t>山本 拓実</t>
    </r>
  </si>
  <si>
    <t>686</t>
  </si>
  <si>
    <r>
      <rPr>
        <u/>
        <sz val="11"/>
        <color rgb="FF1155CC"/>
        <rFont val="Arial"/>
        <scheme val="minor"/>
      </rPr>
      <t>有原 航平</t>
    </r>
  </si>
  <si>
    <t>687</t>
  </si>
  <si>
    <r>
      <rPr>
        <u/>
        <sz val="11"/>
        <color rgb="FF1155CC"/>
        <rFont val="Arial"/>
        <scheme val="minor"/>
      </rPr>
      <t>松岡 洸希</t>
    </r>
  </si>
  <si>
    <t>688</t>
  </si>
  <si>
    <r>
      <rPr>
        <u/>
        <sz val="11"/>
        <color rgb="FF1155CC"/>
        <rFont val="Arial"/>
        <scheme val="minor"/>
      </rPr>
      <t>清宮 虎多朗</t>
    </r>
  </si>
  <si>
    <t>689</t>
  </si>
  <si>
    <r>
      <rPr>
        <u/>
        <sz val="11"/>
        <color rgb="FF1155CC"/>
        <rFont val="Arial"/>
        <scheme val="minor"/>
      </rPr>
      <t>常谷 拓輝</t>
    </r>
  </si>
  <si>
    <t>260万円</t>
  </si>
  <si>
    <t>690</t>
  </si>
  <si>
    <r>
      <rPr>
        <u/>
        <sz val="11"/>
        <color rgb="FF1155CC"/>
        <rFont val="Arial"/>
        <scheme val="minor"/>
      </rPr>
      <t>孫 易磊</t>
    </r>
  </si>
  <si>
    <t>691</t>
  </si>
  <si>
    <r>
      <rPr>
        <u/>
        <sz val="11"/>
        <color rgb="FF1155CC"/>
        <rFont val="Arial"/>
        <scheme val="minor"/>
      </rPr>
      <t>梅林 優貴</t>
    </r>
  </si>
  <si>
    <t>830万円</t>
  </si>
  <si>
    <t>692</t>
  </si>
  <si>
    <r>
      <rPr>
        <u/>
        <sz val="11"/>
        <color rgb="FF1155CC"/>
        <rFont val="Arial"/>
        <scheme val="minor"/>
      </rPr>
      <t>レイエス</t>
    </r>
  </si>
  <si>
    <t>139kg</t>
  </si>
  <si>
    <t>693</t>
  </si>
  <si>
    <r>
      <rPr>
        <u/>
        <sz val="11"/>
        <color rgb="FF1155CC"/>
        <rFont val="Arial"/>
        <scheme val="minor"/>
      </rPr>
      <t>濵田 泰希</t>
    </r>
  </si>
  <si>
    <t>694</t>
  </si>
  <si>
    <r>
      <rPr>
        <u/>
        <sz val="11"/>
        <color rgb="FF1155CC"/>
        <rFont val="Arial"/>
        <scheme val="minor"/>
      </rPr>
      <t>加藤 大和</t>
    </r>
  </si>
  <si>
    <t>695</t>
  </si>
  <si>
    <r>
      <rPr>
        <u/>
        <sz val="11"/>
        <color rgb="FF1155CC"/>
        <rFont val="Arial"/>
        <scheme val="minor"/>
      </rPr>
      <t>松本 遼大</t>
    </r>
  </si>
  <si>
    <t>696</t>
  </si>
  <si>
    <r>
      <rPr>
        <u/>
        <sz val="11"/>
        <color rgb="FF1155CC"/>
        <rFont val="Arial"/>
        <scheme val="minor"/>
      </rPr>
      <t>日渡 騰輝</t>
    </r>
  </si>
  <si>
    <t>697</t>
  </si>
  <si>
    <r>
      <rPr>
        <u/>
        <sz val="11"/>
        <color rgb="FF1155CC"/>
        <rFont val="Arial"/>
        <scheme val="minor"/>
      </rPr>
      <t>川勝 空人</t>
    </r>
  </si>
  <si>
    <t>698</t>
  </si>
  <si>
    <r>
      <rPr>
        <u/>
        <sz val="11"/>
        <color rgb="FF1155CC"/>
        <rFont val="Arial"/>
        <scheme val="minor"/>
      </rPr>
      <t>澁谷 純希</t>
    </r>
  </si>
  <si>
    <t>699</t>
  </si>
  <si>
    <r>
      <rPr>
        <u/>
        <sz val="11"/>
        <color rgb="FF1155CC"/>
        <rFont val="Arial"/>
        <scheme val="minor"/>
      </rPr>
      <t>横山 永遠</t>
    </r>
  </si>
  <si>
    <t>700</t>
  </si>
  <si>
    <r>
      <rPr>
        <u/>
        <sz val="11"/>
        <color rgb="FF1155CC"/>
        <rFont val="Arial"/>
        <scheme val="minor"/>
      </rPr>
      <t>藤田 大清</t>
    </r>
  </si>
  <si>
    <t>701</t>
  </si>
  <si>
    <r>
      <rPr>
        <u/>
        <sz val="11"/>
        <color rgb="FF1155CC"/>
        <rFont val="Arial"/>
        <scheme val="minor"/>
      </rPr>
      <t>山口 アタル</t>
    </r>
  </si>
  <si>
    <t>カナダ</t>
  </si>
  <si>
    <t>702</t>
  </si>
  <si>
    <r>
      <rPr>
        <u/>
        <sz val="11"/>
        <color rgb="FF1155CC"/>
        <rFont val="Arial"/>
        <scheme val="minor"/>
      </rPr>
      <t>福田 俊</t>
    </r>
  </si>
  <si>
    <t>703</t>
  </si>
  <si>
    <r>
      <rPr>
        <u/>
        <sz val="11"/>
        <color rgb="FF1155CC"/>
        <rFont val="Arial"/>
        <scheme val="minor"/>
      </rPr>
      <t>安西 叶翔</t>
    </r>
  </si>
  <si>
    <t>704</t>
  </si>
  <si>
    <r>
      <rPr>
        <u/>
        <sz val="11"/>
        <color rgb="FF1155CC"/>
        <rFont val="Arial"/>
        <scheme val="minor"/>
      </rPr>
      <t>根本 悠楓</t>
    </r>
  </si>
  <si>
    <t>705</t>
  </si>
  <si>
    <r>
      <rPr>
        <u/>
        <sz val="11"/>
        <color rgb="FF1155CC"/>
        <rFont val="Arial"/>
        <scheme val="minor"/>
      </rPr>
      <t>星野 ひので</t>
    </r>
  </si>
  <si>
    <t>706</t>
  </si>
  <si>
    <r>
      <rPr>
        <u/>
        <sz val="11"/>
        <color rgb="FF1155CC"/>
        <rFont val="Arial"/>
        <scheme val="minor"/>
      </rPr>
      <t>エスピノーザ</t>
    </r>
  </si>
  <si>
    <t>bs</t>
  </si>
  <si>
    <t>707</t>
  </si>
  <si>
    <r>
      <rPr>
        <u/>
        <sz val="11"/>
        <color rgb="FF1155CC"/>
        <rFont val="Arial"/>
        <scheme val="minor"/>
      </rPr>
      <t>渡部 遼人</t>
    </r>
  </si>
  <si>
    <t>708</t>
  </si>
  <si>
    <r>
      <rPr>
        <u/>
        <sz val="11"/>
        <color rgb="FF1155CC"/>
        <rFont val="Arial"/>
        <scheme val="minor"/>
      </rPr>
      <t>太田 椋</t>
    </r>
  </si>
  <si>
    <t>709</t>
  </si>
  <si>
    <t>001</t>
  </si>
  <si>
    <r>
      <rPr>
        <u/>
        <sz val="11"/>
        <color rgb="FF1155CC"/>
        <rFont val="Arial"/>
        <scheme val="minor"/>
      </rPr>
      <t>三方 陽登</t>
    </r>
  </si>
  <si>
    <t>240万円</t>
  </si>
  <si>
    <t>710</t>
  </si>
  <si>
    <r>
      <rPr>
        <u/>
        <sz val="11"/>
        <color rgb="FF1155CC"/>
        <rFont val="Arial"/>
        <scheme val="minor"/>
      </rPr>
      <t>マシュー</t>
    </r>
  </si>
  <si>
    <t>711</t>
  </si>
  <si>
    <r>
      <rPr>
        <u/>
        <sz val="11"/>
        <color rgb="FF1155CC"/>
        <rFont val="Arial"/>
        <scheme val="minor"/>
      </rPr>
      <t>若月 健矢</t>
    </r>
  </si>
  <si>
    <t>712</t>
  </si>
  <si>
    <t>003</t>
  </si>
  <si>
    <r>
      <rPr>
        <u/>
        <sz val="11"/>
        <color rgb="FF1155CC"/>
        <rFont val="Arial"/>
        <scheme val="minor"/>
      </rPr>
      <t>中西 創大</t>
    </r>
  </si>
  <si>
    <t>713</t>
  </si>
  <si>
    <r>
      <rPr>
        <u/>
        <sz val="11"/>
        <color rgb="FF1155CC"/>
        <rFont val="Arial"/>
        <scheme val="minor"/>
      </rPr>
      <t>森 友哉</t>
    </r>
  </si>
  <si>
    <t>714</t>
  </si>
  <si>
    <r>
      <rPr>
        <u/>
        <sz val="11"/>
        <color rgb="FF1155CC"/>
        <rFont val="Arial"/>
        <scheme val="minor"/>
      </rPr>
      <t>渡邉 一生</t>
    </r>
  </si>
  <si>
    <t>715</t>
  </si>
  <si>
    <r>
      <rPr>
        <u/>
        <sz val="11"/>
        <color rgb="FF1155CC"/>
        <rFont val="Arial"/>
        <scheme val="minor"/>
      </rPr>
      <t>西野 真弘</t>
    </r>
  </si>
  <si>
    <t>716</t>
  </si>
  <si>
    <r>
      <rPr>
        <u/>
        <sz val="11"/>
        <color rgb="FF1155CC"/>
        <rFont val="Arial"/>
        <scheme val="minor"/>
      </rPr>
      <t>宗 佑磨</t>
    </r>
  </si>
  <si>
    <t>717</t>
  </si>
  <si>
    <r>
      <rPr>
        <u/>
        <sz val="11"/>
        <color rgb="FF1155CC"/>
        <rFont val="Arial"/>
        <scheme val="minor"/>
      </rPr>
      <t>西川 龍馬</t>
    </r>
  </si>
  <si>
    <t>718</t>
  </si>
  <si>
    <r>
      <rPr>
        <u/>
        <sz val="11"/>
        <color rgb="FF1155CC"/>
        <rFont val="Arial"/>
        <scheme val="minor"/>
      </rPr>
      <t>麦谷 祐介</t>
    </r>
  </si>
  <si>
    <t>719</t>
  </si>
  <si>
    <r>
      <rPr>
        <u/>
        <sz val="11"/>
        <color rgb="FF1155CC"/>
        <rFont val="Arial"/>
        <scheme val="minor"/>
      </rPr>
      <t>野口 智哉</t>
    </r>
  </si>
  <si>
    <t>720</t>
  </si>
  <si>
    <r>
      <rPr>
        <u/>
        <sz val="11"/>
        <color rgb="FF1155CC"/>
        <rFont val="Arial"/>
        <scheme val="minor"/>
      </rPr>
      <t>大城 滉二</t>
    </r>
  </si>
  <si>
    <t>721</t>
  </si>
  <si>
    <r>
      <rPr>
        <u/>
        <sz val="11"/>
        <color rgb="FF1155CC"/>
        <rFont val="Arial"/>
        <scheme val="minor"/>
      </rPr>
      <t>山下 舜平大</t>
    </r>
  </si>
  <si>
    <t>722</t>
  </si>
  <si>
    <r>
      <rPr>
        <u/>
        <sz val="11"/>
        <color rgb="FF1155CC"/>
        <rFont val="Arial"/>
        <scheme val="minor"/>
      </rPr>
      <t>東 晃平</t>
    </r>
  </si>
  <si>
    <t>723</t>
  </si>
  <si>
    <r>
      <rPr>
        <u/>
        <sz val="11"/>
        <color rgb="FF1155CC"/>
        <rFont val="Arial"/>
        <scheme val="minor"/>
      </rPr>
      <t>寺西 成騎</t>
    </r>
  </si>
  <si>
    <t>724</t>
  </si>
  <si>
    <r>
      <rPr>
        <u/>
        <sz val="11"/>
        <color rgb="FF1155CC"/>
        <rFont val="Arial"/>
        <scheme val="minor"/>
      </rPr>
      <t>椋木 蓮</t>
    </r>
  </si>
  <si>
    <t>725</t>
  </si>
  <si>
    <r>
      <rPr>
        <u/>
        <sz val="11"/>
        <color rgb="FF1155CC"/>
        <rFont val="Arial"/>
        <scheme val="minor"/>
      </rPr>
      <t>平野 佳寿</t>
    </r>
  </si>
  <si>
    <t>42歳</t>
  </si>
  <si>
    <t>726</t>
  </si>
  <si>
    <r>
      <rPr>
        <u/>
        <sz val="11"/>
        <color rgb="FF1155CC"/>
        <rFont val="Arial"/>
        <scheme val="minor"/>
      </rPr>
      <t>曽谷 龍平</t>
    </r>
  </si>
  <si>
    <t>727</t>
  </si>
  <si>
    <r>
      <rPr>
        <u/>
        <sz val="11"/>
        <color rgb="FF1155CC"/>
        <rFont val="Arial"/>
        <scheme val="minor"/>
      </rPr>
      <t>宮城 大弥</t>
    </r>
  </si>
  <si>
    <t>22,000万円</t>
  </si>
  <si>
    <t>728</t>
  </si>
  <si>
    <r>
      <rPr>
        <u/>
        <sz val="11"/>
        <color rgb="FF1155CC"/>
        <rFont val="Arial"/>
        <scheme val="minor"/>
      </rPr>
      <t>山岡 泰輔</t>
    </r>
  </si>
  <si>
    <t>729</t>
  </si>
  <si>
    <r>
      <rPr>
        <u/>
        <sz val="11"/>
        <color rgb="FF1155CC"/>
        <rFont val="Arial"/>
        <scheme val="minor"/>
      </rPr>
      <t>阿部 翔太</t>
    </r>
  </si>
  <si>
    <t>3,700万円</t>
  </si>
  <si>
    <t>730</t>
  </si>
  <si>
    <r>
      <rPr>
        <u/>
        <sz val="11"/>
        <color rgb="FF1155CC"/>
        <rFont val="Arial"/>
        <scheme val="minor"/>
      </rPr>
      <t>山﨑 颯一郎</t>
    </r>
  </si>
  <si>
    <t>731</t>
  </si>
  <si>
    <r>
      <rPr>
        <u/>
        <sz val="11"/>
        <color rgb="FF1155CC"/>
        <rFont val="Arial"/>
        <scheme val="minor"/>
      </rPr>
      <t>九里 亜蓮</t>
    </r>
  </si>
  <si>
    <t>732</t>
  </si>
  <si>
    <r>
      <rPr>
        <u/>
        <sz val="11"/>
        <color rgb="FF1155CC"/>
        <rFont val="Arial"/>
        <scheme val="minor"/>
      </rPr>
      <t>吉田 輝星</t>
    </r>
  </si>
  <si>
    <t>733</t>
  </si>
  <si>
    <r>
      <rPr>
        <u/>
        <sz val="11"/>
        <color rgb="FF1155CC"/>
        <rFont val="Arial"/>
        <scheme val="minor"/>
      </rPr>
      <t>紅林 弘太郎</t>
    </r>
  </si>
  <si>
    <t>734</t>
  </si>
  <si>
    <r>
      <rPr>
        <u/>
        <sz val="11"/>
        <color rgb="FF1155CC"/>
        <rFont val="Arial"/>
        <scheme val="minor"/>
      </rPr>
      <t>内藤 鵬</t>
    </r>
  </si>
  <si>
    <t>735</t>
  </si>
  <si>
    <r>
      <rPr>
        <u/>
        <sz val="11"/>
        <color rgb="FF1155CC"/>
        <rFont val="Arial"/>
        <scheme val="minor"/>
      </rPr>
      <t>齋藤 響介</t>
    </r>
  </si>
  <si>
    <t>736</t>
  </si>
  <si>
    <r>
      <rPr>
        <u/>
        <sz val="11"/>
        <color rgb="FF1155CC"/>
        <rFont val="Arial"/>
        <scheme val="minor"/>
      </rPr>
      <t>富山 凌雅</t>
    </r>
  </si>
  <si>
    <t>737</t>
  </si>
  <si>
    <r>
      <rPr>
        <u/>
        <sz val="11"/>
        <color rgb="FF1155CC"/>
        <rFont val="Arial"/>
        <scheme val="minor"/>
      </rPr>
      <t>田嶋 大樹</t>
    </r>
  </si>
  <si>
    <t>738</t>
  </si>
  <si>
    <r>
      <rPr>
        <u/>
        <sz val="11"/>
        <color rgb="FF1155CC"/>
        <rFont val="Arial"/>
        <scheme val="minor"/>
      </rPr>
      <t>廣岡 大志</t>
    </r>
  </si>
  <si>
    <t>739</t>
  </si>
  <si>
    <r>
      <rPr>
        <u/>
        <sz val="11"/>
        <color rgb="FF1155CC"/>
        <rFont val="Arial"/>
        <scheme val="minor"/>
      </rPr>
      <t>藤川 敦也</t>
    </r>
  </si>
  <si>
    <t>740</t>
  </si>
  <si>
    <r>
      <rPr>
        <u/>
        <sz val="11"/>
        <color rgb="FF1155CC"/>
        <rFont val="Arial"/>
        <scheme val="minor"/>
      </rPr>
      <t>福永 奨</t>
    </r>
  </si>
  <si>
    <t>741</t>
  </si>
  <si>
    <r>
      <rPr>
        <u/>
        <sz val="11"/>
        <color rgb="FF1155CC"/>
        <rFont val="Arial"/>
        <scheme val="minor"/>
      </rPr>
      <t>杉澤 龍</t>
    </r>
  </si>
  <si>
    <t>742</t>
  </si>
  <si>
    <r>
      <rPr>
        <u/>
        <sz val="11"/>
        <color rgb="FF1155CC"/>
        <rFont val="Arial"/>
        <scheme val="minor"/>
      </rPr>
      <t>横山 聖哉</t>
    </r>
  </si>
  <si>
    <t>743</t>
  </si>
  <si>
    <r>
      <rPr>
        <u/>
        <sz val="11"/>
        <color rgb="FF1155CC"/>
        <rFont val="Arial"/>
        <scheme val="minor"/>
      </rPr>
      <t>村上 喬一朗</t>
    </r>
  </si>
  <si>
    <t>744</t>
  </si>
  <si>
    <r>
      <rPr>
        <u/>
        <sz val="11"/>
        <color rgb="FF1155CC"/>
        <rFont val="Arial"/>
        <scheme val="minor"/>
      </rPr>
      <t>古田島 成龍</t>
    </r>
  </si>
  <si>
    <t>745</t>
  </si>
  <si>
    <r>
      <rPr>
        <u/>
        <sz val="11"/>
        <color rgb="FF1155CC"/>
        <rFont val="Arial"/>
        <scheme val="minor"/>
      </rPr>
      <t>森 陽樹</t>
    </r>
  </si>
  <si>
    <t>746</t>
  </si>
  <si>
    <r>
      <rPr>
        <u/>
        <sz val="11"/>
        <color rgb="FF1155CC"/>
        <rFont val="Arial"/>
        <scheme val="minor"/>
      </rPr>
      <t>石川 亮</t>
    </r>
  </si>
  <si>
    <t>747</t>
  </si>
  <si>
    <r>
      <rPr>
        <u/>
        <sz val="11"/>
        <color rgb="FF1155CC"/>
        <rFont val="Arial"/>
        <scheme val="minor"/>
      </rPr>
      <t>来田 涼斗</t>
    </r>
  </si>
  <si>
    <t>748</t>
  </si>
  <si>
    <r>
      <rPr>
        <u/>
        <sz val="11"/>
        <color rgb="FF1155CC"/>
        <rFont val="Arial"/>
        <scheme val="minor"/>
      </rPr>
      <t>池田 陵真</t>
    </r>
  </si>
  <si>
    <t>749</t>
  </si>
  <si>
    <r>
      <rPr>
        <u/>
        <sz val="11"/>
        <color rgb="FF1155CC"/>
        <rFont val="Arial"/>
        <scheme val="minor"/>
      </rPr>
      <t>岩嵜 翔</t>
    </r>
  </si>
  <si>
    <t>750</t>
  </si>
  <si>
    <r>
      <rPr>
        <u/>
        <sz val="11"/>
        <color rgb="FF1155CC"/>
        <rFont val="Arial"/>
        <scheme val="minor"/>
      </rPr>
      <t>寿賀 弘都</t>
    </r>
  </si>
  <si>
    <t>751</t>
  </si>
  <si>
    <r>
      <rPr>
        <u/>
        <sz val="11"/>
        <color rgb="FF1155CC"/>
        <rFont val="Arial"/>
        <scheme val="minor"/>
      </rPr>
      <t>佐藤 龍月</t>
    </r>
  </si>
  <si>
    <t>752</t>
  </si>
  <si>
    <r>
      <rPr>
        <u/>
        <sz val="11"/>
        <color rgb="FF1155CC"/>
        <rFont val="Arial"/>
        <scheme val="minor"/>
      </rPr>
      <t>マチャド</t>
    </r>
  </si>
  <si>
    <t>35,000万円</t>
  </si>
  <si>
    <t>753</t>
  </si>
  <si>
    <r>
      <rPr>
        <u/>
        <sz val="11"/>
        <color rgb="FF1155CC"/>
        <rFont val="Arial"/>
        <scheme val="minor"/>
      </rPr>
      <t>髙谷 舟</t>
    </r>
  </si>
  <si>
    <t>754</t>
  </si>
  <si>
    <t>044</t>
  </si>
  <si>
    <r>
      <rPr>
        <u/>
        <sz val="11"/>
        <color rgb="FF1155CC"/>
        <rFont val="Arial"/>
        <scheme val="minor"/>
      </rPr>
      <t>芦田 丈飛</t>
    </r>
  </si>
  <si>
    <t>250万円</t>
  </si>
  <si>
    <t>755</t>
  </si>
  <si>
    <r>
      <rPr>
        <u/>
        <sz val="11"/>
        <color rgb="FF1155CC"/>
        <rFont val="Arial"/>
        <scheme val="minor"/>
      </rPr>
      <t>頓宮 裕真</t>
    </r>
  </si>
  <si>
    <t>756</t>
  </si>
  <si>
    <t>045</t>
  </si>
  <si>
    <r>
      <rPr>
        <u/>
        <sz val="11"/>
        <color rgb="FF1155CC"/>
        <rFont val="Arial"/>
        <scheme val="minor"/>
      </rPr>
      <t>河野 聡太</t>
    </r>
  </si>
  <si>
    <t>757</t>
  </si>
  <si>
    <r>
      <rPr>
        <u/>
        <sz val="11"/>
        <color rgb="FF1155CC"/>
        <rFont val="Arial"/>
        <scheme val="minor"/>
      </rPr>
      <t>シーモア</t>
    </r>
  </si>
  <si>
    <t>758</t>
  </si>
  <si>
    <r>
      <rPr>
        <u/>
        <sz val="11"/>
        <color rgb="FF1155CC"/>
        <rFont val="Arial"/>
        <scheme val="minor"/>
      </rPr>
      <t>本田 仁海</t>
    </r>
  </si>
  <si>
    <t>759</t>
  </si>
  <si>
    <r>
      <rPr>
        <u/>
        <sz val="11"/>
        <color rgb="FF1155CC"/>
        <rFont val="Arial"/>
        <scheme val="minor"/>
      </rPr>
      <t>山口 廉王</t>
    </r>
  </si>
  <si>
    <t>760</t>
  </si>
  <si>
    <r>
      <rPr>
        <u/>
        <sz val="11"/>
        <color rgb="FF1155CC"/>
        <rFont val="Arial"/>
        <scheme val="minor"/>
      </rPr>
      <t>東松 快征</t>
    </r>
  </si>
  <si>
    <t>761</t>
  </si>
  <si>
    <r>
      <rPr>
        <u/>
        <sz val="11"/>
        <color rgb="FF1155CC"/>
        <rFont val="Arial"/>
        <scheme val="minor"/>
      </rPr>
      <t>片山 楽生</t>
    </r>
  </si>
  <si>
    <t>762</t>
  </si>
  <si>
    <r>
      <rPr>
        <u/>
        <sz val="11"/>
        <color rgb="FF1155CC"/>
        <rFont val="Arial"/>
        <scheme val="minor"/>
      </rPr>
      <t>山中 稜真</t>
    </r>
  </si>
  <si>
    <t>763</t>
  </si>
  <si>
    <t>051</t>
  </si>
  <si>
    <r>
      <rPr>
        <u/>
        <sz val="11"/>
        <color rgb="FF1155CC"/>
        <rFont val="Arial"/>
        <scheme val="minor"/>
      </rPr>
      <t>今坂 幸暉</t>
    </r>
  </si>
  <si>
    <t>764</t>
  </si>
  <si>
    <r>
      <rPr>
        <u/>
        <sz val="11"/>
        <color rgb="FF1155CC"/>
        <rFont val="Arial"/>
        <scheme val="minor"/>
      </rPr>
      <t>横山 楓</t>
    </r>
  </si>
  <si>
    <t>765</t>
  </si>
  <si>
    <t>052</t>
  </si>
  <si>
    <r>
      <rPr>
        <u/>
        <sz val="11"/>
        <color rgb="FF1155CC"/>
        <rFont val="Arial"/>
        <scheme val="minor"/>
      </rPr>
      <t>清水 武蔵</t>
    </r>
  </si>
  <si>
    <t>766</t>
  </si>
  <si>
    <t>053</t>
  </si>
  <si>
    <r>
      <rPr>
        <u/>
        <sz val="11"/>
        <color rgb="FF1155CC"/>
        <rFont val="Arial"/>
        <scheme val="minor"/>
      </rPr>
      <t>上原 堆我</t>
    </r>
  </si>
  <si>
    <t>767</t>
  </si>
  <si>
    <r>
      <rPr>
        <u/>
        <sz val="11"/>
        <color rgb="FF1155CC"/>
        <rFont val="Arial"/>
        <scheme val="minor"/>
      </rPr>
      <t>宜保 翔</t>
    </r>
  </si>
  <si>
    <t>768</t>
  </si>
  <si>
    <t>054</t>
  </si>
  <si>
    <r>
      <rPr>
        <u/>
        <sz val="11"/>
        <color rgb="FF1155CC"/>
        <rFont val="Arial"/>
        <scheme val="minor"/>
      </rPr>
      <t>寺本 聖一</t>
    </r>
  </si>
  <si>
    <t>769</t>
  </si>
  <si>
    <r>
      <rPr>
        <u/>
        <sz val="11"/>
        <color rgb="FF1155CC"/>
        <rFont val="Arial"/>
        <scheme val="minor"/>
      </rPr>
      <t>東山 玲士</t>
    </r>
  </si>
  <si>
    <t>770</t>
  </si>
  <si>
    <t>055</t>
  </si>
  <si>
    <r>
      <rPr>
        <u/>
        <sz val="11"/>
        <color rgb="FF1155CC"/>
        <rFont val="Arial"/>
        <scheme val="minor"/>
      </rPr>
      <t>田島 光祐</t>
    </r>
  </si>
  <si>
    <t>771</t>
  </si>
  <si>
    <t>056</t>
  </si>
  <si>
    <r>
      <rPr>
        <u/>
        <sz val="11"/>
        <color rgb="FF1155CC"/>
        <rFont val="Arial"/>
        <scheme val="minor"/>
      </rPr>
      <t>乾 健斗</t>
    </r>
  </si>
  <si>
    <t>772</t>
  </si>
  <si>
    <r>
      <rPr>
        <u/>
        <sz val="11"/>
        <color rgb="FF1155CC"/>
        <rFont val="Arial"/>
        <scheme val="minor"/>
      </rPr>
      <t>山田 修義</t>
    </r>
  </si>
  <si>
    <t>773</t>
  </si>
  <si>
    <r>
      <rPr>
        <u/>
        <sz val="11"/>
        <color rgb="FF1155CC"/>
        <rFont val="Arial"/>
        <scheme val="minor"/>
      </rPr>
      <t>窪田 洋祐</t>
    </r>
  </si>
  <si>
    <t>774</t>
  </si>
  <si>
    <r>
      <rPr>
        <u/>
        <sz val="11"/>
        <color rgb="FF1155CC"/>
        <rFont val="Arial"/>
        <scheme val="minor"/>
      </rPr>
      <t>ペルドモ</t>
    </r>
  </si>
  <si>
    <t>775</t>
  </si>
  <si>
    <r>
      <rPr>
        <u/>
        <sz val="11"/>
        <color rgb="FF1155CC"/>
        <rFont val="Arial"/>
        <scheme val="minor"/>
      </rPr>
      <t>野上 士耀</t>
    </r>
  </si>
  <si>
    <t>776</t>
  </si>
  <si>
    <r>
      <rPr>
        <u/>
        <sz val="11"/>
        <color rgb="FF1155CC"/>
        <rFont val="Arial"/>
        <scheme val="minor"/>
      </rPr>
      <t>平沼 翔太</t>
    </r>
  </si>
  <si>
    <t>777</t>
  </si>
  <si>
    <r>
      <rPr>
        <u/>
        <sz val="11"/>
        <color rgb="FF1155CC"/>
        <rFont val="Arial"/>
        <scheme val="minor"/>
      </rPr>
      <t>堀 柊那</t>
    </r>
  </si>
  <si>
    <t>778</t>
  </si>
  <si>
    <t>宮国 凌空</t>
  </si>
  <si>
    <t>779</t>
  </si>
  <si>
    <r>
      <rPr>
        <u/>
        <sz val="11"/>
        <color rgb="FF1155CC"/>
        <rFont val="Arial"/>
        <scheme val="minor"/>
      </rPr>
      <t>博志</t>
    </r>
  </si>
  <si>
    <t>780</t>
  </si>
  <si>
    <r>
      <rPr>
        <u/>
        <sz val="11"/>
        <color rgb="FF1155CC"/>
        <rFont val="Arial"/>
        <scheme val="minor"/>
      </rPr>
      <t>中川 圭太</t>
    </r>
  </si>
  <si>
    <t>781</t>
  </si>
  <si>
    <r>
      <rPr>
        <u/>
        <sz val="11"/>
        <color rgb="FF1155CC"/>
        <rFont val="Arial"/>
        <scheme val="minor"/>
      </rPr>
      <t>入山 海斗</t>
    </r>
  </si>
  <si>
    <t>782</t>
  </si>
  <si>
    <r>
      <rPr>
        <u/>
        <sz val="11"/>
        <color rgb="FF1155CC"/>
        <rFont val="Arial"/>
        <scheme val="minor"/>
      </rPr>
      <t>ジェリー</t>
    </r>
  </si>
  <si>
    <t>213cm</t>
  </si>
  <si>
    <t>783</t>
  </si>
  <si>
    <r>
      <rPr>
        <u/>
        <sz val="11"/>
        <color rgb="FF1155CC"/>
        <rFont val="Arial"/>
        <scheme val="minor"/>
      </rPr>
      <t>陳 睦衡</t>
    </r>
  </si>
  <si>
    <t>784</t>
  </si>
  <si>
    <r>
      <rPr>
        <u/>
        <sz val="11"/>
        <color rgb="FF1155CC"/>
        <rFont val="Arial"/>
        <scheme val="minor"/>
      </rPr>
      <t>佐藤 一磨</t>
    </r>
  </si>
  <si>
    <t>785</t>
  </si>
  <si>
    <r>
      <rPr>
        <u/>
        <sz val="11"/>
        <color rgb="FF1155CC"/>
        <rFont val="Arial"/>
        <scheme val="minor"/>
      </rPr>
      <t>川瀬 堅斗</t>
    </r>
  </si>
  <si>
    <t>786</t>
  </si>
  <si>
    <r>
      <rPr>
        <u/>
        <sz val="11"/>
        <color rgb="FF1155CC"/>
        <rFont val="Arial"/>
        <scheme val="minor"/>
      </rPr>
      <t>才木 海翔</t>
    </r>
  </si>
  <si>
    <t>787</t>
  </si>
  <si>
    <r>
      <rPr>
        <u/>
        <sz val="11"/>
        <color rgb="FF1155CC"/>
        <rFont val="Arial"/>
        <scheme val="minor"/>
      </rPr>
      <t>髙島 泰都</t>
    </r>
  </si>
  <si>
    <t>788</t>
  </si>
  <si>
    <r>
      <rPr>
        <u/>
        <sz val="11"/>
        <color rgb="FF1155CC"/>
        <rFont val="Arial"/>
        <scheme val="minor"/>
      </rPr>
      <t>権田 琉成</t>
    </r>
  </si>
  <si>
    <t>789</t>
  </si>
  <si>
    <r>
      <rPr>
        <u/>
        <sz val="11"/>
        <color rgb="FF1155CC"/>
        <rFont val="Arial"/>
        <scheme val="minor"/>
      </rPr>
      <t>杉本 裕太郎</t>
    </r>
  </si>
  <si>
    <t>7,700万円</t>
  </si>
  <si>
    <t>790</t>
  </si>
  <si>
    <r>
      <rPr>
        <u/>
        <sz val="11"/>
        <color rgb="FF1155CC"/>
        <rFont val="Arial"/>
        <scheme val="minor"/>
      </rPr>
      <t>小木田 敦也</t>
    </r>
  </si>
  <si>
    <t>791</t>
  </si>
  <si>
    <r>
      <rPr>
        <u/>
        <sz val="11"/>
        <color rgb="FF1155CC"/>
        <rFont val="Arial"/>
        <scheme val="minor"/>
      </rPr>
      <t>宇田川 優希</t>
    </r>
  </si>
  <si>
    <t>792</t>
  </si>
  <si>
    <r>
      <rPr>
        <u/>
        <sz val="11"/>
        <color rgb="FF1155CC"/>
        <rFont val="Arial"/>
        <scheme val="minor"/>
      </rPr>
      <t>大里 昂生</t>
    </r>
  </si>
  <si>
    <t>793</t>
  </si>
  <si>
    <r>
      <rPr>
        <u/>
        <sz val="11"/>
        <color rgb="FF1155CC"/>
        <rFont val="Arial"/>
        <scheme val="minor"/>
      </rPr>
      <t>遠藤 成</t>
    </r>
  </si>
  <si>
    <t>794</t>
  </si>
  <si>
    <r>
      <rPr>
        <u/>
        <sz val="11"/>
        <color rgb="FF1155CC"/>
        <rFont val="Arial"/>
        <scheme val="minor"/>
      </rPr>
      <t>香月 一也</t>
    </r>
  </si>
  <si>
    <t>795</t>
  </si>
  <si>
    <r>
      <rPr>
        <u/>
        <sz val="11"/>
        <color rgb="FF1155CC"/>
        <rFont val="Arial"/>
        <scheme val="minor"/>
      </rPr>
      <t>元 謙太</t>
    </r>
  </si>
  <si>
    <t>796</t>
  </si>
  <si>
    <r>
      <rPr>
        <u/>
        <sz val="11"/>
        <color rgb="FF1155CC"/>
        <rFont val="Arial"/>
        <scheme val="minor"/>
      </rPr>
      <t>前 佑囲斗</t>
    </r>
  </si>
  <si>
    <t>797</t>
  </si>
  <si>
    <r>
      <rPr>
        <u/>
        <sz val="11"/>
        <color rgb="FF1155CC"/>
        <rFont val="Arial"/>
        <scheme val="minor"/>
      </rPr>
      <t>河内 康介</t>
    </r>
  </si>
  <si>
    <t>798</t>
  </si>
  <si>
    <r>
      <rPr>
        <u/>
        <sz val="11"/>
        <color rgb="FF1155CC"/>
        <rFont val="Arial"/>
        <scheme val="minor"/>
      </rPr>
      <t>小深田 大翔</t>
    </r>
  </si>
  <si>
    <t>e</t>
  </si>
  <si>
    <t>799</t>
  </si>
  <si>
    <r>
      <rPr>
        <u/>
        <sz val="11"/>
        <color rgb="FF1155CC"/>
        <rFont val="Arial"/>
        <scheme val="minor"/>
      </rPr>
      <t>宗山 塁</t>
    </r>
  </si>
  <si>
    <t>800</t>
  </si>
  <si>
    <r>
      <rPr>
        <u/>
        <sz val="11"/>
        <color rgb="FF1155CC"/>
        <rFont val="Arial"/>
        <scheme val="minor"/>
      </rPr>
      <t>太田 光</t>
    </r>
  </si>
  <si>
    <t>801</t>
  </si>
  <si>
    <r>
      <rPr>
        <u/>
        <sz val="11"/>
        <color rgb="FF1155CC"/>
        <rFont val="Arial"/>
        <scheme val="minor"/>
      </rPr>
      <t>浅村 栄斗</t>
    </r>
  </si>
  <si>
    <t>802</t>
  </si>
  <si>
    <r>
      <rPr>
        <u/>
        <sz val="11"/>
        <color rgb="FF1155CC"/>
        <rFont val="Arial"/>
        <scheme val="minor"/>
      </rPr>
      <t>村林 一輝</t>
    </r>
  </si>
  <si>
    <t>803</t>
  </si>
  <si>
    <r>
      <rPr>
        <u/>
        <sz val="11"/>
        <color rgb="FF1155CC"/>
        <rFont val="Arial"/>
        <scheme val="minor"/>
      </rPr>
      <t>鈴木 大地</t>
    </r>
  </si>
  <si>
    <t>12,800万円</t>
  </si>
  <si>
    <t>804</t>
  </si>
  <si>
    <r>
      <rPr>
        <u/>
        <sz val="11"/>
        <color rgb="FF1155CC"/>
        <rFont val="Arial"/>
        <scheme val="minor"/>
      </rPr>
      <t>辰己 涼介</t>
    </r>
  </si>
  <si>
    <t>805</t>
  </si>
  <si>
    <r>
      <rPr>
        <u/>
        <sz val="11"/>
        <color rgb="FF1155CC"/>
        <rFont val="Arial"/>
        <scheme val="minor"/>
      </rPr>
      <t>ボイト</t>
    </r>
  </si>
  <si>
    <t>806</t>
  </si>
  <si>
    <r>
      <rPr>
        <u/>
        <sz val="11"/>
        <color rgb="FF1155CC"/>
        <rFont val="Arial"/>
        <scheme val="minor"/>
      </rPr>
      <t>岸 孝之</t>
    </r>
  </si>
  <si>
    <t>808</t>
  </si>
  <si>
    <r>
      <rPr>
        <u/>
        <sz val="11"/>
        <color rgb="FF1155CC"/>
        <rFont val="Arial"/>
        <scheme val="minor"/>
      </rPr>
      <t>藤原 聡大</t>
    </r>
  </si>
  <si>
    <t>809</t>
  </si>
  <si>
    <r>
      <rPr>
        <u/>
        <sz val="11"/>
        <color rgb="FF1155CC"/>
        <rFont val="Arial"/>
        <scheme val="minor"/>
      </rPr>
      <t>コントレラス</t>
    </r>
  </si>
  <si>
    <t>810</t>
  </si>
  <si>
    <r>
      <rPr>
        <u/>
        <sz val="11"/>
        <color rgb="FF1155CC"/>
        <rFont val="Arial"/>
        <scheme val="minor"/>
      </rPr>
      <t>古謝 樹</t>
    </r>
  </si>
  <si>
    <t>3,950万円</t>
  </si>
  <si>
    <t>811</t>
  </si>
  <si>
    <r>
      <rPr>
        <u/>
        <sz val="11"/>
        <color rgb="FF1155CC"/>
        <rFont val="Arial"/>
        <scheme val="minor"/>
      </rPr>
      <t>前田 健太</t>
    </r>
  </si>
  <si>
    <t>812</t>
  </si>
  <si>
    <r>
      <rPr>
        <u/>
        <sz val="11"/>
        <color rgb="FF1155CC"/>
        <rFont val="Arial"/>
        <scheme val="minor"/>
      </rPr>
      <t>荘司 康誠</t>
    </r>
  </si>
  <si>
    <t>813</t>
  </si>
  <si>
    <r>
      <rPr>
        <u/>
        <sz val="11"/>
        <color rgb="FF1155CC"/>
        <rFont val="Arial"/>
        <scheme val="minor"/>
      </rPr>
      <t>伊藤 樹</t>
    </r>
  </si>
  <si>
    <t>814</t>
  </si>
  <si>
    <r>
      <rPr>
        <u/>
        <sz val="11"/>
        <color rgb="FF1155CC"/>
        <rFont val="Arial"/>
        <scheme val="minor"/>
      </rPr>
      <t>早川 隆久</t>
    </r>
  </si>
  <si>
    <t>815</t>
  </si>
  <si>
    <r>
      <rPr>
        <u/>
        <sz val="11"/>
        <color rgb="FF1155CC"/>
        <rFont val="Arial"/>
        <scheme val="minor"/>
      </rPr>
      <t>水上 桂</t>
    </r>
  </si>
  <si>
    <t>816</t>
  </si>
  <si>
    <r>
      <rPr>
        <u/>
        <sz val="11"/>
        <color rgb="FF1155CC"/>
        <rFont val="Arial"/>
        <scheme val="minor"/>
      </rPr>
      <t>ウレーニャ</t>
    </r>
  </si>
  <si>
    <t>19,000万円</t>
  </si>
  <si>
    <t>817</t>
  </si>
  <si>
    <r>
      <rPr>
        <u/>
        <sz val="11"/>
        <color rgb="FF1155CC"/>
        <rFont val="Arial"/>
        <scheme val="minor"/>
      </rPr>
      <t>マルテ</t>
    </r>
  </si>
  <si>
    <t>818</t>
  </si>
  <si>
    <r>
      <rPr>
        <u/>
        <sz val="11"/>
        <color rgb="FF1155CC"/>
        <rFont val="Arial"/>
        <scheme val="minor"/>
      </rPr>
      <t>黒川 史陽</t>
    </r>
  </si>
  <si>
    <t>819</t>
  </si>
  <si>
    <r>
      <rPr>
        <u/>
        <sz val="11"/>
        <color rgb="FF1155CC"/>
        <rFont val="Arial"/>
        <scheme val="minor"/>
      </rPr>
      <t>田中 和基</t>
    </r>
  </si>
  <si>
    <t>820</t>
  </si>
  <si>
    <r>
      <rPr>
        <u/>
        <sz val="11"/>
        <color rgb="FF1155CC"/>
        <rFont val="Arial"/>
        <scheme val="minor"/>
      </rPr>
      <t>中込 陽翔</t>
    </r>
  </si>
  <si>
    <t>821</t>
  </si>
  <si>
    <r>
      <rPr>
        <u/>
        <sz val="11"/>
        <color rgb="FF1155CC"/>
        <rFont val="Arial"/>
        <scheme val="minor"/>
      </rPr>
      <t>伊藤 光</t>
    </r>
  </si>
  <si>
    <t>822</t>
  </si>
  <si>
    <r>
      <rPr>
        <u/>
        <sz val="11"/>
        <color rgb="FF1155CC"/>
        <rFont val="Arial"/>
        <scheme val="minor"/>
      </rPr>
      <t>酒居 知史</t>
    </r>
  </si>
  <si>
    <t>823</t>
  </si>
  <si>
    <r>
      <rPr>
        <u/>
        <sz val="11"/>
        <color rgb="FF1155CC"/>
        <rFont val="Arial"/>
        <scheme val="minor"/>
      </rPr>
      <t>德山 一翔</t>
    </r>
  </si>
  <si>
    <t>824</t>
  </si>
  <si>
    <r>
      <rPr>
        <u/>
        <sz val="11"/>
        <color rgb="FF1155CC"/>
        <rFont val="Arial"/>
        <scheme val="minor"/>
      </rPr>
      <t>田中 千晴</t>
    </r>
  </si>
  <si>
    <t>825</t>
  </si>
  <si>
    <r>
      <rPr>
        <u/>
        <sz val="11"/>
        <color rgb="FF1155CC"/>
        <rFont val="Arial"/>
        <scheme val="minor"/>
      </rPr>
      <t>繁永 晟</t>
    </r>
  </si>
  <si>
    <t>826</t>
  </si>
  <si>
    <r>
      <rPr>
        <u/>
        <sz val="11"/>
        <color rgb="FF1155CC"/>
        <rFont val="Arial"/>
        <scheme val="minor"/>
      </rPr>
      <t>渡辺 翔太</t>
    </r>
  </si>
  <si>
    <t>827</t>
  </si>
  <si>
    <r>
      <rPr>
        <u/>
        <sz val="11"/>
        <color rgb="FF1155CC"/>
        <rFont val="Arial"/>
        <scheme val="minor"/>
      </rPr>
      <t>中島 大輔</t>
    </r>
  </si>
  <si>
    <t>828</t>
  </si>
  <si>
    <r>
      <rPr>
        <u/>
        <sz val="11"/>
        <color rgb="FF1155CC"/>
        <rFont val="Arial"/>
        <scheme val="minor"/>
      </rPr>
      <t>マッカスカー</t>
    </r>
  </si>
  <si>
    <t>829</t>
  </si>
  <si>
    <r>
      <rPr>
        <u/>
        <sz val="11"/>
        <color rgb="FF1155CC"/>
        <rFont val="Arial"/>
        <scheme val="minor"/>
      </rPr>
      <t>渡邊 佳明</t>
    </r>
  </si>
  <si>
    <t>830</t>
  </si>
  <si>
    <r>
      <rPr>
        <u/>
        <sz val="11"/>
        <color rgb="FF1155CC"/>
        <rFont val="Arial"/>
        <scheme val="minor"/>
      </rPr>
      <t>吉納 翼</t>
    </r>
  </si>
  <si>
    <t>831</t>
  </si>
  <si>
    <r>
      <rPr>
        <u/>
        <sz val="11"/>
        <color rgb="FF1155CC"/>
        <rFont val="Arial"/>
        <scheme val="minor"/>
      </rPr>
      <t>佐藤 直樹</t>
    </r>
  </si>
  <si>
    <t>832</t>
  </si>
  <si>
    <r>
      <rPr>
        <u/>
        <sz val="11"/>
        <color rgb="FF1155CC"/>
        <rFont val="Arial"/>
        <scheme val="minor"/>
      </rPr>
      <t>伊藤 裕季也</t>
    </r>
  </si>
  <si>
    <t>833</t>
  </si>
  <si>
    <r>
      <rPr>
        <u/>
        <sz val="11"/>
        <color rgb="FF1155CC"/>
        <rFont val="Arial"/>
        <scheme val="minor"/>
      </rPr>
      <t>江原 雅裕</t>
    </r>
  </si>
  <si>
    <t>834</t>
  </si>
  <si>
    <r>
      <rPr>
        <u/>
        <sz val="11"/>
        <color rgb="FF1155CC"/>
        <rFont val="Arial"/>
        <scheme val="minor"/>
      </rPr>
      <t>加治屋 蓮</t>
    </r>
  </si>
  <si>
    <t>835</t>
  </si>
  <si>
    <r>
      <rPr>
        <u/>
        <sz val="11"/>
        <color rgb="FF1155CC"/>
        <rFont val="Arial"/>
        <scheme val="minor"/>
      </rPr>
      <t>阪上 翔也</t>
    </r>
  </si>
  <si>
    <t>836</t>
  </si>
  <si>
    <r>
      <rPr>
        <u/>
        <sz val="11"/>
        <color rgb="FF1155CC"/>
        <rFont val="Arial"/>
        <scheme val="minor"/>
      </rPr>
      <t>宋 家豪</t>
    </r>
  </si>
  <si>
    <t>837</t>
  </si>
  <si>
    <r>
      <rPr>
        <u/>
        <sz val="11"/>
        <color rgb="FF1155CC"/>
        <rFont val="Arial"/>
        <scheme val="minor"/>
      </rPr>
      <t>田中 貴也</t>
    </r>
  </si>
  <si>
    <t>838</t>
  </si>
  <si>
    <r>
      <rPr>
        <u/>
        <sz val="11"/>
        <color rgb="FF1155CC"/>
        <rFont val="Arial"/>
        <scheme val="minor"/>
      </rPr>
      <t>九谷 瑠</t>
    </r>
  </si>
  <si>
    <t>839</t>
  </si>
  <si>
    <r>
      <rPr>
        <u/>
        <sz val="11"/>
        <color rgb="FF1155CC"/>
        <rFont val="Arial"/>
        <scheme val="minor"/>
      </rPr>
      <t>藤平 尚真</t>
    </r>
  </si>
  <si>
    <t>840</t>
  </si>
  <si>
    <r>
      <rPr>
        <u/>
        <sz val="11"/>
        <color rgb="FF1155CC"/>
        <rFont val="Arial"/>
        <scheme val="minor"/>
      </rPr>
      <t>藤井 聖</t>
    </r>
  </si>
  <si>
    <t>841</t>
  </si>
  <si>
    <r>
      <rPr>
        <u/>
        <sz val="11"/>
        <color rgb="FF1155CC"/>
        <rFont val="Arial"/>
        <scheme val="minor"/>
      </rPr>
      <t>平良 竜哉</t>
    </r>
  </si>
  <si>
    <t>842</t>
  </si>
  <si>
    <r>
      <rPr>
        <u/>
        <sz val="11"/>
        <color rgb="FF1155CC"/>
        <rFont val="Arial"/>
        <scheme val="minor"/>
      </rPr>
      <t>西垣 雅矢</t>
    </r>
  </si>
  <si>
    <t>843</t>
  </si>
  <si>
    <r>
      <rPr>
        <u/>
        <sz val="11"/>
        <color rgb="FF1155CC"/>
        <rFont val="Arial"/>
        <scheme val="minor"/>
      </rPr>
      <t>武藤 敦貴</t>
    </r>
  </si>
  <si>
    <t>844</t>
  </si>
  <si>
    <r>
      <rPr>
        <u/>
        <sz val="11"/>
        <color rgb="FF1155CC"/>
        <rFont val="Arial"/>
        <scheme val="minor"/>
      </rPr>
      <t>小郷 裕哉</t>
    </r>
  </si>
  <si>
    <t>845</t>
  </si>
  <si>
    <r>
      <rPr>
        <u/>
        <sz val="11"/>
        <color rgb="FF1155CC"/>
        <rFont val="Arial"/>
        <scheme val="minor"/>
      </rPr>
      <t>津留﨑 大成</t>
    </r>
  </si>
  <si>
    <t>846</t>
  </si>
  <si>
    <r>
      <rPr>
        <u/>
        <sz val="11"/>
        <color rgb="FF1155CC"/>
        <rFont val="Arial"/>
        <scheme val="minor"/>
      </rPr>
      <t>坂井 陽翔</t>
    </r>
  </si>
  <si>
    <t>640万円</t>
  </si>
  <si>
    <t>847</t>
  </si>
  <si>
    <r>
      <rPr>
        <u/>
        <sz val="11"/>
        <color rgb="FF1155CC"/>
        <rFont val="Arial"/>
        <scheme val="minor"/>
      </rPr>
      <t>日當 直喜</t>
    </r>
  </si>
  <si>
    <t>848</t>
  </si>
  <si>
    <r>
      <rPr>
        <u/>
        <sz val="11"/>
        <color rgb="FF1155CC"/>
        <rFont val="Arial"/>
        <scheme val="minor"/>
      </rPr>
      <t>YG安田</t>
    </r>
  </si>
  <si>
    <t>849</t>
  </si>
  <si>
    <r>
      <rPr>
        <u/>
        <sz val="11"/>
        <color rgb="FF1155CC"/>
        <rFont val="Arial"/>
        <scheme val="minor"/>
      </rPr>
      <t>鈴木 翔天</t>
    </r>
  </si>
  <si>
    <t>8,800万円</t>
  </si>
  <si>
    <t>850</t>
  </si>
  <si>
    <t>滝中 瞭太</t>
  </si>
  <si>
    <t>851</t>
  </si>
  <si>
    <r>
      <rPr>
        <u/>
        <sz val="11"/>
        <color rgb="FF1155CC"/>
        <rFont val="Arial"/>
        <scheme val="minor"/>
      </rPr>
      <t>辛島 航</t>
    </r>
  </si>
  <si>
    <t>852</t>
  </si>
  <si>
    <r>
      <rPr>
        <u/>
        <sz val="11"/>
        <color rgb="FF1155CC"/>
        <rFont val="Arial"/>
        <scheme val="minor"/>
      </rPr>
      <t>泰 勝利</t>
    </r>
  </si>
  <si>
    <t>853</t>
  </si>
  <si>
    <r>
      <rPr>
        <u/>
        <sz val="11"/>
        <color rgb="FF1155CC"/>
        <rFont val="Arial"/>
        <scheme val="minor"/>
      </rPr>
      <t>ワォーターズ</t>
    </r>
  </si>
  <si>
    <t>854</t>
  </si>
  <si>
    <r>
      <rPr>
        <u/>
        <sz val="11"/>
        <color rgb="FF1155CC"/>
        <rFont val="Arial"/>
        <scheme val="minor"/>
      </rPr>
      <t>古賀 康誠</t>
    </r>
  </si>
  <si>
    <t>430万円</t>
  </si>
  <si>
    <t>855</t>
  </si>
  <si>
    <t>061</t>
  </si>
  <si>
    <r>
      <rPr>
        <u/>
        <sz val="11"/>
        <color rgb="FF1155CC"/>
        <rFont val="Arial"/>
        <scheme val="minor"/>
      </rPr>
      <t>松田 啄磨</t>
    </r>
  </si>
  <si>
    <t>856</t>
  </si>
  <si>
    <r>
      <rPr>
        <u/>
        <sz val="11"/>
        <color rgb="FF1155CC"/>
        <rFont val="Arial"/>
        <scheme val="minor"/>
      </rPr>
      <t>西口 直人</t>
    </r>
  </si>
  <si>
    <t>857</t>
  </si>
  <si>
    <r>
      <rPr>
        <u/>
        <sz val="11"/>
        <color rgb="FF1155CC"/>
        <rFont val="Arial"/>
        <scheme val="minor"/>
      </rPr>
      <t>入江 大樹</t>
    </r>
  </si>
  <si>
    <t>858</t>
  </si>
  <si>
    <r>
      <rPr>
        <u/>
        <sz val="11"/>
        <color rgb="FF1155CC"/>
        <rFont val="Arial"/>
        <scheme val="minor"/>
      </rPr>
      <t>林 優樹</t>
    </r>
  </si>
  <si>
    <t>859</t>
  </si>
  <si>
    <r>
      <rPr>
        <u/>
        <sz val="11"/>
        <color rgb="FF1155CC"/>
        <rFont val="Arial"/>
        <scheme val="minor"/>
      </rPr>
      <t>堀内 謙伍</t>
    </r>
  </si>
  <si>
    <t>860</t>
  </si>
  <si>
    <r>
      <rPr>
        <u/>
        <sz val="11"/>
        <color rgb="FF1155CC"/>
        <rFont val="Arial"/>
        <scheme val="minor"/>
      </rPr>
      <t>今野 龍太</t>
    </r>
  </si>
  <si>
    <t>861</t>
  </si>
  <si>
    <r>
      <rPr>
        <u/>
        <sz val="11"/>
        <color rgb="FF1155CC"/>
        <rFont val="Arial"/>
        <scheme val="minor"/>
      </rPr>
      <t>大内 誠弥</t>
    </r>
  </si>
  <si>
    <t>862</t>
  </si>
  <si>
    <r>
      <rPr>
        <u/>
        <sz val="11"/>
        <color rgb="FF1155CC"/>
        <rFont val="Arial"/>
        <scheme val="minor"/>
      </rPr>
      <t>青野 拓海</t>
    </r>
  </si>
  <si>
    <t>863</t>
  </si>
  <si>
    <r>
      <rPr>
        <u/>
        <sz val="11"/>
        <color rgb="FF1155CC"/>
        <rFont val="Arial"/>
        <scheme val="minor"/>
      </rPr>
      <t>内 星龍</t>
    </r>
  </si>
  <si>
    <t>864</t>
  </si>
  <si>
    <r>
      <rPr>
        <u/>
        <sz val="11"/>
        <color rgb="FF1155CC"/>
        <rFont val="Arial"/>
        <scheme val="minor"/>
      </rPr>
      <t>石原 彪</t>
    </r>
  </si>
  <si>
    <t>865</t>
  </si>
  <si>
    <r>
      <rPr>
        <u/>
        <sz val="11"/>
        <color rgb="FF1155CC"/>
        <rFont val="Arial"/>
        <scheme val="minor"/>
      </rPr>
      <t>柴田 大地</t>
    </r>
  </si>
  <si>
    <t>866</t>
  </si>
  <si>
    <r>
      <rPr>
        <u/>
        <sz val="11"/>
        <color rgb="FF1155CC"/>
        <rFont val="Arial"/>
        <scheme val="minor"/>
      </rPr>
      <t>大栄 利哉</t>
    </r>
  </si>
  <si>
    <t>867</t>
  </si>
  <si>
    <r>
      <rPr>
        <u/>
        <sz val="11"/>
        <color rgb="FF1155CC"/>
        <rFont val="Arial"/>
        <scheme val="minor"/>
      </rPr>
      <t>小森 航大郎</t>
    </r>
  </si>
  <si>
    <t>868</t>
  </si>
  <si>
    <r>
      <rPr>
        <u/>
        <sz val="11"/>
        <color rgb="FF1155CC"/>
        <rFont val="Arial"/>
        <scheme val="minor"/>
      </rPr>
      <t>陽 柏翔</t>
    </r>
  </si>
  <si>
    <t>869</t>
  </si>
  <si>
    <r>
      <rPr>
        <u/>
        <sz val="11"/>
        <color rgb="FF1155CC"/>
        <rFont val="Arial"/>
        <scheme val="minor"/>
      </rPr>
      <t>吉野 創士</t>
    </r>
  </si>
  <si>
    <t>790万円</t>
  </si>
  <si>
    <t>870</t>
  </si>
  <si>
    <r>
      <rPr>
        <u/>
        <sz val="11"/>
        <color rgb="FF1155CC"/>
        <rFont val="Arial"/>
        <scheme val="minor"/>
      </rPr>
      <t>伊藤 大晟</t>
    </r>
  </si>
  <si>
    <t>871</t>
  </si>
  <si>
    <t>079</t>
  </si>
  <si>
    <r>
      <rPr>
        <u/>
        <sz val="11"/>
        <color rgb="FF1155CC"/>
        <rFont val="Arial"/>
        <scheme val="minor"/>
      </rPr>
      <t>前田 銀治</t>
    </r>
  </si>
  <si>
    <t>525万円</t>
  </si>
  <si>
    <t>872</t>
  </si>
  <si>
    <r>
      <rPr>
        <u/>
        <sz val="11"/>
        <color rgb="FF1155CC"/>
        <rFont val="Arial"/>
        <scheme val="minor"/>
      </rPr>
      <t>金子 京介</t>
    </r>
  </si>
  <si>
    <t>873</t>
  </si>
  <si>
    <r>
      <rPr>
        <u/>
        <sz val="11"/>
        <color rgb="FF1155CC"/>
        <rFont val="Arial"/>
        <scheme val="minor"/>
      </rPr>
      <t>島原 大河</t>
    </r>
  </si>
  <si>
    <t>874</t>
  </si>
  <si>
    <r>
      <rPr>
        <u/>
        <sz val="11"/>
        <color rgb="FF1155CC"/>
        <rFont val="Arial"/>
        <scheme val="minor"/>
      </rPr>
      <t>幌村 黛汰</t>
    </r>
  </si>
  <si>
    <t>875</t>
  </si>
  <si>
    <r>
      <rPr>
        <u/>
        <sz val="11"/>
        <color rgb="FF1155CC"/>
        <rFont val="Arial"/>
        <scheme val="minor"/>
      </rPr>
      <t>大坪 梓恩</t>
    </r>
  </si>
  <si>
    <t>110kg</t>
  </si>
  <si>
    <t>876</t>
  </si>
  <si>
    <r>
      <rPr>
        <u/>
        <sz val="11"/>
        <color rgb="FF1155CC"/>
        <rFont val="Arial"/>
        <scheme val="minor"/>
      </rPr>
      <t>岸本 佑也</t>
    </r>
  </si>
  <si>
    <t>877</t>
  </si>
  <si>
    <r>
      <rPr>
        <u/>
        <sz val="11"/>
        <color rgb="FF1155CC"/>
        <rFont val="Arial"/>
        <scheme val="minor"/>
      </rPr>
      <t>中沢 匠磨</t>
    </r>
  </si>
  <si>
    <t>878</t>
  </si>
  <si>
    <r>
      <rPr>
        <u/>
        <sz val="11"/>
        <color rgb="FF1155CC"/>
        <rFont val="Arial"/>
        <scheme val="minor"/>
      </rPr>
      <t>蕭 齊</t>
    </r>
  </si>
  <si>
    <t>879</t>
  </si>
  <si>
    <r>
      <rPr>
        <u/>
        <sz val="11"/>
        <color rgb="FF1155CC"/>
        <rFont val="Arial"/>
        <scheme val="minor"/>
      </rPr>
      <t>児玉 亮涼</t>
    </r>
  </si>
  <si>
    <t>l</t>
  </si>
  <si>
    <t>880</t>
  </si>
  <si>
    <r>
      <rPr>
        <u/>
        <sz val="11"/>
        <color rgb="FF1155CC"/>
        <rFont val="Arial"/>
        <scheme val="minor"/>
      </rPr>
      <t>仲田 慶介</t>
    </r>
  </si>
  <si>
    <t>881</t>
  </si>
  <si>
    <r>
      <rPr>
        <u/>
        <sz val="11"/>
        <color rgb="FF1155CC"/>
        <rFont val="Arial"/>
        <scheme val="minor"/>
      </rPr>
      <t>栗山 巧</t>
    </r>
  </si>
  <si>
    <t>43歳</t>
  </si>
  <si>
    <t>882</t>
  </si>
  <si>
    <r>
      <rPr>
        <u/>
        <sz val="11"/>
        <color rgb="FF1155CC"/>
        <rFont val="Arial"/>
        <scheme val="minor"/>
      </rPr>
      <t>齋藤 大翔</t>
    </r>
  </si>
  <si>
    <t>883</t>
  </si>
  <si>
    <r>
      <rPr>
        <u/>
        <sz val="11"/>
        <color rgb="FF1155CC"/>
        <rFont val="Arial"/>
        <scheme val="minor"/>
      </rPr>
      <t>石井 一成</t>
    </r>
  </si>
  <si>
    <t>884</t>
  </si>
  <si>
    <r>
      <rPr>
        <u/>
        <sz val="11"/>
        <color rgb="FF1155CC"/>
        <rFont val="Arial"/>
        <scheme val="minor"/>
      </rPr>
      <t>外崎 修汰</t>
    </r>
  </si>
  <si>
    <t>885</t>
  </si>
  <si>
    <r>
      <rPr>
        <u/>
        <sz val="11"/>
        <color rgb="FF1155CC"/>
        <rFont val="Arial"/>
        <scheme val="minor"/>
      </rPr>
      <t>源田 壮亮</t>
    </r>
  </si>
  <si>
    <t>886</t>
  </si>
  <si>
    <r>
      <rPr>
        <u/>
        <sz val="11"/>
        <color rgb="FF1155CC"/>
        <rFont val="Arial"/>
        <scheme val="minor"/>
      </rPr>
      <t>桑原 将志</t>
    </r>
  </si>
  <si>
    <t>887</t>
  </si>
  <si>
    <r>
      <rPr>
        <u/>
        <sz val="11"/>
        <color rgb="FF1155CC"/>
        <rFont val="Arial"/>
        <scheme val="minor"/>
      </rPr>
      <t>渡部 聖弥</t>
    </r>
  </si>
  <si>
    <t>888</t>
  </si>
  <si>
    <r>
      <rPr>
        <u/>
        <sz val="11"/>
        <color rgb="FF1155CC"/>
        <rFont val="Arial"/>
        <scheme val="minor"/>
      </rPr>
      <t>蛭間 拓哉</t>
    </r>
  </si>
  <si>
    <t>889</t>
  </si>
  <si>
    <r>
      <rPr>
        <u/>
        <sz val="11"/>
        <color rgb="FF1155CC"/>
        <rFont val="Arial"/>
        <scheme val="minor"/>
      </rPr>
      <t>小島 大河</t>
    </r>
  </si>
  <si>
    <t>890</t>
  </si>
  <si>
    <r>
      <rPr>
        <u/>
        <sz val="11"/>
        <color rgb="FF1155CC"/>
        <rFont val="Arial"/>
        <scheme val="minor"/>
      </rPr>
      <t>上田 大河</t>
    </r>
  </si>
  <si>
    <t>891</t>
  </si>
  <si>
    <r>
      <rPr>
        <u/>
        <sz val="11"/>
        <color rgb="FF1155CC"/>
        <rFont val="Arial"/>
        <scheme val="minor"/>
      </rPr>
      <t>渡邉 勇太朗</t>
    </r>
  </si>
  <si>
    <t>892</t>
  </si>
  <si>
    <r>
      <rPr>
        <u/>
        <sz val="11"/>
        <color rgb="FF1155CC"/>
        <rFont val="Arial"/>
        <scheme val="minor"/>
      </rPr>
      <t>髙橋 光成</t>
    </r>
  </si>
  <si>
    <t>893</t>
  </si>
  <si>
    <r>
      <rPr>
        <u/>
        <sz val="11"/>
        <color rgb="FF1155CC"/>
        <rFont val="Arial"/>
        <scheme val="minor"/>
      </rPr>
      <t>與座 海人</t>
    </r>
  </si>
  <si>
    <t>894</t>
  </si>
  <si>
    <r>
      <rPr>
        <u/>
        <sz val="11"/>
        <color rgb="FF1155CC"/>
        <rFont val="Arial"/>
        <scheme val="minor"/>
      </rPr>
      <t>隅田 知一郎</t>
    </r>
  </si>
  <si>
    <t>895</t>
  </si>
  <si>
    <r>
      <rPr>
        <u/>
        <sz val="11"/>
        <color rgb="FF1155CC"/>
        <rFont val="Arial"/>
        <scheme val="minor"/>
      </rPr>
      <t>松本 航</t>
    </r>
  </si>
  <si>
    <t>896</t>
  </si>
  <si>
    <r>
      <rPr>
        <u/>
        <sz val="11"/>
        <color rgb="FF1155CC"/>
        <rFont val="Arial"/>
        <scheme val="minor"/>
      </rPr>
      <t>佐藤 隼輔</t>
    </r>
  </si>
  <si>
    <t>897</t>
  </si>
  <si>
    <r>
      <rPr>
        <u/>
        <sz val="11"/>
        <color rgb="FF1155CC"/>
        <rFont val="Arial"/>
        <scheme val="minor"/>
      </rPr>
      <t>岩城 颯空</t>
    </r>
  </si>
  <si>
    <t>898</t>
  </si>
  <si>
    <r>
      <rPr>
        <u/>
        <sz val="11"/>
        <color rgb="FF1155CC"/>
        <rFont val="Arial"/>
        <scheme val="minor"/>
      </rPr>
      <t>武内 夏暉</t>
    </r>
  </si>
  <si>
    <t>3,850万円</t>
  </si>
  <si>
    <t>899</t>
  </si>
  <si>
    <r>
      <rPr>
        <u/>
        <sz val="11"/>
        <color rgb="FF1155CC"/>
        <rFont val="Arial"/>
        <scheme val="minor"/>
      </rPr>
      <t>古賀 悠斗</t>
    </r>
  </si>
  <si>
    <t>900</t>
  </si>
  <si>
    <r>
      <rPr>
        <u/>
        <sz val="11"/>
        <color rgb="FF1155CC"/>
        <rFont val="Arial"/>
        <scheme val="minor"/>
      </rPr>
      <t>糸川 亮太</t>
    </r>
  </si>
  <si>
    <t>901</t>
  </si>
  <si>
    <r>
      <rPr>
        <u/>
        <sz val="11"/>
        <color rgb="FF1155CC"/>
        <rFont val="Arial"/>
        <scheme val="minor"/>
      </rPr>
      <t>カナリオ</t>
    </r>
  </si>
  <si>
    <t>902</t>
  </si>
  <si>
    <r>
      <rPr>
        <u/>
        <sz val="11"/>
        <color rgb="FF1155CC"/>
        <rFont val="Arial"/>
        <scheme val="minor"/>
      </rPr>
      <t>ネビン</t>
    </r>
  </si>
  <si>
    <t>903</t>
  </si>
  <si>
    <r>
      <rPr>
        <u/>
        <sz val="11"/>
        <color rgb="FF1155CC"/>
        <rFont val="Arial"/>
        <scheme val="minor"/>
      </rPr>
      <t>炭谷 銀仁朗</t>
    </r>
  </si>
  <si>
    <t>39歳</t>
  </si>
  <si>
    <t>21年</t>
  </si>
  <si>
    <t>904</t>
  </si>
  <si>
    <r>
      <rPr>
        <u/>
        <sz val="11"/>
        <color rgb="FF1155CC"/>
        <rFont val="Arial"/>
        <scheme val="minor"/>
      </rPr>
      <t>森脇 亮介</t>
    </r>
  </si>
  <si>
    <t>905</t>
  </si>
  <si>
    <r>
      <rPr>
        <u/>
        <sz val="11"/>
        <color rgb="FF1155CC"/>
        <rFont val="Arial"/>
        <scheme val="minor"/>
      </rPr>
      <t>青山 美夏人</t>
    </r>
  </si>
  <si>
    <t>906</t>
  </si>
  <si>
    <r>
      <rPr>
        <u/>
        <sz val="11"/>
        <color rgb="FF1155CC"/>
        <rFont val="Arial"/>
        <scheme val="minor"/>
      </rPr>
      <t>ワイナンス</t>
    </r>
  </si>
  <si>
    <t>907</t>
  </si>
  <si>
    <r>
      <rPr>
        <u/>
        <sz val="11"/>
        <color rgb="FF1155CC"/>
        <rFont val="Arial"/>
        <scheme val="minor"/>
      </rPr>
      <t>茶野 篤政</t>
    </r>
  </si>
  <si>
    <t>908</t>
  </si>
  <si>
    <r>
      <rPr>
        <u/>
        <sz val="11"/>
        <color rgb="FF1155CC"/>
        <rFont val="Arial"/>
        <scheme val="minor"/>
      </rPr>
      <t>山村 崇嘉</t>
    </r>
  </si>
  <si>
    <t>909</t>
  </si>
  <si>
    <r>
      <rPr>
        <u/>
        <sz val="11"/>
        <color rgb="FF1155CC"/>
        <rFont val="Arial"/>
        <scheme val="minor"/>
      </rPr>
      <t>古川 雄大</t>
    </r>
  </si>
  <si>
    <t>910</t>
  </si>
  <si>
    <r>
      <rPr>
        <u/>
        <sz val="11"/>
        <color rgb="FF1155CC"/>
        <rFont val="Arial"/>
        <scheme val="minor"/>
      </rPr>
      <t>甲斐野 央</t>
    </r>
  </si>
  <si>
    <t>911</t>
  </si>
  <si>
    <r>
      <rPr>
        <u/>
        <sz val="11"/>
        <color rgb="FF1155CC"/>
        <rFont val="Arial"/>
        <scheme val="minor"/>
      </rPr>
      <t>秋山 俊</t>
    </r>
  </si>
  <si>
    <t>912</t>
  </si>
  <si>
    <r>
      <rPr>
        <u/>
        <sz val="11"/>
        <color rgb="FF1155CC"/>
        <rFont val="Arial"/>
        <scheme val="minor"/>
      </rPr>
      <t>山田 陽翔</t>
    </r>
  </si>
  <si>
    <t>913</t>
  </si>
  <si>
    <r>
      <rPr>
        <u/>
        <sz val="11"/>
        <color rgb="FF1155CC"/>
        <rFont val="Arial"/>
        <scheme val="minor"/>
      </rPr>
      <t>柘植 世那</t>
    </r>
  </si>
  <si>
    <t>914</t>
  </si>
  <si>
    <r>
      <rPr>
        <u/>
        <sz val="11"/>
        <color rgb="FF1155CC"/>
        <rFont val="Arial"/>
        <scheme val="minor"/>
      </rPr>
      <t>佐藤 太陽</t>
    </r>
  </si>
  <si>
    <t>915</t>
  </si>
  <si>
    <r>
      <rPr>
        <u/>
        <sz val="11"/>
        <color rgb="FF1155CC"/>
        <rFont val="Arial"/>
        <scheme val="minor"/>
      </rPr>
      <t>平沢 大河</t>
    </r>
  </si>
  <si>
    <t>916</t>
  </si>
  <si>
    <r>
      <rPr>
        <u/>
        <sz val="11"/>
        <color rgb="FF1155CC"/>
        <rFont val="Arial"/>
        <scheme val="minor"/>
      </rPr>
      <t>堀越 啓太</t>
    </r>
  </si>
  <si>
    <t>917</t>
  </si>
  <si>
    <r>
      <rPr>
        <u/>
        <sz val="11"/>
        <color rgb="FF1155CC"/>
        <rFont val="Arial"/>
        <scheme val="minor"/>
      </rPr>
      <t>成田 晴風</t>
    </r>
  </si>
  <si>
    <t>919</t>
  </si>
  <si>
    <r>
      <rPr>
        <u/>
        <sz val="11"/>
        <color rgb="FF1155CC"/>
        <rFont val="Arial"/>
        <scheme val="minor"/>
      </rPr>
      <t>羽田 慎之介</t>
    </r>
  </si>
  <si>
    <t>920</t>
  </si>
  <si>
    <r>
      <rPr>
        <u/>
        <sz val="11"/>
        <color rgb="FF1155CC"/>
        <rFont val="Arial"/>
        <scheme val="minor"/>
      </rPr>
      <t>林 冠臣</t>
    </r>
  </si>
  <si>
    <t>921</t>
  </si>
  <si>
    <r>
      <rPr>
        <u/>
        <sz val="11"/>
        <color rgb="FF1155CC"/>
        <rFont val="Arial"/>
        <scheme val="minor"/>
      </rPr>
      <t>ウィンゲンター</t>
    </r>
  </si>
  <si>
    <t>922</t>
  </si>
  <si>
    <r>
      <rPr>
        <u/>
        <sz val="11"/>
        <color rgb="FF1155CC"/>
        <rFont val="Arial"/>
        <scheme val="minor"/>
      </rPr>
      <t>狩生 聖真</t>
    </r>
  </si>
  <si>
    <t>923</t>
  </si>
  <si>
    <r>
      <rPr>
        <u/>
        <sz val="11"/>
        <color rgb="FF1155CC"/>
        <rFont val="Arial"/>
        <scheme val="minor"/>
      </rPr>
      <t>杉山 遙希</t>
    </r>
  </si>
  <si>
    <t>924</t>
  </si>
  <si>
    <r>
      <rPr>
        <u/>
        <sz val="11"/>
        <color rgb="FF1155CC"/>
        <rFont val="Arial"/>
        <scheme val="minor"/>
      </rPr>
      <t>髙松 渡</t>
    </r>
  </si>
  <si>
    <t>925</t>
  </si>
  <si>
    <r>
      <rPr>
        <u/>
        <sz val="11"/>
        <color rgb="FF1155CC"/>
        <rFont val="Arial"/>
        <scheme val="minor"/>
      </rPr>
      <t>西川 愛也</t>
    </r>
  </si>
  <si>
    <t>5,700万円</t>
  </si>
  <si>
    <t>926</t>
  </si>
  <si>
    <r>
      <rPr>
        <u/>
        <sz val="11"/>
        <color rgb="FF1155CC"/>
        <rFont val="Arial"/>
        <scheme val="minor"/>
      </rPr>
      <t>篠原 響</t>
    </r>
  </si>
  <si>
    <t>927</t>
  </si>
  <si>
    <r>
      <rPr>
        <u/>
        <sz val="11"/>
        <color rgb="FF1155CC"/>
        <rFont val="Arial"/>
        <scheme val="minor"/>
      </rPr>
      <t>牧野 翔矢</t>
    </r>
  </si>
  <si>
    <t>928</t>
  </si>
  <si>
    <r>
      <rPr>
        <u/>
        <sz val="11"/>
        <color rgb="FF1155CC"/>
        <rFont val="Arial"/>
        <scheme val="minor"/>
      </rPr>
      <t>黒木 優太</t>
    </r>
  </si>
  <si>
    <t>929</t>
  </si>
  <si>
    <r>
      <rPr>
        <u/>
        <sz val="11"/>
        <color rgb="FF1155CC"/>
        <rFont val="Arial"/>
        <scheme val="minor"/>
      </rPr>
      <t>仲三 優太</t>
    </r>
  </si>
  <si>
    <t>930</t>
  </si>
  <si>
    <t>ラミレス</t>
  </si>
  <si>
    <t>931</t>
  </si>
  <si>
    <r>
      <rPr>
        <u/>
        <sz val="11"/>
        <color rgb="FF1155CC"/>
        <rFont val="Arial"/>
        <scheme val="minor"/>
      </rPr>
      <t>黒田 将矢</t>
    </r>
  </si>
  <si>
    <t>932</t>
  </si>
  <si>
    <r>
      <rPr>
        <u/>
        <sz val="11"/>
        <color rgb="FF1155CC"/>
        <rFont val="Arial"/>
        <scheme val="minor"/>
      </rPr>
      <t>中村 祐太</t>
    </r>
  </si>
  <si>
    <t>933</t>
  </si>
  <si>
    <r>
      <rPr>
        <u/>
        <sz val="11"/>
        <color rgb="FF1155CC"/>
        <rFont val="Arial"/>
        <scheme val="minor"/>
      </rPr>
      <t>横田 蒼和</t>
    </r>
  </si>
  <si>
    <t>934</t>
  </si>
  <si>
    <r>
      <rPr>
        <u/>
        <sz val="11"/>
        <color rgb="FF1155CC"/>
        <rFont val="Arial"/>
        <scheme val="minor"/>
      </rPr>
      <t>中村 剛也</t>
    </r>
  </si>
  <si>
    <t>935</t>
  </si>
  <si>
    <r>
      <rPr>
        <u/>
        <sz val="11"/>
        <color rgb="FF1155CC"/>
        <rFont val="Arial"/>
        <scheme val="minor"/>
      </rPr>
      <t>平良 海馬</t>
    </r>
  </si>
  <si>
    <t>936</t>
  </si>
  <si>
    <r>
      <rPr>
        <u/>
        <sz val="11"/>
        <color rgb="FF1155CC"/>
        <rFont val="Arial"/>
        <scheme val="minor"/>
      </rPr>
      <t>滝澤 夏央</t>
    </r>
  </si>
  <si>
    <t>164cm</t>
  </si>
  <si>
    <t>65kg</t>
  </si>
  <si>
    <t>937</t>
  </si>
  <si>
    <r>
      <rPr>
        <u/>
        <sz val="11"/>
        <color rgb="FF1155CC"/>
        <rFont val="Arial"/>
        <scheme val="minor"/>
      </rPr>
      <t>長谷川 信哉</t>
    </r>
  </si>
  <si>
    <t>938</t>
  </si>
  <si>
    <r>
      <rPr>
        <u/>
        <sz val="11"/>
        <color rgb="FF1155CC"/>
        <rFont val="Arial"/>
        <scheme val="minor"/>
      </rPr>
      <t>龍山 暖</t>
    </r>
  </si>
  <si>
    <t>939</t>
  </si>
  <si>
    <r>
      <rPr>
        <u/>
        <sz val="11"/>
        <color rgb="FF1155CC"/>
        <rFont val="Arial"/>
        <scheme val="minor"/>
      </rPr>
      <t>是澤 涼輔</t>
    </r>
  </si>
  <si>
    <t>940</t>
  </si>
  <si>
    <r>
      <rPr>
        <u/>
        <sz val="11"/>
        <color rgb="FF1155CC"/>
        <rFont val="Arial"/>
        <scheme val="minor"/>
      </rPr>
      <t>川田 悠慎</t>
    </r>
  </si>
  <si>
    <t>941</t>
  </si>
  <si>
    <r>
      <rPr>
        <u/>
        <sz val="11"/>
        <color rgb="FF1155CC"/>
        <rFont val="Arial"/>
        <scheme val="minor"/>
      </rPr>
      <t>冨士 大和</t>
    </r>
  </si>
  <si>
    <t>280万円</t>
  </si>
  <si>
    <t>942</t>
  </si>
  <si>
    <r>
      <rPr>
        <u/>
        <sz val="11"/>
        <color rgb="FF1155CC"/>
        <rFont val="Arial"/>
        <scheme val="minor"/>
      </rPr>
      <t>岸 潤一郎</t>
    </r>
  </si>
  <si>
    <t>943</t>
  </si>
  <si>
    <r>
      <rPr>
        <u/>
        <sz val="11"/>
        <color rgb="FF1155CC"/>
        <rFont val="Arial"/>
        <scheme val="minor"/>
      </rPr>
      <t>豆田 泰志</t>
    </r>
  </si>
  <si>
    <t>944</t>
  </si>
  <si>
    <r>
      <rPr>
        <u/>
        <sz val="11"/>
        <color rgb="FF1155CC"/>
        <rFont val="Arial"/>
        <scheme val="minor"/>
      </rPr>
      <t>菅井 信也</t>
    </r>
  </si>
  <si>
    <t>945</t>
  </si>
  <si>
    <r>
      <rPr>
        <u/>
        <sz val="11"/>
        <color rgb="FF1155CC"/>
        <rFont val="Arial"/>
        <scheme val="minor"/>
      </rPr>
      <t>林 安可</t>
    </r>
  </si>
  <si>
    <t>946</t>
  </si>
  <si>
    <r>
      <rPr>
        <u/>
        <sz val="11"/>
        <color rgb="FF1155CC"/>
        <rFont val="Arial"/>
        <scheme val="minor"/>
      </rPr>
      <t>佐藤 爽</t>
    </r>
  </si>
  <si>
    <t>947</t>
  </si>
  <si>
    <r>
      <rPr>
        <u/>
        <sz val="11"/>
        <color rgb="FF1155CC"/>
        <rFont val="Arial"/>
        <scheme val="minor"/>
      </rPr>
      <t>浜屋 将太</t>
    </r>
  </si>
  <si>
    <t>948</t>
  </si>
  <si>
    <r>
      <rPr>
        <u/>
        <sz val="11"/>
        <color rgb="FF1155CC"/>
        <rFont val="Arial"/>
        <scheme val="minor"/>
      </rPr>
      <t>村田 怜音</t>
    </r>
  </si>
  <si>
    <t>949</t>
  </si>
  <si>
    <r>
      <rPr>
        <u/>
        <sz val="11"/>
        <color rgb="FF1155CC"/>
        <rFont val="Arial"/>
        <scheme val="minor"/>
      </rPr>
      <t>新井 唯斗</t>
    </r>
  </si>
  <si>
    <t>950</t>
  </si>
  <si>
    <r>
      <rPr>
        <u/>
        <sz val="11"/>
        <color rgb="FF1155CC"/>
        <rFont val="Arial"/>
        <scheme val="minor"/>
      </rPr>
      <t>今岡 拓夢</t>
    </r>
  </si>
  <si>
    <t>951</t>
  </si>
  <si>
    <r>
      <rPr>
        <u/>
        <sz val="11"/>
        <color rgb="FF1155CC"/>
        <rFont val="Arial"/>
        <scheme val="minor"/>
      </rPr>
      <t>野田 海人</t>
    </r>
  </si>
  <si>
    <t>952</t>
  </si>
  <si>
    <r>
      <rPr>
        <u/>
        <sz val="11"/>
        <color rgb="FF1155CC"/>
        <rFont val="Arial"/>
        <scheme val="minor"/>
      </rPr>
      <t>上間 永遠</t>
    </r>
  </si>
  <si>
    <t>953</t>
  </si>
  <si>
    <r>
      <rPr>
        <u/>
        <sz val="11"/>
        <color rgb="FF1155CC"/>
        <rFont val="Arial"/>
        <scheme val="minor"/>
      </rPr>
      <t>佐々木 健</t>
    </r>
  </si>
  <si>
    <t>954</t>
  </si>
  <si>
    <r>
      <rPr>
        <u/>
        <sz val="11"/>
        <color rgb="FF1155CC"/>
        <rFont val="Arial"/>
        <scheme val="minor"/>
      </rPr>
      <t>奥村 光一</t>
    </r>
  </si>
  <si>
    <t>955</t>
  </si>
  <si>
    <r>
      <rPr>
        <u/>
        <sz val="11"/>
        <color rgb="FF1155CC"/>
        <rFont val="Arial"/>
        <scheme val="minor"/>
      </rPr>
      <t>宮澤 太成</t>
    </r>
  </si>
  <si>
    <t>956</t>
  </si>
  <si>
    <r>
      <rPr>
        <u/>
        <sz val="11"/>
        <color rgb="FF1155CC"/>
        <rFont val="Arial"/>
        <scheme val="minor"/>
      </rPr>
      <t>斎藤 佳紳</t>
    </r>
  </si>
  <si>
    <t>957</t>
  </si>
  <si>
    <r>
      <rPr>
        <u/>
        <sz val="11"/>
        <color rgb="FF1155CC"/>
        <rFont val="Arial"/>
        <scheme val="minor"/>
      </rPr>
      <t>古賀 輝希</t>
    </r>
  </si>
  <si>
    <t>958</t>
  </si>
  <si>
    <r>
      <rPr>
        <u/>
        <sz val="11"/>
        <color rgb="FF1155CC"/>
        <rFont val="Arial"/>
        <scheme val="minor"/>
      </rPr>
      <t>野村 大樹</t>
    </r>
  </si>
  <si>
    <t>959</t>
  </si>
  <si>
    <r>
      <rPr>
        <u/>
        <sz val="11"/>
        <color rgb="FF1155CC"/>
        <rFont val="Arial"/>
        <scheme val="minor"/>
      </rPr>
      <t>三浦 大輝</t>
    </r>
  </si>
  <si>
    <t>960</t>
  </si>
  <si>
    <r>
      <rPr>
        <u/>
        <sz val="11"/>
        <color rgb="FF1155CC"/>
        <rFont val="Arial"/>
        <scheme val="minor"/>
      </rPr>
      <t>濱岡 蒼太</t>
    </r>
  </si>
  <si>
    <t>961</t>
  </si>
  <si>
    <r>
      <rPr>
        <u/>
        <sz val="11"/>
        <color rgb="FF1155CC"/>
        <rFont val="Arial"/>
        <scheme val="minor"/>
      </rPr>
      <t>シンクレア</t>
    </r>
  </si>
  <si>
    <t>962</t>
  </si>
  <si>
    <r>
      <rPr>
        <u/>
        <sz val="11"/>
        <color rgb="FF1155CC"/>
        <rFont val="Arial"/>
        <scheme val="minor"/>
      </rPr>
      <t>谷口 朝陽</t>
    </r>
  </si>
  <si>
    <t>963</t>
  </si>
  <si>
    <r>
      <rPr>
        <u/>
        <sz val="11"/>
        <color rgb="FF1155CC"/>
        <rFont val="Arial"/>
        <scheme val="minor"/>
      </rPr>
      <t>平口 寛人</t>
    </r>
  </si>
  <si>
    <t>964</t>
  </si>
  <si>
    <r>
      <rPr>
        <u/>
        <sz val="11"/>
        <color rgb="FF1155CC"/>
        <rFont val="Arial"/>
        <scheme val="minor"/>
      </rPr>
      <t>川下 将勲</t>
    </r>
  </si>
  <si>
    <t>965</t>
  </si>
  <si>
    <r>
      <rPr>
        <u/>
        <sz val="11"/>
        <color rgb="FF1155CC"/>
        <rFont val="Arial"/>
        <scheme val="minor"/>
      </rPr>
      <t>金子 功児</t>
    </r>
  </si>
  <si>
    <t>966</t>
  </si>
  <si>
    <r>
      <rPr>
        <u/>
        <sz val="11"/>
        <color rgb="FF1155CC"/>
        <rFont val="Arial"/>
        <scheme val="minor"/>
      </rPr>
      <t>木瀬 翔太</t>
    </r>
  </si>
  <si>
    <t>967</t>
  </si>
  <si>
    <r>
      <rPr>
        <u/>
        <sz val="11"/>
        <color rgb="FF1155CC"/>
        <rFont val="Arial"/>
        <scheme val="minor"/>
      </rPr>
      <t>ラマル</t>
    </r>
  </si>
  <si>
    <t>968</t>
  </si>
  <si>
    <r>
      <rPr>
        <u/>
        <sz val="11"/>
        <color rgb="FF1155CC"/>
        <rFont val="Arial"/>
        <scheme val="minor"/>
      </rPr>
      <t>正木 悠馬</t>
    </r>
  </si>
  <si>
    <t>969</t>
  </si>
  <si>
    <r>
      <rPr>
        <u/>
        <sz val="11"/>
        <color rgb="FF1155CC"/>
        <rFont val="Arial"/>
        <scheme val="minor"/>
      </rPr>
      <t>安藤 銀杜</t>
    </r>
  </si>
  <si>
    <t>970</t>
  </si>
  <si>
    <r>
      <rPr>
        <u/>
        <sz val="11"/>
        <color rgb="FF1155CC"/>
        <rFont val="Arial"/>
        <scheme val="minor"/>
      </rPr>
      <t>高橋 礼</t>
    </r>
  </si>
  <si>
    <t>971</t>
  </si>
  <si>
    <r>
      <rPr>
        <u/>
        <sz val="11"/>
        <color rgb="FF1155CC"/>
        <rFont val="Arial"/>
        <scheme val="minor"/>
      </rPr>
      <t>澤田 遥斗</t>
    </r>
  </si>
  <si>
    <t>972</t>
  </si>
  <si>
    <r>
      <rPr>
        <u/>
        <sz val="11"/>
        <color rgb="FF1155CC"/>
        <rFont val="Arial"/>
        <scheme val="minor"/>
      </rPr>
      <t>福尾 遥真</t>
    </r>
  </si>
  <si>
    <t>973</t>
  </si>
  <si>
    <r>
      <rPr>
        <u/>
        <sz val="11"/>
        <color rgb="FF1155CC"/>
        <rFont val="Arial"/>
        <scheme val="minor"/>
      </rPr>
      <t>オケム</t>
    </r>
  </si>
  <si>
    <t>974</t>
  </si>
  <si>
    <r>
      <rPr>
        <u/>
        <sz val="11"/>
        <color rgb="FF1155CC"/>
        <rFont val="Arial"/>
        <scheme val="minor"/>
      </rPr>
      <t>コルニエル</t>
    </r>
  </si>
  <si>
    <t>975</t>
  </si>
  <si>
    <r>
      <rPr>
        <u/>
        <sz val="11"/>
        <color rgb="FF1155CC"/>
        <rFont val="Arial"/>
        <scheme val="minor"/>
      </rPr>
      <t>ムサ</t>
    </r>
  </si>
  <si>
    <t>ウガンダ</t>
  </si>
  <si>
    <t>976</t>
  </si>
  <si>
    <r>
      <rPr>
        <u/>
        <sz val="11"/>
        <color rgb="FF1155CC"/>
        <rFont val="Arial"/>
        <scheme val="minor"/>
      </rPr>
      <t>フレッド</t>
    </r>
  </si>
  <si>
    <t>977</t>
  </si>
  <si>
    <r>
      <rPr>
        <u/>
        <sz val="11"/>
        <color rgb="FF1155CC"/>
        <rFont val="Arial"/>
        <scheme val="minor"/>
      </rPr>
      <t>カルロス</t>
    </r>
  </si>
  <si>
    <t>スロベニア</t>
  </si>
  <si>
    <t>978</t>
  </si>
  <si>
    <r>
      <rPr>
        <u/>
        <sz val="11"/>
        <color rgb="FF1155CC"/>
        <rFont val="Arial"/>
        <scheme val="minor"/>
      </rPr>
      <t>ゴンザレス</t>
    </r>
  </si>
  <si>
    <t>116kg</t>
  </si>
  <si>
    <t>979</t>
  </si>
  <si>
    <r>
      <rPr>
        <u/>
        <sz val="11"/>
        <color rgb="FF1155CC"/>
        <rFont val="Arial"/>
        <scheme val="minor"/>
      </rPr>
      <t>オリバー</t>
    </r>
  </si>
  <si>
    <t>980</t>
  </si>
  <si>
    <r>
      <rPr>
        <u/>
        <sz val="11"/>
        <color rgb="FF1155CC"/>
        <rFont val="Arial"/>
        <scheme val="minor"/>
      </rPr>
      <t>モーレ</t>
    </r>
  </si>
  <si>
    <t>インド</t>
  </si>
  <si>
    <t>981</t>
  </si>
  <si>
    <r>
      <rPr>
        <u/>
        <sz val="11"/>
        <color rgb="FF1155CC"/>
        <rFont val="Arial"/>
        <scheme val="minor"/>
      </rPr>
      <t>髙部 瑛斗</t>
    </r>
  </si>
  <si>
    <t>m</t>
  </si>
  <si>
    <t>982</t>
  </si>
  <si>
    <r>
      <rPr>
        <u/>
        <sz val="11"/>
        <color rgb="FF1155CC"/>
        <rFont val="Arial"/>
        <scheme val="minor"/>
      </rPr>
      <t>池田 来翔</t>
    </r>
  </si>
  <si>
    <t>983</t>
  </si>
  <si>
    <r>
      <rPr>
        <u/>
        <sz val="11"/>
        <color rgb="FF1155CC"/>
        <rFont val="Arial"/>
        <scheme val="minor"/>
      </rPr>
      <t>藤原 恭大</t>
    </r>
  </si>
  <si>
    <t>984</t>
  </si>
  <si>
    <r>
      <rPr>
        <u/>
        <sz val="11"/>
        <color rgb="FF1155CC"/>
        <rFont val="Arial"/>
        <scheme val="minor"/>
      </rPr>
      <t>松川 虎生</t>
    </r>
  </si>
  <si>
    <t>985</t>
  </si>
  <si>
    <r>
      <rPr>
        <u/>
        <sz val="11"/>
        <color rgb="FF1155CC"/>
        <rFont val="Arial"/>
        <scheme val="minor"/>
      </rPr>
      <t>角中 勝也</t>
    </r>
  </si>
  <si>
    <t>986</t>
  </si>
  <si>
    <r>
      <rPr>
        <u/>
        <sz val="11"/>
        <color rgb="FF1155CC"/>
        <rFont val="Arial"/>
        <scheme val="minor"/>
      </rPr>
      <t>友杉 篤輝</t>
    </r>
  </si>
  <si>
    <t>987</t>
  </si>
  <si>
    <r>
      <rPr>
        <u/>
        <sz val="11"/>
        <color rgb="FF1155CC"/>
        <rFont val="Arial"/>
        <scheme val="minor"/>
      </rPr>
      <t>安田 尚憲</t>
    </r>
  </si>
  <si>
    <t>988</t>
  </si>
  <si>
    <r>
      <rPr>
        <u/>
        <sz val="11"/>
        <color rgb="FF1155CC"/>
        <rFont val="Arial"/>
        <scheme val="minor"/>
      </rPr>
      <t>西川 史礁</t>
    </r>
  </si>
  <si>
    <t>989</t>
  </si>
  <si>
    <r>
      <rPr>
        <u/>
        <sz val="11"/>
        <color rgb="FF1155CC"/>
        <rFont val="Arial"/>
        <scheme val="minor"/>
      </rPr>
      <t>藤岡 裕大</t>
    </r>
  </si>
  <si>
    <t>990</t>
  </si>
  <si>
    <r>
      <rPr>
        <u/>
        <sz val="11"/>
        <color rgb="FF1155CC"/>
        <rFont val="Arial"/>
        <scheme val="minor"/>
      </rPr>
      <t>中村 奨吾</t>
    </r>
  </si>
  <si>
    <t>991</t>
  </si>
  <si>
    <r>
      <rPr>
        <u/>
        <sz val="11"/>
        <color rgb="FF1155CC"/>
        <rFont val="Arial"/>
        <scheme val="minor"/>
      </rPr>
      <t>上田 希由翔</t>
    </r>
  </si>
  <si>
    <t>992</t>
  </si>
  <si>
    <r>
      <rPr>
        <u/>
        <sz val="11"/>
        <color rgb="FF1155CC"/>
        <rFont val="Arial"/>
        <scheme val="minor"/>
      </rPr>
      <t>カスティーヨ</t>
    </r>
  </si>
  <si>
    <t>114kg</t>
  </si>
  <si>
    <t>993</t>
  </si>
  <si>
    <r>
      <rPr>
        <u/>
        <sz val="11"/>
        <color rgb="FF1155CC"/>
        <rFont val="Arial"/>
        <scheme val="minor"/>
      </rPr>
      <t>毛利 海大</t>
    </r>
  </si>
  <si>
    <t>994</t>
  </si>
  <si>
    <r>
      <rPr>
        <u/>
        <sz val="11"/>
        <color rgb="FF1155CC"/>
        <rFont val="Arial"/>
        <scheme val="minor"/>
      </rPr>
      <t>小島 和哉</t>
    </r>
  </si>
  <si>
    <t>14,500万円</t>
  </si>
  <si>
    <t>995</t>
  </si>
  <si>
    <r>
      <rPr>
        <u/>
        <sz val="11"/>
        <color rgb="FF1155CC"/>
        <rFont val="Arial"/>
        <scheme val="minor"/>
      </rPr>
      <t>横山 陸人</t>
    </r>
  </si>
  <si>
    <t>996</t>
  </si>
  <si>
    <r>
      <rPr>
        <u/>
        <sz val="11"/>
        <color rgb="FF1155CC"/>
        <rFont val="Arial"/>
        <scheme val="minor"/>
      </rPr>
      <t>種市 篤暉</t>
    </r>
  </si>
  <si>
    <t>997</t>
  </si>
  <si>
    <r>
      <rPr>
        <u/>
        <sz val="11"/>
        <color rgb="FF1155CC"/>
        <rFont val="Arial"/>
        <scheme val="minor"/>
      </rPr>
      <t>石垣 元気</t>
    </r>
  </si>
  <si>
    <t>998</t>
  </si>
  <si>
    <r>
      <rPr>
        <u/>
        <sz val="11"/>
        <color rgb="FF1155CC"/>
        <rFont val="Arial"/>
        <scheme val="minor"/>
      </rPr>
      <t>唐川 侑己</t>
    </r>
  </si>
  <si>
    <t>999</t>
  </si>
  <si>
    <r>
      <rPr>
        <u/>
        <sz val="11"/>
        <color rgb="FF1155CC"/>
        <rFont val="Arial"/>
        <scheme val="minor"/>
      </rPr>
      <t>石川 柊太</t>
    </r>
  </si>
  <si>
    <t>1000</t>
  </si>
  <si>
    <r>
      <rPr>
        <u/>
        <sz val="11"/>
        <color rgb="FF1155CC"/>
        <rFont val="Arial"/>
        <scheme val="minor"/>
      </rPr>
      <t>ポランコ</t>
    </r>
  </si>
  <si>
    <t>1001</t>
  </si>
  <si>
    <r>
      <rPr>
        <u/>
        <sz val="11"/>
        <color rgb="FF1155CC"/>
        <rFont val="Arial"/>
        <scheme val="minor"/>
      </rPr>
      <t>石川 慎吾</t>
    </r>
  </si>
  <si>
    <t>1002</t>
  </si>
  <si>
    <r>
      <rPr>
        <u/>
        <sz val="11"/>
        <color rgb="FF1155CC"/>
        <rFont val="Arial"/>
        <scheme val="minor"/>
      </rPr>
      <t>東妻 勇輔</t>
    </r>
  </si>
  <si>
    <t>1003</t>
  </si>
  <si>
    <r>
      <rPr>
        <u/>
        <sz val="11"/>
        <color rgb="FF1155CC"/>
        <rFont val="Arial"/>
        <scheme val="minor"/>
      </rPr>
      <t>岡 大海</t>
    </r>
  </si>
  <si>
    <t>1004</t>
  </si>
  <si>
    <r>
      <rPr>
        <u/>
        <sz val="11"/>
        <color rgb="FF1155CC"/>
        <rFont val="Arial"/>
        <scheme val="minor"/>
      </rPr>
      <t>田村 龍弘</t>
    </r>
  </si>
  <si>
    <t>1005</t>
  </si>
  <si>
    <r>
      <rPr>
        <u/>
        <sz val="11"/>
        <color rgb="FF1155CC"/>
        <rFont val="Arial"/>
        <scheme val="minor"/>
      </rPr>
      <t>菊地 吏玖</t>
    </r>
  </si>
  <si>
    <t>1006</t>
  </si>
  <si>
    <r>
      <rPr>
        <u/>
        <sz val="11"/>
        <color rgb="FF1155CC"/>
        <rFont val="Arial"/>
        <scheme val="minor"/>
      </rPr>
      <t>西野 勇士</t>
    </r>
  </si>
  <si>
    <t>1007</t>
  </si>
  <si>
    <r>
      <rPr>
        <u/>
        <sz val="11"/>
        <color rgb="FF1155CC"/>
        <rFont val="Arial"/>
        <scheme val="minor"/>
      </rPr>
      <t>廣畑 敦也</t>
    </r>
  </si>
  <si>
    <t>1008</t>
  </si>
  <si>
    <r>
      <rPr>
        <u/>
        <sz val="11"/>
        <color rgb="FF1155CC"/>
        <rFont val="Arial"/>
        <scheme val="minor"/>
      </rPr>
      <t>大谷 輝龍</t>
    </r>
  </si>
  <si>
    <t>920万円</t>
  </si>
  <si>
    <t>1009</t>
  </si>
  <si>
    <r>
      <rPr>
        <u/>
        <sz val="11"/>
        <color rgb="FF1155CC"/>
        <rFont val="Arial"/>
        <scheme val="minor"/>
      </rPr>
      <t>佐藤 都志也</t>
    </r>
  </si>
  <si>
    <t>7,200万円</t>
  </si>
  <si>
    <t>1010</t>
  </si>
  <si>
    <r>
      <rPr>
        <u/>
        <sz val="11"/>
        <color rgb="FF1155CC"/>
        <rFont val="Arial"/>
        <scheme val="minor"/>
      </rPr>
      <t>八木 彬</t>
    </r>
  </si>
  <si>
    <t>1011</t>
  </si>
  <si>
    <r>
      <rPr>
        <u/>
        <sz val="11"/>
        <color rgb="FF1155CC"/>
        <rFont val="Arial"/>
        <scheme val="minor"/>
      </rPr>
      <t>高野 脩汰</t>
    </r>
  </si>
  <si>
    <t>1012</t>
  </si>
  <si>
    <r>
      <rPr>
        <u/>
        <sz val="11"/>
        <color rgb="FF1155CC"/>
        <rFont val="Arial"/>
        <scheme val="minor"/>
      </rPr>
      <t>田中 晴也</t>
    </r>
  </si>
  <si>
    <t>1013</t>
  </si>
  <si>
    <r>
      <rPr>
        <u/>
        <sz val="11"/>
        <color rgb="FF1155CC"/>
        <rFont val="Arial"/>
        <scheme val="minor"/>
      </rPr>
      <t>坂本 光士郎</t>
    </r>
  </si>
  <si>
    <t>1014</t>
  </si>
  <si>
    <r>
      <rPr>
        <u/>
        <sz val="11"/>
        <color rgb="FF1155CC"/>
        <rFont val="Arial"/>
        <scheme val="minor"/>
      </rPr>
      <t>小野 郁</t>
    </r>
  </si>
  <si>
    <t>1015</t>
  </si>
  <si>
    <r>
      <rPr>
        <u/>
        <sz val="11"/>
        <color rgb="FF1155CC"/>
        <rFont val="Arial"/>
        <scheme val="minor"/>
      </rPr>
      <t>山﨑 剛</t>
    </r>
  </si>
  <si>
    <t>1016</t>
  </si>
  <si>
    <r>
      <rPr>
        <u/>
        <sz val="11"/>
        <color rgb="FF1155CC"/>
        <rFont val="Arial"/>
        <scheme val="minor"/>
      </rPr>
      <t>井上 広大</t>
    </r>
  </si>
  <si>
    <t>1017</t>
  </si>
  <si>
    <r>
      <rPr>
        <u/>
        <sz val="11"/>
        <color rgb="FF1155CC"/>
        <rFont val="Arial"/>
        <scheme val="minor"/>
      </rPr>
      <t>奥村 頼人</t>
    </r>
  </si>
  <si>
    <t>1018</t>
  </si>
  <si>
    <r>
      <rPr>
        <u/>
        <sz val="11"/>
        <color rgb="FF1155CC"/>
        <rFont val="Arial"/>
        <scheme val="minor"/>
      </rPr>
      <t>一條 力真</t>
    </r>
  </si>
  <si>
    <t>1019</t>
  </si>
  <si>
    <r>
      <rPr>
        <u/>
        <sz val="11"/>
        <color rgb="FF1155CC"/>
        <rFont val="Arial"/>
        <scheme val="minor"/>
      </rPr>
      <t>ジャクソン</t>
    </r>
  </si>
  <si>
    <t>1020</t>
  </si>
  <si>
    <r>
      <rPr>
        <u/>
        <sz val="11"/>
        <color rgb="FF1155CC"/>
        <rFont val="Arial"/>
        <scheme val="minor"/>
      </rPr>
      <t>石垣 勝海</t>
    </r>
  </si>
  <si>
    <t>1021</t>
  </si>
  <si>
    <r>
      <rPr>
        <u/>
        <sz val="11"/>
        <color rgb="FF1155CC"/>
        <rFont val="Arial"/>
        <scheme val="minor"/>
      </rPr>
      <t>宮崎 竜成</t>
    </r>
  </si>
  <si>
    <t>1022</t>
  </si>
  <si>
    <r>
      <rPr>
        <u/>
        <sz val="11"/>
        <color rgb="FF1155CC"/>
        <rFont val="Arial"/>
        <scheme val="minor"/>
      </rPr>
      <t>植田 将太</t>
    </r>
  </si>
  <si>
    <t>1023</t>
  </si>
  <si>
    <r>
      <rPr>
        <u/>
        <sz val="11"/>
        <color rgb="FF1155CC"/>
        <rFont val="Arial"/>
        <scheme val="minor"/>
      </rPr>
      <t>冨士 隼斗</t>
    </r>
  </si>
  <si>
    <t>1024</t>
  </si>
  <si>
    <r>
      <rPr>
        <u/>
        <sz val="11"/>
        <color rgb="FF1155CC"/>
        <rFont val="Arial"/>
        <scheme val="minor"/>
      </rPr>
      <t>鈴木 昭汰</t>
    </r>
  </si>
  <si>
    <t>5,100万円</t>
  </si>
  <si>
    <t>1025</t>
  </si>
  <si>
    <r>
      <rPr>
        <u/>
        <sz val="11"/>
        <color rgb="FF1155CC"/>
        <rFont val="Arial"/>
        <scheme val="minor"/>
      </rPr>
      <t>ルケーシー</t>
    </r>
  </si>
  <si>
    <t>1026</t>
  </si>
  <si>
    <r>
      <rPr>
        <u/>
        <sz val="11"/>
        <color rgb="FF1155CC"/>
        <rFont val="Arial"/>
        <scheme val="minor"/>
      </rPr>
      <t>立松 由宇</t>
    </r>
  </si>
  <si>
    <t>1027</t>
  </si>
  <si>
    <r>
      <rPr>
        <u/>
        <sz val="11"/>
        <color rgb="FF1155CC"/>
        <rFont val="Arial"/>
        <scheme val="minor"/>
      </rPr>
      <t>愛斗</t>
    </r>
  </si>
  <si>
    <t>1028</t>
  </si>
  <si>
    <r>
      <rPr>
        <u/>
        <sz val="11"/>
        <color rgb="FF1155CC"/>
        <rFont val="Arial"/>
        <scheme val="minor"/>
      </rPr>
      <t>山口 航輝</t>
    </r>
  </si>
  <si>
    <t>1029</t>
  </si>
  <si>
    <r>
      <rPr>
        <u/>
        <sz val="11"/>
        <color rgb="FF1155CC"/>
        <rFont val="Arial"/>
        <scheme val="minor"/>
      </rPr>
      <t>益田 直也</t>
    </r>
  </si>
  <si>
    <t>1030</t>
  </si>
  <si>
    <r>
      <rPr>
        <u/>
        <sz val="11"/>
        <color rgb="FF1155CC"/>
        <rFont val="Arial"/>
        <scheme val="minor"/>
      </rPr>
      <t>木村 優人</t>
    </r>
  </si>
  <si>
    <t>1031</t>
  </si>
  <si>
    <r>
      <rPr>
        <u/>
        <sz val="11"/>
        <color rgb="FF1155CC"/>
        <rFont val="Arial"/>
        <scheme val="minor"/>
      </rPr>
      <t>澤田 圭佑</t>
    </r>
  </si>
  <si>
    <t>1,940万円</t>
  </si>
  <si>
    <t>1032</t>
  </si>
  <si>
    <r>
      <rPr>
        <u/>
        <sz val="11"/>
        <color rgb="FF1155CC"/>
        <rFont val="Arial"/>
        <scheme val="minor"/>
      </rPr>
      <t>櫻井 ユウヤ</t>
    </r>
  </si>
  <si>
    <t>1033</t>
  </si>
  <si>
    <r>
      <rPr>
        <u/>
        <sz val="11"/>
        <color rgb="FF1155CC"/>
        <rFont val="Arial"/>
        <scheme val="minor"/>
      </rPr>
      <t>中森 俊介</t>
    </r>
  </si>
  <si>
    <t>1034</t>
  </si>
  <si>
    <r>
      <rPr>
        <u/>
        <sz val="11"/>
        <color rgb="FF1155CC"/>
        <rFont val="Arial"/>
        <scheme val="minor"/>
      </rPr>
      <t>小川 龍成</t>
    </r>
  </si>
  <si>
    <t>1035</t>
  </si>
  <si>
    <r>
      <rPr>
        <u/>
        <sz val="11"/>
        <color rgb="FF1155CC"/>
        <rFont val="Arial"/>
        <scheme val="minor"/>
      </rPr>
      <t>河村 説人</t>
    </r>
  </si>
  <si>
    <t>1036</t>
  </si>
  <si>
    <r>
      <rPr>
        <u/>
        <sz val="11"/>
        <color rgb="FF1155CC"/>
        <rFont val="Arial"/>
        <scheme val="minor"/>
      </rPr>
      <t>早坂 響</t>
    </r>
  </si>
  <si>
    <t>710万円</t>
  </si>
  <si>
    <t>1037</t>
  </si>
  <si>
    <r>
      <rPr>
        <u/>
        <sz val="11"/>
        <color rgb="FF1155CC"/>
        <rFont val="Arial"/>
        <scheme val="minor"/>
      </rPr>
      <t>大聖</t>
    </r>
  </si>
  <si>
    <t>1038</t>
  </si>
  <si>
    <r>
      <rPr>
        <u/>
        <sz val="11"/>
        <color rgb="FF1155CC"/>
        <rFont val="Arial"/>
        <scheme val="minor"/>
      </rPr>
      <t>山本 大斗</t>
    </r>
  </si>
  <si>
    <t>1039</t>
  </si>
  <si>
    <r>
      <rPr>
        <u/>
        <sz val="11"/>
        <color rgb="FF1155CC"/>
        <rFont val="Arial"/>
        <scheme val="minor"/>
      </rPr>
      <t>坂井 遼</t>
    </r>
  </si>
  <si>
    <t>1040</t>
  </si>
  <si>
    <r>
      <rPr>
        <u/>
        <sz val="11"/>
        <color rgb="FF1155CC"/>
        <rFont val="Arial"/>
        <scheme val="minor"/>
      </rPr>
      <t>和田 康士朗</t>
    </r>
  </si>
  <si>
    <t>1041</t>
  </si>
  <si>
    <r>
      <rPr>
        <u/>
        <sz val="11"/>
        <color rgb="FF1155CC"/>
        <rFont val="Arial"/>
        <scheme val="minor"/>
      </rPr>
      <t>廣池 康志郎</t>
    </r>
  </si>
  <si>
    <t>1042</t>
  </si>
  <si>
    <r>
      <rPr>
        <u/>
        <sz val="11"/>
        <color rgb="FF1155CC"/>
        <rFont val="Arial"/>
        <scheme val="minor"/>
      </rPr>
      <t>寺地 隆成</t>
    </r>
  </si>
  <si>
    <t>1043</t>
  </si>
  <si>
    <r>
      <rPr>
        <u/>
        <sz val="11"/>
        <color rgb="FF1155CC"/>
        <rFont val="Arial"/>
        <scheme val="minor"/>
      </rPr>
      <t>宮﨑 颯</t>
    </r>
  </si>
  <si>
    <t>1044</t>
  </si>
  <si>
    <r>
      <rPr>
        <u/>
        <sz val="11"/>
        <color rgb="FF1155CC"/>
        <rFont val="Arial"/>
        <scheme val="minor"/>
      </rPr>
      <t>茶谷 健太</t>
    </r>
  </si>
  <si>
    <t>1045</t>
  </si>
  <si>
    <r>
      <rPr>
        <u/>
        <sz val="11"/>
        <color rgb="FF1155CC"/>
        <rFont val="Arial"/>
        <scheme val="minor"/>
      </rPr>
      <t>岡村 了樹</t>
    </r>
  </si>
  <si>
    <t>1046</t>
  </si>
  <si>
    <r>
      <rPr>
        <u/>
        <sz val="11"/>
        <color rgb="FF1155CC"/>
        <rFont val="Arial"/>
        <scheme val="minor"/>
      </rPr>
      <t>ロング</t>
    </r>
  </si>
  <si>
    <t>1047</t>
  </si>
  <si>
    <r>
      <rPr>
        <u/>
        <sz val="11"/>
        <color rgb="FF1155CC"/>
        <rFont val="Arial"/>
        <scheme val="minor"/>
      </rPr>
      <t>吉川 悠斗</t>
    </r>
  </si>
  <si>
    <t>1048</t>
  </si>
  <si>
    <r>
      <rPr>
        <u/>
        <sz val="11"/>
        <color rgb="FF1155CC"/>
        <rFont val="Arial"/>
        <scheme val="minor"/>
      </rPr>
      <t>森 遼大朗</t>
    </r>
  </si>
  <si>
    <t>1049</t>
  </si>
  <si>
    <r>
      <rPr>
        <u/>
        <sz val="11"/>
        <color rgb="FF1155CC"/>
        <rFont val="Arial"/>
        <scheme val="minor"/>
      </rPr>
      <t>髙橋 快秀</t>
    </r>
  </si>
  <si>
    <t>1050</t>
  </si>
  <si>
    <r>
      <rPr>
        <u/>
        <sz val="11"/>
        <color rgb="FF1155CC"/>
        <rFont val="Arial"/>
        <scheme val="minor"/>
      </rPr>
      <t>ソト</t>
    </r>
  </si>
  <si>
    <t>プエルトリコ</t>
  </si>
  <si>
    <t>1051</t>
  </si>
  <si>
    <r>
      <rPr>
        <u/>
        <sz val="11"/>
        <color rgb="FF1155CC"/>
        <rFont val="Arial"/>
        <scheme val="minor"/>
      </rPr>
      <t>金田 優太</t>
    </r>
  </si>
  <si>
    <t>1052</t>
  </si>
  <si>
    <r>
      <rPr>
        <u/>
        <sz val="11"/>
        <color rgb="FF1155CC"/>
        <rFont val="Arial"/>
        <scheme val="minor"/>
      </rPr>
      <t>本前 郁也</t>
    </r>
  </si>
  <si>
    <t>1053</t>
  </si>
  <si>
    <r>
      <rPr>
        <u/>
        <sz val="11"/>
        <color rgb="FF1155CC"/>
        <rFont val="Arial"/>
        <scheme val="minor"/>
      </rPr>
      <t>秋山 正雲</t>
    </r>
  </si>
  <si>
    <t>1054</t>
  </si>
  <si>
    <r>
      <rPr>
        <u/>
        <sz val="11"/>
        <color rgb="FF1155CC"/>
        <rFont val="Arial"/>
        <scheme val="minor"/>
      </rPr>
      <t>中村 亮太</t>
    </r>
  </si>
  <si>
    <t>1055</t>
  </si>
  <si>
    <r>
      <rPr>
        <u/>
        <sz val="11"/>
        <color rgb="FF1155CC"/>
        <rFont val="Arial"/>
        <scheme val="minor"/>
      </rPr>
      <t>永島田 輝斗</t>
    </r>
  </si>
  <si>
    <t>1056</t>
  </si>
  <si>
    <r>
      <rPr>
        <u/>
        <sz val="11"/>
        <color rgb="FF1155CC"/>
        <rFont val="Arial"/>
        <scheme val="minor"/>
      </rPr>
      <t>中山 優人</t>
    </r>
  </si>
  <si>
    <t>1057</t>
  </si>
  <si>
    <r>
      <rPr>
        <u/>
        <sz val="11"/>
        <color rgb="FF1155CC"/>
        <rFont val="Arial"/>
        <scheme val="minor"/>
      </rPr>
      <t>杉山 諒</t>
    </r>
  </si>
  <si>
    <t>1058</t>
  </si>
  <si>
    <r>
      <rPr>
        <u/>
        <sz val="11"/>
        <color rgb="FF1155CC"/>
        <rFont val="Arial"/>
        <scheme val="minor"/>
      </rPr>
      <t>勝又 琉偉</t>
    </r>
  </si>
  <si>
    <t>1059</t>
  </si>
  <si>
    <r>
      <rPr>
        <u/>
        <sz val="11"/>
        <color rgb="FF1155CC"/>
        <rFont val="Arial"/>
        <scheme val="minor"/>
      </rPr>
      <t>谷村 剛</t>
    </r>
  </si>
  <si>
    <t>270万円</t>
  </si>
  <si>
    <t>1060</t>
  </si>
  <si>
    <r>
      <rPr>
        <u/>
        <sz val="11"/>
        <color rgb="FF1155CC"/>
        <rFont val="Arial"/>
        <scheme val="minor"/>
      </rPr>
      <t>茨木 佑太</t>
    </r>
  </si>
  <si>
    <t>1061</t>
  </si>
  <si>
    <r>
      <rPr>
        <u/>
        <sz val="11"/>
        <color rgb="FF1155CC"/>
        <rFont val="Arial"/>
        <scheme val="minor"/>
      </rPr>
      <t>長島 幸佑</t>
    </r>
  </si>
  <si>
    <t>310万円</t>
  </si>
  <si>
    <t>1062</t>
  </si>
  <si>
    <r>
      <rPr>
        <u/>
        <sz val="11"/>
        <color rgb="FF1155CC"/>
        <rFont val="Arial"/>
        <scheme val="minor"/>
      </rPr>
      <t>武内 涼太</t>
    </r>
  </si>
  <si>
    <t>1063</t>
  </si>
  <si>
    <r>
      <rPr>
        <u/>
        <sz val="11"/>
        <color rgb="FF1155CC"/>
        <rFont val="Arial"/>
        <scheme val="minor"/>
      </rPr>
      <t>松石 信八</t>
    </r>
  </si>
  <si>
    <t>1064</t>
  </si>
  <si>
    <r>
      <rPr>
        <u/>
        <sz val="11"/>
        <color rgb="FF1155CC"/>
        <rFont val="Arial"/>
        <scheme val="minor"/>
      </rPr>
      <t>髙野 光海</t>
    </r>
  </si>
  <si>
    <t>1065</t>
  </si>
  <si>
    <r>
      <rPr>
        <u/>
        <sz val="11"/>
        <color rgb="FF1155CC"/>
        <rFont val="Arial"/>
        <scheme val="minor"/>
      </rPr>
      <t>藤田 和樹</t>
    </r>
  </si>
  <si>
    <t>1066</t>
  </si>
  <si>
    <r>
      <rPr>
        <u/>
        <sz val="11"/>
        <color rgb="FF1155CC"/>
        <rFont val="Arial"/>
        <scheme val="minor"/>
      </rPr>
      <t>富山 紘之進</t>
    </r>
  </si>
  <si>
    <t>1067</t>
  </si>
  <si>
    <r>
      <rPr>
        <u/>
        <sz val="11"/>
        <color rgb="FF1155CC"/>
        <rFont val="Arial"/>
        <scheme val="minor"/>
      </rPr>
      <t>ラドニー</t>
    </r>
  </si>
  <si>
    <t>1068</t>
  </si>
  <si>
    <r>
      <rPr>
        <u/>
        <sz val="11"/>
        <color rgb="FF1155CC"/>
        <rFont val="Arial"/>
        <scheme val="minor"/>
      </rPr>
      <t>アセベド</t>
    </r>
  </si>
  <si>
    <t>防御率</t>
  </si>
  <si>
    <t>試合</t>
  </si>
  <si>
    <t>勝利</t>
  </si>
  <si>
    <t>敗北</t>
  </si>
  <si>
    <t>セーブ</t>
  </si>
  <si>
    <t>ホールド</t>
  </si>
  <si>
    <t>HP</t>
  </si>
  <si>
    <t>完投</t>
  </si>
  <si>
    <t>完封勝</t>
  </si>
  <si>
    <t>無四球</t>
  </si>
  <si>
    <t>勝率</t>
  </si>
  <si>
    <t>打者</t>
  </si>
  <si>
    <t>投球回</t>
  </si>
  <si>
    <t>被安打</t>
  </si>
  <si>
    <t>被本塁打</t>
  </si>
  <si>
    <t>与四球</t>
  </si>
  <si>
    <t>敬遠</t>
  </si>
  <si>
    <t>与死球</t>
  </si>
  <si>
    <t>奪三振</t>
  </si>
  <si>
    <t>奪三振率</t>
  </si>
  <si>
    <t>K/BB</t>
  </si>
  <si>
    <t>K-BB%</t>
  </si>
  <si>
    <t>暴投</t>
  </si>
  <si>
    <t>ボーク</t>
  </si>
  <si>
    <t>失点</t>
  </si>
  <si>
    <t>自責点</t>
  </si>
  <si>
    <t>WHIP</t>
  </si>
  <si>
    <t>FIP</t>
  </si>
  <si>
    <t>被BABIP</t>
  </si>
  <si>
    <t>阪神</t>
  </si>
  <si>
    <t>日本ハム</t>
  </si>
  <si>
    <t>西武</t>
  </si>
  <si>
    <t>オリックス</t>
  </si>
  <si>
    <t>ヤクルト</t>
  </si>
  <si>
    <t>DeNA</t>
  </si>
  <si>
    <t>中日</t>
  </si>
  <si>
    <t>楽天</t>
  </si>
  <si>
    <t>ロッテ</t>
  </si>
  <si>
    <t>巨人</t>
  </si>
  <si>
    <t>ソフトバンク</t>
  </si>
  <si>
    <t>No.</t>
  </si>
  <si>
    <t>打率</t>
  </si>
  <si>
    <t>打席数</t>
  </si>
  <si>
    <t>打数</t>
  </si>
  <si>
    <t>得点</t>
  </si>
  <si>
    <t>安打</t>
  </si>
  <si>
    <t>二塁打</t>
  </si>
  <si>
    <t>三塁打</t>
  </si>
  <si>
    <t>本塁打</t>
  </si>
  <si>
    <t>塁打</t>
  </si>
  <si>
    <t>打点</t>
  </si>
  <si>
    <t>盗塁</t>
  </si>
  <si>
    <t>盗塁刺</t>
  </si>
  <si>
    <t>犠打</t>
  </si>
  <si>
    <t>犠飛</t>
  </si>
  <si>
    <t>四球</t>
  </si>
  <si>
    <t>死球</t>
  </si>
  <si>
    <t>三振</t>
  </si>
  <si>
    <t>併殺打</t>
  </si>
  <si>
    <t>出塁率</t>
  </si>
  <si>
    <t>長打率</t>
  </si>
  <si>
    <t>OPS</t>
  </si>
  <si>
    <t>wOBA</t>
  </si>
  <si>
    <t>ｗRC</t>
  </si>
  <si>
    <t>wRC+</t>
  </si>
  <si>
    <t>球団</t>
  </si>
  <si>
    <t>試合数</t>
  </si>
  <si>
    <t>登板数</t>
  </si>
  <si>
    <t>村上　頌樹</t>
  </si>
  <si>
    <t>伊藤　大海</t>
  </si>
  <si>
    <t>隅田　知一郎</t>
  </si>
  <si>
    <t>九里　亜蓮</t>
  </si>
  <si>
    <t>山野　太一</t>
  </si>
  <si>
    <t>東　克樹</t>
  </si>
  <si>
    <t>金丸　夢斗</t>
  </si>
  <si>
    <t>荘司　康誠</t>
  </si>
  <si>
    <t>髙橋　遥人</t>
  </si>
  <si>
    <t>奥川　恭伸</t>
  </si>
  <si>
    <t>才木　浩人</t>
  </si>
  <si>
    <t>早川　隆久</t>
  </si>
  <si>
    <t>ジャクソン</t>
  </si>
  <si>
    <t>柳　裕也</t>
  </si>
  <si>
    <t>エスピノーザ</t>
  </si>
  <si>
    <t>北山　亘基</t>
  </si>
  <si>
    <t>井上　温大</t>
  </si>
  <si>
    <t>平良　海馬</t>
  </si>
  <si>
    <t>大津　亮介</t>
  </si>
  <si>
    <t>床田　寛樹</t>
  </si>
  <si>
    <t>武内　夏暉</t>
  </si>
  <si>
    <t>大野　雄大</t>
  </si>
  <si>
    <t>髙橋　光成</t>
  </si>
  <si>
    <t>森下　暢仁</t>
  </si>
  <si>
    <t>上沢　直之</t>
  </si>
  <si>
    <t>渡邉　勇太朗</t>
  </si>
  <si>
    <t>竹丸　和幸</t>
  </si>
  <si>
    <t>松本　晴</t>
  </si>
  <si>
    <t>達　孝太</t>
  </si>
  <si>
    <t>髙橋　宏斗</t>
  </si>
  <si>
    <t>栗林　良吏</t>
  </si>
  <si>
    <t>石田　裕太郎</t>
  </si>
  <si>
    <t>マラー</t>
  </si>
  <si>
    <t>古謝　樹</t>
  </si>
  <si>
    <t>小島　和哉</t>
  </si>
  <si>
    <t>加藤　貴之</t>
  </si>
  <si>
    <t>吉村　貢司郎</t>
  </si>
  <si>
    <t>ジェリー</t>
  </si>
  <si>
    <t>前田　悠伍</t>
  </si>
  <si>
    <t>瀧中　瞭太</t>
  </si>
  <si>
    <t>平良　拳太郎</t>
  </si>
  <si>
    <t>松本　健吾</t>
  </si>
  <si>
    <t>有原　航平</t>
  </si>
  <si>
    <t>岡本　駿</t>
  </si>
  <si>
    <t>大竹　耕太郎</t>
  </si>
  <si>
    <t>髙島　泰都</t>
  </si>
  <si>
    <t>田中　晴也</t>
  </si>
  <si>
    <t>森　翔平</t>
  </si>
  <si>
    <t>高橋　奎二</t>
  </si>
  <si>
    <t>上茶谷　大河</t>
  </si>
  <si>
    <t>尾形　崇斗</t>
  </si>
  <si>
    <t>高梨　裕稔</t>
  </si>
  <si>
    <t>前田　健太</t>
  </si>
  <si>
    <t>廣池　康志郎</t>
  </si>
  <si>
    <t>ウィットリー</t>
  </si>
  <si>
    <t>福島　蓮</t>
  </si>
  <si>
    <t>毛利　海大</t>
  </si>
  <si>
    <t>戸郷　翔征</t>
  </si>
  <si>
    <t>玉村　昇悟</t>
  </si>
  <si>
    <t>曽谷　龍平</t>
  </si>
  <si>
    <t>細野　晴希</t>
  </si>
  <si>
    <t>篠木　健太郎</t>
  </si>
  <si>
    <t>ロング</t>
  </si>
  <si>
    <t>鈴木　健矢</t>
  </si>
  <si>
    <t>田中　将大</t>
  </si>
  <si>
    <t>小笠原　慎之介</t>
  </si>
  <si>
    <t>高野　脩汰</t>
  </si>
  <si>
    <t>岸　孝之</t>
  </si>
  <si>
    <t>涌井　秀章</t>
  </si>
  <si>
    <t>スチュワート・ジュニア</t>
  </si>
  <si>
    <t>田嶋　大樹</t>
  </si>
  <si>
    <t>レイノルズ</t>
  </si>
  <si>
    <t>則本　昂大</t>
  </si>
  <si>
    <t>森浦　大輔</t>
  </si>
  <si>
    <t>山﨑　福也</t>
  </si>
  <si>
    <t>ウレーニャ</t>
  </si>
  <si>
    <t>工藤　泰成</t>
  </si>
  <si>
    <t>八木　彬</t>
  </si>
  <si>
    <t>遠藤　淳志</t>
  </si>
  <si>
    <t>伊藤　将司</t>
  </si>
  <si>
    <t>櫻井　頼之介</t>
  </si>
  <si>
    <t>大関　友久</t>
  </si>
  <si>
    <t>西舘　勇陽</t>
  </si>
  <si>
    <t>松本　裕樹</t>
  </si>
  <si>
    <t>ターノック</t>
  </si>
  <si>
    <t>深沢　鳳介</t>
  </si>
  <si>
    <t>横山　陸人</t>
  </si>
  <si>
    <t>寺西　成騎</t>
  </si>
  <si>
    <t>甲斐野　央</t>
  </si>
  <si>
    <t>田中　瑛斗</t>
  </si>
  <si>
    <t>杉山　一樹</t>
  </si>
  <si>
    <t>山﨑　颯一郎</t>
  </si>
  <si>
    <t>赤星　優志</t>
  </si>
  <si>
    <t>菅井　信也</t>
  </si>
  <si>
    <t>鈴木　昭汰</t>
  </si>
  <si>
    <t>マチャド</t>
  </si>
  <si>
    <t>柳川　大晟</t>
  </si>
  <si>
    <t>髙　太一</t>
  </si>
  <si>
    <t>木下　里都</t>
  </si>
  <si>
    <t>ドリス</t>
  </si>
  <si>
    <t>河村　説人</t>
  </si>
  <si>
    <t>吉田　聖弥</t>
  </si>
  <si>
    <t>津森　宥紀</t>
  </si>
  <si>
    <t>佐藤　爽</t>
  </si>
  <si>
    <t>伊勢　大夢</t>
  </si>
  <si>
    <t>中川　虎大</t>
  </si>
  <si>
    <t>モイネロ</t>
  </si>
  <si>
    <t>星　知弥</t>
  </si>
  <si>
    <t>椋木　蓮</t>
  </si>
  <si>
    <t>鈴木　豪太</t>
  </si>
  <si>
    <t>藤平　尚真</t>
  </si>
  <si>
    <t>ウォルターズ</t>
  </si>
  <si>
    <t>岩崎　優</t>
  </si>
  <si>
    <t>篠原　響</t>
  </si>
  <si>
    <t>藤井　聖</t>
  </si>
  <si>
    <t>小野　郁</t>
  </si>
  <si>
    <t>片山　皓心</t>
  </si>
  <si>
    <t>丸山　翔大</t>
  </si>
  <si>
    <t>清水　昇</t>
  </si>
  <si>
    <t>加治屋　蓮</t>
  </si>
  <si>
    <t>ワイナンス</t>
  </si>
  <si>
    <t>齋藤　綱記</t>
  </si>
  <si>
    <t>片山　楽生</t>
  </si>
  <si>
    <t>ヘルナンデス</t>
  </si>
  <si>
    <t>及川　雅貴</t>
  </si>
  <si>
    <t>松山　晋也</t>
  </si>
  <si>
    <t>九谷　瑠</t>
  </si>
  <si>
    <t>豆田　泰志</t>
  </si>
  <si>
    <t>西野　勇士</t>
  </si>
  <si>
    <t>ルイーズ</t>
  </si>
  <si>
    <t>澤田　圭佑</t>
  </si>
  <si>
    <t>中森　俊介</t>
  </si>
  <si>
    <t>小川　泰弘</t>
  </si>
  <si>
    <t>廣澤　優</t>
  </si>
  <si>
    <t>堀田　賢慎</t>
  </si>
  <si>
    <t>森田　駿哉</t>
  </si>
  <si>
    <t>藤嶋　健人</t>
  </si>
  <si>
    <t>橋本　侑樹</t>
  </si>
  <si>
    <t>益田　直也</t>
  </si>
  <si>
    <t>中川　皓太</t>
  </si>
  <si>
    <t>西　勇輝</t>
  </si>
  <si>
    <t>島本　浩也</t>
  </si>
  <si>
    <t>上原　健太</t>
  </si>
  <si>
    <t>田中　正義</t>
  </si>
  <si>
    <t>リランソ</t>
  </si>
  <si>
    <t>若松　尚輝</t>
  </si>
  <si>
    <t>中西　聖輝</t>
  </si>
  <si>
    <t>キハダ</t>
  </si>
  <si>
    <t>ハワード</t>
  </si>
  <si>
    <t>竹田　祐</t>
  </si>
  <si>
    <t>増居　翔太</t>
  </si>
  <si>
    <t>伊藤　優輔</t>
  </si>
  <si>
    <t>木村　光</t>
  </si>
  <si>
    <t>伊原　陵人</t>
  </si>
  <si>
    <t>権田　琉成</t>
  </si>
  <si>
    <t>船迫　大雅</t>
  </si>
  <si>
    <t>ハーン</t>
  </si>
  <si>
    <t>西垣　雅矢</t>
  </si>
  <si>
    <t>入山　海斗</t>
  </si>
  <si>
    <t>坂本　光士郎</t>
  </si>
  <si>
    <t>博志</t>
  </si>
  <si>
    <t>下村　海翔</t>
  </si>
  <si>
    <t>堀　瑞輝</t>
  </si>
  <si>
    <t>マタ</t>
  </si>
  <si>
    <t>ルケーシー</t>
  </si>
  <si>
    <t>徐　若熙</t>
  </si>
  <si>
    <t>斉藤　優汰</t>
  </si>
  <si>
    <t>山﨑　伊織</t>
  </si>
  <si>
    <t>辻　大雅</t>
  </si>
  <si>
    <t>浜地　真澄</t>
  </si>
  <si>
    <t>佐藤　隼輔</t>
  </si>
  <si>
    <t>塹江　敦哉</t>
  </si>
  <si>
    <t>内　星龍</t>
  </si>
  <si>
    <t>岩城　颯空</t>
  </si>
  <si>
    <t>孫　易磊</t>
  </si>
  <si>
    <t>坂本　裕哉</t>
  </si>
  <si>
    <t>阪口　皓亮</t>
  </si>
  <si>
    <t>入江　大生</t>
  </si>
  <si>
    <t>伊藤　樹</t>
  </si>
  <si>
    <t>大勢</t>
  </si>
  <si>
    <t>吉野　光樹</t>
  </si>
  <si>
    <t>藤原　聡大</t>
  </si>
  <si>
    <t>宮城　滝太</t>
  </si>
  <si>
    <t>中村　祐太</t>
  </si>
  <si>
    <t>田和　廉</t>
  </si>
  <si>
    <t>岩田　将貴</t>
  </si>
  <si>
    <t>マルセリーノ</t>
  </si>
  <si>
    <t>代木　大和</t>
  </si>
  <si>
    <t>荘司　宏太</t>
  </si>
  <si>
    <t>津留﨑　大成</t>
  </si>
  <si>
    <t>ルーカス</t>
  </si>
  <si>
    <t>鈴木　翔天</t>
  </si>
  <si>
    <t>中﨑　翔太</t>
  </si>
  <si>
    <t>泰　勝利</t>
  </si>
  <si>
    <t>金村　尚真</t>
  </si>
  <si>
    <t>島田　舜也</t>
  </si>
  <si>
    <t>黒田　将矢</t>
  </si>
  <si>
    <t>湯浅　京己</t>
  </si>
  <si>
    <t>草加　勝</t>
  </si>
  <si>
    <t>アブレウ</t>
  </si>
  <si>
    <t>柴田　大地</t>
  </si>
  <si>
    <t>ウィンゲンター</t>
  </si>
  <si>
    <t>浜屋　将太</t>
  </si>
  <si>
    <t>森脇　亮介</t>
  </si>
  <si>
    <t>吉田　輝星</t>
  </si>
  <si>
    <t>セベリーノ</t>
  </si>
  <si>
    <t>大瀬良　大地</t>
  </si>
  <si>
    <t>山﨑　康晃</t>
  </si>
  <si>
    <t>岩嵜　翔</t>
  </si>
  <si>
    <t>前田　純</t>
  </si>
  <si>
    <t>桐敷　拓馬</t>
  </si>
  <si>
    <t>石原　勇輝</t>
  </si>
  <si>
    <t>田中　千晴</t>
  </si>
  <si>
    <t>神宮　僚介</t>
  </si>
  <si>
    <t>上田　大河</t>
  </si>
  <si>
    <t>門別　啓人</t>
  </si>
  <si>
    <t>山岡　泰輔</t>
  </si>
  <si>
    <t>小澤　怜史</t>
  </si>
  <si>
    <t>富山　凌雅</t>
  </si>
  <si>
    <t>杉浦　稔大</t>
  </si>
  <si>
    <t>益田　武尚</t>
  </si>
  <si>
    <t>石黒　佑弥</t>
  </si>
  <si>
    <t>アドゥワ　誠</t>
  </si>
  <si>
    <t>牧野　憲伸</t>
  </si>
  <si>
    <t>赤木　晴哉</t>
  </si>
  <si>
    <t>メヒア</t>
  </si>
  <si>
    <t>伊藤　茉央</t>
  </si>
  <si>
    <t>マルテ</t>
  </si>
  <si>
    <t>黒木　優太</t>
  </si>
  <si>
    <t>モレッタ</t>
  </si>
  <si>
    <t>松葉　貴大</t>
  </si>
  <si>
    <t>木村　優人</t>
  </si>
  <si>
    <t>石川　柊太</t>
  </si>
  <si>
    <t>東松　快征</t>
  </si>
  <si>
    <t>又木　鉄平</t>
  </si>
  <si>
    <t>宋　家豪</t>
  </si>
  <si>
    <t>齋藤　友貴哉</t>
  </si>
  <si>
    <t>泉　圭輔</t>
  </si>
  <si>
    <t>山本　拓実</t>
  </si>
  <si>
    <t>ペルドモ</t>
  </si>
  <si>
    <t>小林　樹斗</t>
  </si>
  <si>
    <t>田口　麗斗</t>
  </si>
  <si>
    <t>菊地　ハルン</t>
  </si>
  <si>
    <t>生田目　翼</t>
  </si>
  <si>
    <t>川瀬　堅斗</t>
  </si>
  <si>
    <t>吉川　悠斗</t>
  </si>
  <si>
    <t>早川　太貴</t>
  </si>
  <si>
    <t>中込　陽翔</t>
  </si>
  <si>
    <t>石田　健大</t>
  </si>
  <si>
    <t>柴田　獅子</t>
  </si>
  <si>
    <t>宮城　大弥</t>
  </si>
  <si>
    <t>森　博人</t>
  </si>
  <si>
    <t>宮﨑　颯</t>
  </si>
  <si>
    <t>宮國　凌空</t>
  </si>
  <si>
    <t>コントレラス</t>
  </si>
  <si>
    <t>東山　玲士</t>
  </si>
  <si>
    <t>福谷　浩司</t>
  </si>
  <si>
    <t>茨木　秀俊</t>
  </si>
  <si>
    <t>北浦　竜次</t>
  </si>
  <si>
    <t>ルシアーノ</t>
  </si>
  <si>
    <t>岡留　英貴</t>
  </si>
  <si>
    <t>Ｅ．ラミレス</t>
  </si>
  <si>
    <t>古林　睿煬</t>
  </si>
  <si>
    <t>大西　広樹</t>
  </si>
  <si>
    <t>糸川　亮太</t>
  </si>
  <si>
    <t>山口　廉王</t>
  </si>
  <si>
    <t>才木　海翔</t>
  </si>
  <si>
    <t>山田　陽翔</t>
  </si>
  <si>
    <t>馬場　皐輔</t>
  </si>
  <si>
    <t>松本　凌人</t>
  </si>
  <si>
    <t>島内　颯太郎</t>
  </si>
  <si>
    <t>仲地　礼亜</t>
  </si>
  <si>
    <t>阿部　翔太</t>
  </si>
  <si>
    <t>畠　世周</t>
  </si>
  <si>
    <t>石井　大智</t>
  </si>
  <si>
    <t>松本　航</t>
  </si>
  <si>
    <t>津田　淳哉</t>
  </si>
  <si>
    <t>高梨　雄平</t>
  </si>
  <si>
    <t>中村　稔弥</t>
  </si>
  <si>
    <t>藤浪　晋太郎</t>
  </si>
  <si>
    <t>玉井　大翔</t>
  </si>
  <si>
    <t>木澤　尚文</t>
  </si>
  <si>
    <t>齊藤　汰直</t>
  </si>
  <si>
    <t>工藤　泰己</t>
  </si>
  <si>
    <t>黒原　拓未</t>
  </si>
  <si>
    <t>中川　颯</t>
  </si>
  <si>
    <t>古田島　成龍</t>
  </si>
  <si>
    <t>西口　直人</t>
  </si>
  <si>
    <t>根尾　昂</t>
  </si>
  <si>
    <t>佐藤　一磨</t>
  </si>
  <si>
    <t>デュプランティエ</t>
  </si>
  <si>
    <t>コックス</t>
  </si>
  <si>
    <t>平内　龍太</t>
  </si>
  <si>
    <t>山田　修義</t>
  </si>
  <si>
    <t>羽田　慎之介</t>
  </si>
  <si>
    <t>大川　慈英</t>
  </si>
  <si>
    <t>常廣　羽也斗</t>
  </si>
  <si>
    <t>畔柳　亨丞</t>
  </si>
  <si>
    <t>髙橋　快秀</t>
  </si>
  <si>
    <t>堀岡　隼人</t>
  </si>
  <si>
    <t>廣畑　敦也</t>
  </si>
  <si>
    <t>大野　稼頭央</t>
  </si>
  <si>
    <t>今朝丸　裕喜</t>
  </si>
  <si>
    <t>宮西　尚生</t>
  </si>
  <si>
    <t>池田　隆英</t>
  </si>
  <si>
    <t>種市　篤暉</t>
  </si>
  <si>
    <t>石川　達也</t>
  </si>
  <si>
    <t>下川　隼佑</t>
  </si>
  <si>
    <t>大竹　風雅</t>
  </si>
  <si>
    <t>椎葉　剛</t>
  </si>
  <si>
    <t>西舘　昂汰</t>
  </si>
  <si>
    <t>ビド</t>
  </si>
  <si>
    <t>拓也</t>
  </si>
  <si>
    <t>橋本　達弥</t>
  </si>
  <si>
    <t>ラトリッジ</t>
  </si>
  <si>
    <t>藤原　大翔</t>
  </si>
  <si>
    <t>菊地　大稀</t>
  </si>
  <si>
    <t>横山　楓</t>
  </si>
  <si>
    <t>渡辺　翔太</t>
  </si>
  <si>
    <t>岩井　俊介</t>
  </si>
  <si>
    <t>日當　直喜</t>
  </si>
  <si>
    <t>江原　雅裕</t>
  </si>
  <si>
    <t>カスティーヨ</t>
  </si>
  <si>
    <t>勝野　昌慶</t>
  </si>
  <si>
    <t>杉田　健</t>
  </si>
  <si>
    <t>三浦　瑞樹</t>
  </si>
  <si>
    <t>清水　達也</t>
  </si>
  <si>
    <t>唐川　侑己</t>
  </si>
  <si>
    <t>佐々木　千隼</t>
  </si>
  <si>
    <t>ラオ</t>
  </si>
  <si>
    <t>杉山　遙希</t>
  </si>
  <si>
    <t>庄司　陽斗</t>
  </si>
  <si>
    <t>河野　竜生</t>
  </si>
  <si>
    <t>冨士　大和</t>
  </si>
  <si>
    <t>アルメンタ</t>
  </si>
  <si>
    <t>宮原　駿介</t>
  </si>
  <si>
    <t>中村　優斗</t>
  </si>
  <si>
    <t>大山　凌</t>
  </si>
  <si>
    <t>近藤　廉</t>
  </si>
  <si>
    <t>大江　竜聖</t>
  </si>
  <si>
    <t>宮内　春輝</t>
  </si>
  <si>
    <t>菊地　吏玖</t>
  </si>
  <si>
    <t>山田　龍聖</t>
  </si>
  <si>
    <t>篠﨑　国忠</t>
  </si>
  <si>
    <t>森　遼大朗</t>
  </si>
  <si>
    <t>平野　佳寿</t>
  </si>
  <si>
    <t>福　敬登</t>
  </si>
  <si>
    <t>齋藤　響介</t>
  </si>
  <si>
    <t>梅野　雄吾</t>
  </si>
  <si>
    <t>石垣　元気</t>
  </si>
  <si>
    <t>青山　美夏人</t>
  </si>
  <si>
    <t>堀越　啓太</t>
  </si>
  <si>
    <t>成田　晴風</t>
  </si>
  <si>
    <t>冨士　隼斗</t>
  </si>
  <si>
    <t>大聖</t>
  </si>
  <si>
    <t>東妻　勇輔</t>
  </si>
  <si>
    <t>武田　陸玖</t>
  </si>
  <si>
    <t>山城　京平</t>
  </si>
  <si>
    <t>北斗</t>
  </si>
  <si>
    <t>富田　蓮</t>
  </si>
  <si>
    <t>清水　大暉</t>
  </si>
  <si>
    <t>大道　温貴</t>
  </si>
  <si>
    <t>バルドナード</t>
  </si>
  <si>
    <t>松岡　洸希</t>
  </si>
  <si>
    <t>岩貞　祐太</t>
  </si>
  <si>
    <t>本田　仁海</t>
  </si>
  <si>
    <t>陳　睦衡</t>
  </si>
  <si>
    <t>村上　泰斗</t>
  </si>
  <si>
    <t>佐藤　柳之介</t>
  </si>
  <si>
    <t>髙谷　舟</t>
  </si>
  <si>
    <t>長谷川　宙輝</t>
  </si>
  <si>
    <t>飯田　琉斗</t>
  </si>
  <si>
    <t>古賀　康誠</t>
  </si>
  <si>
    <t>石川　雅規</t>
  </si>
  <si>
    <t>稲川　竜汰</t>
  </si>
  <si>
    <t>矢澤　宏太</t>
  </si>
  <si>
    <t>柴田　竜拓</t>
  </si>
  <si>
    <t>進藤　勇也</t>
  </si>
  <si>
    <t>松本　竜也</t>
  </si>
  <si>
    <t>辛島　航</t>
  </si>
  <si>
    <t>清宮　虎多朗</t>
  </si>
  <si>
    <t>栗原　陵矢</t>
  </si>
  <si>
    <t>森下　翔太</t>
  </si>
  <si>
    <t>西川　龍馬</t>
  </si>
  <si>
    <t>佐藤　輝明</t>
  </si>
  <si>
    <t>細川　成也</t>
  </si>
  <si>
    <t>近藤　健介</t>
  </si>
  <si>
    <t>大山　悠輔</t>
  </si>
  <si>
    <t>西川　史礁</t>
  </si>
  <si>
    <t>中野　拓夢</t>
  </si>
  <si>
    <t>坂倉　将吾</t>
  </si>
  <si>
    <t>辰己　涼介</t>
  </si>
  <si>
    <t>水野　達稀</t>
  </si>
  <si>
    <t>周東　佑京</t>
  </si>
  <si>
    <t>ダルベック</t>
  </si>
  <si>
    <t>宗　佑磨</t>
  </si>
  <si>
    <t>菊池　涼介</t>
  </si>
  <si>
    <t>村林　一輝</t>
  </si>
  <si>
    <t>紅林　弘太郎</t>
  </si>
  <si>
    <t>レイエス</t>
  </si>
  <si>
    <t>村松　開人</t>
  </si>
  <si>
    <t>長岡　秀樹</t>
  </si>
  <si>
    <t>カナリオ</t>
  </si>
  <si>
    <t>泉口　友汰</t>
  </si>
  <si>
    <t>佐野　恵太</t>
  </si>
  <si>
    <t>度会　隆輝</t>
  </si>
  <si>
    <t>渡部　聖弥</t>
  </si>
  <si>
    <t>太田　椋</t>
  </si>
  <si>
    <t>清宮　幸太郎</t>
  </si>
  <si>
    <t>牧原　大成</t>
  </si>
  <si>
    <t>小川　龍成</t>
  </si>
  <si>
    <t>柳田　悠岐</t>
  </si>
  <si>
    <t>黒川　史陽</t>
  </si>
  <si>
    <t>正木　智也</t>
  </si>
  <si>
    <t>浦田　俊輔</t>
  </si>
  <si>
    <t>牧　秀悟</t>
  </si>
  <si>
    <t>滝澤　夏央</t>
  </si>
  <si>
    <t>中島　大輔</t>
  </si>
  <si>
    <t>藤原　恭大</t>
  </si>
  <si>
    <t>万波　中正</t>
  </si>
  <si>
    <t>松本　剛</t>
  </si>
  <si>
    <t>佐藤　都志也</t>
  </si>
  <si>
    <t>岩田　幸宏</t>
  </si>
  <si>
    <t>サンタナ</t>
  </si>
  <si>
    <t>山口　航輝</t>
  </si>
  <si>
    <t>増田　珠</t>
  </si>
  <si>
    <t>福永　裕基</t>
  </si>
  <si>
    <t>中川　圭太</t>
  </si>
  <si>
    <t>野村　佑希</t>
  </si>
  <si>
    <t>ネビン</t>
  </si>
  <si>
    <t>佐々木　泰</t>
  </si>
  <si>
    <t>近本　光司</t>
  </si>
  <si>
    <t>マッカスカー</t>
  </si>
  <si>
    <t>小園　海斗</t>
  </si>
  <si>
    <t>筒香　嘉智</t>
  </si>
  <si>
    <t>石伊　雄太</t>
  </si>
  <si>
    <t>寺地　隆成</t>
  </si>
  <si>
    <t>石川　昂弥</t>
  </si>
  <si>
    <t>佐々木　俊輔</t>
  </si>
  <si>
    <t>蝦名　達夫</t>
  </si>
  <si>
    <t>大城　卓三</t>
  </si>
  <si>
    <t>髙寺　望夢</t>
  </si>
  <si>
    <t>宮﨑　敏郎</t>
  </si>
  <si>
    <t>郡司　裕也</t>
  </si>
  <si>
    <t>ソト</t>
  </si>
  <si>
    <t>キャベッジ</t>
  </si>
  <si>
    <t>小島　大河</t>
  </si>
  <si>
    <t>ファビアン</t>
  </si>
  <si>
    <t>サノー</t>
  </si>
  <si>
    <t>勝又　温史</t>
  </si>
  <si>
    <t>来田　涼斗</t>
  </si>
  <si>
    <t>山中　稜真</t>
  </si>
  <si>
    <t>大盛　穂</t>
  </si>
  <si>
    <t>内山　壮真</t>
  </si>
  <si>
    <t>岡林　勇希</t>
  </si>
  <si>
    <t>若月　健矢</t>
  </si>
  <si>
    <t>古賀　優大</t>
  </si>
  <si>
    <t>モンテロ</t>
  </si>
  <si>
    <t>浅村　栄斗</t>
  </si>
  <si>
    <t>赤羽　由紘</t>
  </si>
  <si>
    <t>西川　愛也</t>
  </si>
  <si>
    <t>源田　壮亮</t>
  </si>
  <si>
    <t>坂本　誠志郎</t>
  </si>
  <si>
    <t>柳町　達</t>
  </si>
  <si>
    <t>平沢　大河</t>
  </si>
  <si>
    <t>長谷川　信哉</t>
  </si>
  <si>
    <t>庄子　雄大</t>
  </si>
  <si>
    <t>松尾　汐恩</t>
  </si>
  <si>
    <t>持丸　泰輝</t>
  </si>
  <si>
    <t>勝田　成</t>
  </si>
  <si>
    <t>武岡　龍世</t>
  </si>
  <si>
    <t>田宮　裕涼</t>
  </si>
  <si>
    <t>太田　光</t>
  </si>
  <si>
    <t>名原　典彦</t>
  </si>
  <si>
    <t>友杉　篤輝</t>
  </si>
  <si>
    <t>宗山　塁</t>
  </si>
  <si>
    <t>ボスラー</t>
  </si>
  <si>
    <t>海野　隆司</t>
  </si>
  <si>
    <t>平良　竜哉</t>
  </si>
  <si>
    <t>YG安田</t>
  </si>
  <si>
    <t>林　安可</t>
  </si>
  <si>
    <t>石井　一成</t>
  </si>
  <si>
    <t>田中　幹也</t>
  </si>
  <si>
    <t>渡部　遼人</t>
  </si>
  <si>
    <t>森　友哉</t>
  </si>
  <si>
    <t>エンカーナシオン</t>
  </si>
  <si>
    <t>奈良間　大己</t>
  </si>
  <si>
    <t>桑原　将志</t>
  </si>
  <si>
    <t>古賀　悠斗</t>
  </si>
  <si>
    <t>安田　尚憲</t>
  </si>
  <si>
    <t>佐藤　直樹</t>
  </si>
  <si>
    <t>宮下　朝陽</t>
  </si>
  <si>
    <t>カストロ</t>
  </si>
  <si>
    <t>水谷　瞬</t>
  </si>
  <si>
    <t>前川　右京</t>
  </si>
  <si>
    <t>山川　穂高</t>
  </si>
  <si>
    <t>山本　祐大</t>
  </si>
  <si>
    <t>板山　祐太郎</t>
  </si>
  <si>
    <t>岸田　行倫</t>
  </si>
  <si>
    <t>岸　潤一郎</t>
  </si>
  <si>
    <t>秋山　翔吾</t>
  </si>
  <si>
    <t>林　琢真</t>
  </si>
  <si>
    <t>中村　奨成</t>
  </si>
  <si>
    <t>吉川　尚輝</t>
  </si>
  <si>
    <t>上田　希由翔</t>
  </si>
  <si>
    <t>元山　飛優</t>
  </si>
  <si>
    <t>川瀬　晃</t>
  </si>
  <si>
    <t>熊谷　敬宥</t>
  </si>
  <si>
    <t>小郷　裕哉</t>
  </si>
  <si>
    <t>今宮　健太</t>
  </si>
  <si>
    <t>増田　陸</t>
  </si>
  <si>
    <t>鵜飼　航丞</t>
  </si>
  <si>
    <t>坂本　勇人</t>
  </si>
  <si>
    <t>山﨑　剛</t>
  </si>
  <si>
    <t>野口　智哉</t>
  </si>
  <si>
    <t>渡邊　佳明</t>
  </si>
  <si>
    <t>小深田　大翔</t>
  </si>
  <si>
    <t>木浪　聖也</t>
  </si>
  <si>
    <t>花田　旭</t>
  </si>
  <si>
    <t>中山　礼都</t>
  </si>
  <si>
    <t>大塚　瑠晏</t>
  </si>
  <si>
    <t>石原　貴規</t>
  </si>
  <si>
    <t>髙部　瑛斗</t>
  </si>
  <si>
    <t>山本　大斗</t>
  </si>
  <si>
    <t>福島　圭音</t>
  </si>
  <si>
    <t>佐藤　啓介</t>
  </si>
  <si>
    <t>鈴木　叶</t>
  </si>
  <si>
    <t>吉田　賢吾</t>
  </si>
  <si>
    <t>ポランコ</t>
  </si>
  <si>
    <t>ヒュンメル</t>
  </si>
  <si>
    <t>伏見　寅威</t>
  </si>
  <si>
    <t>伊藤　琉偉</t>
  </si>
  <si>
    <t>丸　佳浩</t>
  </si>
  <si>
    <t>シーモア</t>
  </si>
  <si>
    <t>阿部　寿樹</t>
  </si>
  <si>
    <t>井上　広大</t>
  </si>
  <si>
    <t>三森　大貴</t>
  </si>
  <si>
    <t>細川　凌平</t>
  </si>
  <si>
    <t>丸山　和郁</t>
  </si>
  <si>
    <t>野村　勇</t>
  </si>
  <si>
    <t>石塚　裕惺</t>
  </si>
  <si>
    <t>平山　功太</t>
  </si>
  <si>
    <t>五十幡　亮汰</t>
  </si>
  <si>
    <t>京田　陽太</t>
  </si>
  <si>
    <t>立石　正広</t>
  </si>
  <si>
    <t>有薗　直輝</t>
  </si>
  <si>
    <t>堀内　謙伍</t>
  </si>
  <si>
    <t>西野　真弘</t>
  </si>
  <si>
    <t>高橋　周平</t>
  </si>
  <si>
    <t>小幡　竜平</t>
  </si>
  <si>
    <t>松下　歩叶</t>
  </si>
  <si>
    <t>戸柱　恭孝</t>
  </si>
  <si>
    <t>野間　峻祥</t>
  </si>
  <si>
    <t>松川　虎生</t>
  </si>
  <si>
    <t>西村　瑠伊斗</t>
  </si>
  <si>
    <t>平川　蓮</t>
  </si>
  <si>
    <t>山縣　秀</t>
  </si>
  <si>
    <t>笹原　操希</t>
  </si>
  <si>
    <t>モンテル</t>
  </si>
  <si>
    <t>外崎　修汰</t>
  </si>
  <si>
    <t>廣瀨　隆太</t>
  </si>
  <si>
    <t>蛭間　拓哉</t>
  </si>
  <si>
    <t>田中　陽翔</t>
  </si>
  <si>
    <t>麦谷　祐介</t>
  </si>
  <si>
    <t>池田　来翔</t>
  </si>
  <si>
    <t>石上　泰輝</t>
  </si>
  <si>
    <t>愛斗</t>
  </si>
  <si>
    <t>山村　崇嘉</t>
  </si>
  <si>
    <t>塩見　泰隆</t>
  </si>
  <si>
    <t>並木　秀尊</t>
  </si>
  <si>
    <t>梅野　隆太郎</t>
  </si>
  <si>
    <t>宮本　丈</t>
  </si>
  <si>
    <t>山本　泰寛</t>
  </si>
  <si>
    <t>杉本　裕太郎</t>
  </si>
  <si>
    <t>加藤　匠馬</t>
  </si>
  <si>
    <t>繁永　晟</t>
  </si>
  <si>
    <t>西川　遥輝</t>
  </si>
  <si>
    <t>杉澤　龍</t>
  </si>
  <si>
    <t>ボイト</t>
  </si>
  <si>
    <t>成瀬　脩人</t>
  </si>
  <si>
    <t>梶原　昂希</t>
  </si>
  <si>
    <t>土田　龍空</t>
  </si>
  <si>
    <t>古市　尊</t>
  </si>
  <si>
    <t>門脇　誠</t>
  </si>
  <si>
    <t>二俣　翔一</t>
  </si>
  <si>
    <t>木下　拓哉</t>
  </si>
  <si>
    <t>カリステ</t>
  </si>
  <si>
    <t>谷川原　健太</t>
  </si>
  <si>
    <t>上林　誠知</t>
  </si>
  <si>
    <t>大島　洋平</t>
  </si>
  <si>
    <t>中村　悠平</t>
  </si>
  <si>
    <t>中村　剛也</t>
  </si>
  <si>
    <t>石井　巧</t>
  </si>
  <si>
    <t>山本　恵大</t>
  </si>
  <si>
    <t>廣岡　大志</t>
  </si>
  <si>
    <t>小濱　佑斗</t>
  </si>
  <si>
    <t>矢野　雅哉</t>
  </si>
  <si>
    <t>山田　哲人</t>
  </si>
  <si>
    <t>上川畑　大悟</t>
  </si>
  <si>
    <t>末包　昇大</t>
  </si>
  <si>
    <t>鈴木　大地</t>
  </si>
  <si>
    <t>柘植　世那</t>
  </si>
  <si>
    <t>淺間　大基</t>
  </si>
  <si>
    <t>伊藤　裕季也</t>
  </si>
  <si>
    <t>大城　滉二</t>
  </si>
  <si>
    <t>澤井　廉</t>
  </si>
  <si>
    <t>岡　大海</t>
  </si>
  <si>
    <t>今川　優馬</t>
  </si>
  <si>
    <t>宜保　翔</t>
  </si>
  <si>
    <t>井上　朋也</t>
  </si>
  <si>
    <t>中村　晃</t>
  </si>
  <si>
    <t>川村　友斗</t>
  </si>
  <si>
    <t>宮崎　竜成</t>
  </si>
  <si>
    <t>嶋村　麟士朗</t>
  </si>
  <si>
    <t>渡邉　陸</t>
  </si>
  <si>
    <t>リチャード</t>
  </si>
  <si>
    <t>平沼　翔太</t>
  </si>
  <si>
    <t>茂木　栄五郎</t>
  </si>
  <si>
    <t>清水　優心</t>
  </si>
  <si>
    <t>石川　慎吾</t>
  </si>
  <si>
    <t>松本　直樹</t>
  </si>
  <si>
    <t>福永　奨</t>
  </si>
  <si>
    <t>伊藤　光</t>
  </si>
  <si>
    <t>吉野　創士</t>
  </si>
  <si>
    <t>笹川　吉康</t>
  </si>
  <si>
    <t>ガルシア</t>
  </si>
  <si>
    <t>仲三　優太</t>
  </si>
  <si>
    <t>岡城　快生</t>
  </si>
  <si>
    <t>仲田　慶介</t>
  </si>
  <si>
    <t>ティマ</t>
  </si>
  <si>
    <t>ビシエド</t>
  </si>
  <si>
    <t>和田　康士朗</t>
  </si>
  <si>
    <t>若林　楽人</t>
  </si>
  <si>
    <t>知念　大成</t>
  </si>
  <si>
    <t>山野辺　翔</t>
  </si>
  <si>
    <t>セデーニョ</t>
  </si>
  <si>
    <t>浅野　翔吾</t>
  </si>
  <si>
    <t>濱田　太貴</t>
  </si>
  <si>
    <t>池田　陵真</t>
  </si>
  <si>
    <t>入江　大樹</t>
  </si>
  <si>
    <t>佐藤　太陽</t>
  </si>
  <si>
    <t>藤岡　裕大</t>
  </si>
  <si>
    <t>辰見　鴻之介</t>
  </si>
  <si>
    <t>前川　誠太</t>
  </si>
  <si>
    <t>武藤　敦貴</t>
  </si>
  <si>
    <t>堀　柊那</t>
  </si>
  <si>
    <t>中川　勇斗</t>
  </si>
  <si>
    <t>神里　和毅</t>
  </si>
  <si>
    <t>横山　聖哉</t>
  </si>
  <si>
    <t>石塚　綜一郎</t>
  </si>
  <si>
    <t>甲斐　拓也</t>
  </si>
  <si>
    <t>鈴木　大和</t>
  </si>
  <si>
    <t>内藤　鵬</t>
  </si>
  <si>
    <t>関根　大気</t>
  </si>
  <si>
    <t>糸原　健斗</t>
  </si>
  <si>
    <t>小森　航大郎</t>
  </si>
  <si>
    <t>皆川　岳飛</t>
  </si>
  <si>
    <t>林　晃汰</t>
  </si>
  <si>
    <t>角中　勝也</t>
  </si>
  <si>
    <t>山瀬　慎之助</t>
  </si>
  <si>
    <t>増田　大輝</t>
  </si>
  <si>
    <t>小野寺　暖</t>
  </si>
  <si>
    <t>宮崎　一樹</t>
  </si>
  <si>
    <t>辻本　倫太郎</t>
  </si>
  <si>
    <t>阪上　翔也</t>
  </si>
  <si>
    <t>橋本　星哉</t>
  </si>
  <si>
    <t>小林　誠司</t>
  </si>
  <si>
    <t>ディベイニー</t>
  </si>
  <si>
    <t>ブライト　健太</t>
  </si>
  <si>
    <t>吉納　翼</t>
  </si>
  <si>
    <t>栗山　巧</t>
  </si>
  <si>
    <t>ワォーターズ</t>
  </si>
  <si>
    <t>秋山　俊</t>
  </si>
  <si>
    <t>樋口　正修</t>
  </si>
  <si>
    <t>北村　恵吾</t>
  </si>
  <si>
    <t>常谷　拓輝</t>
  </si>
  <si>
    <t>ダウンズ</t>
  </si>
  <si>
    <t>茶谷　健太</t>
  </si>
  <si>
    <t>石原　彪</t>
  </si>
  <si>
    <t>櫻井　ユウヤ</t>
  </si>
  <si>
    <t>田村　俊介</t>
  </si>
  <si>
    <t>森　敬斗</t>
  </si>
  <si>
    <t>小田　康一郎</t>
  </si>
  <si>
    <t>ロドリゲス</t>
  </si>
  <si>
    <t>金子　京介</t>
  </si>
  <si>
    <t>尾田　剛樹</t>
  </si>
  <si>
    <t>陽　柏翔</t>
  </si>
  <si>
    <t>エドポロ　ケイン</t>
  </si>
  <si>
    <t>村田　怜音</t>
  </si>
  <si>
    <t>久保　修</t>
  </si>
  <si>
    <t>九鬼　隆平</t>
  </si>
  <si>
    <t>茶野　篤政</t>
  </si>
  <si>
    <t>石川　亮</t>
  </si>
  <si>
    <t>ゴンザレス</t>
  </si>
  <si>
    <t>岡田　悠希</t>
  </si>
  <si>
    <t>西川　篤夢</t>
  </si>
  <si>
    <t>萩尾　匡也</t>
  </si>
  <si>
    <t>森　駿太</t>
  </si>
  <si>
    <t>植田　海</t>
  </si>
  <si>
    <t>緒方　理貢</t>
  </si>
  <si>
    <t>川越　誠司</t>
  </si>
  <si>
    <t>モイセエフ　ニキータ</t>
  </si>
  <si>
    <t>髙橋　隆慶</t>
  </si>
  <si>
    <t>立松　由宇</t>
  </si>
  <si>
    <t>石垣　勝海</t>
  </si>
  <si>
    <t>田中　貴也</t>
  </si>
  <si>
    <t>矢野　泰二郎</t>
  </si>
  <si>
    <t>梅林　優貴</t>
  </si>
  <si>
    <t>味谷　大誠</t>
  </si>
  <si>
    <t>渡邉　悠斗</t>
  </si>
  <si>
    <t>豊田　寛</t>
  </si>
  <si>
    <t>清水　叶人</t>
  </si>
  <si>
    <t>岡村　了樹</t>
  </si>
  <si>
    <t>中島　卓也</t>
  </si>
  <si>
    <t>児玉　亮涼</t>
  </si>
  <si>
    <t>イヒネ　イツア</t>
  </si>
  <si>
    <t>知野　直人</t>
  </si>
  <si>
    <t>島田　海吏</t>
  </si>
  <si>
    <t>石橋　康太</t>
  </si>
  <si>
    <t>井上　絢登</t>
  </si>
  <si>
    <t>田村　龍弘</t>
  </si>
  <si>
    <t>谷端　将伍</t>
  </si>
  <si>
    <t>髙松　渡</t>
  </si>
  <si>
    <t>宇都宮　葵星</t>
  </si>
  <si>
    <t>湯浅　大</t>
  </si>
  <si>
    <t>井坪　陽生</t>
  </si>
  <si>
    <t>百﨑　蒼生</t>
  </si>
  <si>
    <t>榮枝　裕貴</t>
  </si>
  <si>
    <t>窪田　洋祐</t>
  </si>
  <si>
    <t>加藤　響</t>
  </si>
  <si>
    <t>是澤　涼輔</t>
  </si>
  <si>
    <t>高見澤　郁魅</t>
  </si>
  <si>
    <t>益子　京右</t>
  </si>
  <si>
    <t>藤田　悠太郎</t>
  </si>
  <si>
    <t>R.マルティネス</t>
  </si>
  <si>
    <t>ロベルト・オスナ</t>
  </si>
  <si>
    <t>ホセ・オスナ</t>
  </si>
  <si>
    <t>A.マルティネス</t>
  </si>
  <si>
    <t>オスナ</t>
  </si>
  <si>
    <t>マルティネス</t>
  </si>
  <si>
    <t>柿沼　友哉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</si>
</sst>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00"/>
  </numFmts>
  <fonts count="12" x14ac:knownFonts="1">
    <font>
      <sz val="10"/>
      <color rgb="FF000000"/>
      <name val="Arial"/>
      <scheme val="minor"/>
    </font>
    <font>
      <sz val="11"/>
      <color rgb="FF3D3D3D"/>
      <name val="&quot;ＭＳ Ｐゴシック&quot;"/>
    </font>
    <font>
      <sz val="11"/>
      <name val="&quot;ＭＳ Ｐゴシック&quot;"/>
    </font>
    <font>
      <sz val="10"/>
      <name val="Arial"/>
    </font>
    <font>
      <u/>
      <sz val="11"/>
      <color rgb="FF0000FF"/>
      <name val="&quot;ＭＳ Ｐゴシック&quot;"/>
    </font>
    <font>
      <sz val="11"/>
      <color rgb="FF000000"/>
      <name val="&quot;ＭＳ Ｐゴシック&quot;"/>
    </font>
    <font>
      <b/>
      <sz val="11"/>
      <color rgb="FF000000"/>
      <name val="&quot;ＭＳ Ｐゴシック&quot;"/>
    </font>
    <font>
      <b/>
      <sz val="9"/>
      <color rgb="FF000000"/>
      <name val="&quot;ＭＳ Ｐゴシック&quot;"/>
    </font>
    <font>
      <b/>
      <sz val="10"/>
      <name val="Arial"/>
    </font>
    <font>
      <u/>
      <sz val="11"/>
      <color rgb="FF1155CC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CDCDCD"/>
        <bgColor rgb="FFCDCDCD"/>
      </patternFill>
    </fill>
    <fill>
      <patternFill patternType="solid">
        <fgColor rgb="FFDDDDDD"/>
        <bgColor rgb="FFDDDDDD"/>
      </patternFill>
    </fill>
    <fill>
      <patternFill patternType="solid">
        <fgColor rgb="FFEEFFEE"/>
        <bgColor indexed="64"/>
      </patternFill>
    </fill>
    <fill>
      <patternFill patternType="solid">
        <fgColor rgb="FFF4F4F4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CC00"/>
      </left>
      <right/>
      <top/>
      <bottom/>
      <diagonal/>
    </border>
    <border>
      <left style="medium">
        <color rgb="FF0077BB"/>
      </left>
      <right/>
      <top/>
      <bottom/>
      <diagonal/>
    </border>
    <border>
      <left style="medium">
        <color rgb="FF0066FF"/>
      </left>
      <right/>
      <top/>
      <bottom/>
      <diagonal/>
    </border>
    <border>
      <left style="medium">
        <color rgb="FF330099"/>
      </left>
      <right/>
      <top/>
      <bottom/>
      <diagonal/>
    </border>
    <border>
      <left style="medium">
        <color rgb="FF224499"/>
      </left>
      <right/>
      <top/>
      <bottom/>
      <diagonal/>
    </border>
    <border>
      <left style="medium">
        <color rgb="FF0033CC"/>
      </left>
      <right/>
      <top/>
      <bottom/>
      <diagonal/>
    </border>
    <border>
      <left style="medium">
        <color rgb="FF0000AA"/>
      </left>
      <right/>
      <top/>
      <bottom/>
      <diagonal/>
    </border>
    <border>
      <left style="medium">
        <color rgb="FFBB0000"/>
      </left>
      <right/>
      <top/>
      <bottom/>
      <diagonal/>
    </border>
    <border>
      <left style="medium">
        <color rgb="FF222222"/>
      </left>
      <right/>
      <top/>
      <bottom/>
      <diagonal/>
    </border>
    <border>
      <left style="medium">
        <color rgb="FFFF9900"/>
      </left>
      <right/>
      <top/>
      <bottom/>
      <diagonal/>
    </border>
    <border>
      <left style="medium">
        <color rgb="FFFFDD00"/>
      </left>
      <right/>
      <top/>
      <bottom/>
      <diagonal/>
    </border>
    <border>
      <left style="medium">
        <color rgb="FFFF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0">
    <xf numFmtId="0" fontId="0" fillId="0" borderId="0" xfId="0" applyFont="1" applyAlignment="1"/>
    <xf numFmtId="49" fontId="1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176" fontId="1" fillId="3" borderId="0" xfId="0" applyNumberFormat="1" applyFont="1" applyFill="1" applyAlignment="1">
      <alignment horizontal="center" vertical="top"/>
    </xf>
    <xf numFmtId="0" fontId="1" fillId="3" borderId="0" xfId="0" applyFont="1" applyFill="1" applyAlignment="1">
      <alignment horizontal="right" vertical="top"/>
    </xf>
    <xf numFmtId="0" fontId="3" fillId="0" borderId="0" xfId="0" applyFont="1" applyAlignment="1">
      <alignment horizontal="center"/>
    </xf>
    <xf numFmtId="49" fontId="1" fillId="4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176" fontId="1" fillId="4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horizontal="right" vertical="top"/>
    </xf>
    <xf numFmtId="14" fontId="1" fillId="3" borderId="0" xfId="0" applyNumberFormat="1" applyFont="1" applyFill="1" applyAlignment="1">
      <alignment horizontal="center" vertical="top"/>
    </xf>
    <xf numFmtId="14" fontId="1" fillId="4" borderId="0" xfId="0" applyNumberFormat="1" applyFont="1" applyFill="1" applyAlignment="1">
      <alignment horizontal="center" vertical="top"/>
    </xf>
    <xf numFmtId="49" fontId="5" fillId="5" borderId="0" xfId="0" applyNumberFormat="1" applyFont="1" applyFill="1" applyAlignment="1">
      <alignment horizontal="left"/>
    </xf>
    <xf numFmtId="49" fontId="6" fillId="6" borderId="1" xfId="0" applyNumberFormat="1" applyFont="1" applyFill="1" applyBorder="1" applyAlignment="1">
      <alignment horizontal="center"/>
    </xf>
    <xf numFmtId="49" fontId="6" fillId="6" borderId="0" xfId="0" applyNumberFormat="1" applyFont="1" applyFill="1" applyAlignment="1">
      <alignment horizontal="center"/>
    </xf>
    <xf numFmtId="49" fontId="7" fillId="6" borderId="0" xfId="0" applyNumberFormat="1" applyFont="1" applyFill="1" applyAlignment="1">
      <alignment horizontal="center"/>
    </xf>
    <xf numFmtId="49" fontId="3" fillId="0" borderId="0" xfId="0" applyNumberFormat="1" applyFont="1"/>
    <xf numFmtId="49" fontId="1" fillId="3" borderId="0" xfId="0" applyNumberFormat="1" applyFont="1" applyFill="1" applyAlignment="1">
      <alignment horizontal="right" vertical="top"/>
    </xf>
    <xf numFmtId="49" fontId="1" fillId="4" borderId="0" xfId="0" applyNumberFormat="1" applyFont="1" applyFill="1" applyAlignment="1">
      <alignment horizontal="right" vertical="top"/>
    </xf>
    <xf numFmtId="49" fontId="6" fillId="6" borderId="1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3" fillId="0" borderId="0" xfId="0" applyNumberFormat="1" applyFont="1"/>
    <xf numFmtId="177" fontId="3" fillId="0" borderId="0" xfId="0" applyNumberFormat="1" applyFont="1"/>
    <xf numFmtId="0" fontId="0" fillId="0" borderId="0" xfId="0" applyFont="1" applyAlignment="1">
      <alignment wrapText="1"/>
    </xf>
    <xf numFmtId="0" fontId="10" fillId="0" borderId="0" xfId="1" applyAlignment="1">
      <alignment wrapText="1"/>
    </xf>
    <xf numFmtId="0" fontId="0" fillId="0" borderId="2" xfId="0" applyFont="1" applyBorder="1" applyAlignment="1">
      <alignment wrapText="1"/>
    </xf>
    <xf numFmtId="0" fontId="11" fillId="7" borderId="0" xfId="0" applyFont="1" applyFill="1" applyAlignment="1">
      <alignment wrapText="1"/>
    </xf>
    <xf numFmtId="0" fontId="0" fillId="8" borderId="0" xfId="0" applyFont="1" applyFill="1" applyAlignment="1">
      <alignment wrapText="1"/>
    </xf>
    <xf numFmtId="0" fontId="10" fillId="8" borderId="0" xfId="1" applyFill="1" applyAlignment="1">
      <alignment wrapText="1"/>
    </xf>
    <xf numFmtId="0" fontId="0" fillId="8" borderId="3" xfId="0" applyFont="1" applyFill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8" borderId="5" xfId="0" applyFont="1" applyFill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8" borderId="7" xfId="0" applyFont="1" applyFill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8" borderId="9" xfId="0" applyFont="1" applyFill="1" applyBorder="1" applyAlignment="1">
      <alignment wrapText="1"/>
    </xf>
    <xf numFmtId="0" fontId="0" fillId="8" borderId="6" xfId="0" applyFont="1" applyFill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8" borderId="8" xfId="0" applyFont="1" applyFill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8" borderId="4" xfId="0" applyFont="1" applyFill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8" borderId="13" xfId="0" applyFont="1" applyFill="1" applyBorder="1" applyAlignment="1">
      <alignment wrapText="1"/>
    </xf>
    <xf numFmtId="0" fontId="0" fillId="8" borderId="12" xfId="0" applyFont="1" applyFill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3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8" borderId="10" xfId="0" applyFont="1" applyFill="1" applyBorder="1" applyAlignment="1">
      <alignment wrapText="1"/>
    </xf>
    <xf numFmtId="0" fontId="0" fillId="8" borderId="11" xfId="0" applyFont="1" applyFill="1" applyBorder="1" applyAlignment="1">
      <alignment wrapText="1"/>
    </xf>
    <xf numFmtId="0" fontId="0" fillId="8" borderId="2" xfId="0" applyFont="1" applyFill="1" applyBorder="1" applyAlignment="1">
      <alignment wrapText="1"/>
    </xf>
    <xf numFmtId="0" fontId="0" fillId="0" borderId="0" xfId="0" quotePrefix="1" applyFont="1" applyAlignment="1">
      <alignment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yb/%E4%BD%90%E3%80%85%E6%9C%A8%E3%80%80%E5%8D%83%E9%9A%BC" TargetMode="External" /><Relationship Id="rId671" Type="http://schemas.openxmlformats.org/officeDocument/2006/relationships/hyperlink" Target="https://baseball-data.com/player/f/%E7%B4%B0%E5%B7%9D%E3%80%80%E5%87%8C%E5%B9%B3" TargetMode="External" /><Relationship Id="rId769" Type="http://schemas.openxmlformats.org/officeDocument/2006/relationships/hyperlink" Target="https://baseball-data.com/player/bs/%E7%AA%AA%E7%94%B0%E3%80%80%E6%B4%8B%E7%A5%90" TargetMode="External" /><Relationship Id="rId976" Type="http://schemas.openxmlformats.org/officeDocument/2006/relationships/hyperlink" Target="https://baseball-data.com/player/m/%E6%B1%A0%E7%94%B0%E3%80%80%E6%9D%A5%E7%BF%94" TargetMode="External" /><Relationship Id="rId21" Type="http://schemas.openxmlformats.org/officeDocument/2006/relationships/hyperlink" Target="https://baseball-data.com/player/t/%E6%A4%8E%E8%91%89%E3%80%80%E5%89%9B" TargetMode="External" /><Relationship Id="rId324" Type="http://schemas.openxmlformats.org/officeDocument/2006/relationships/hyperlink" Target="https://baseball-data.com/player/d/%E8%83%BD%E6%88%B8%E3%80%80%E8%BC%9D%E5%A4%A2" TargetMode="External" /><Relationship Id="rId531" Type="http://schemas.openxmlformats.org/officeDocument/2006/relationships/hyperlink" Target="https://baseball-data.com/player/h/%E6%AD%A3%E6%9C%A8%E3%80%80%E6%99%BA%E4%B9%9F" TargetMode="External" /><Relationship Id="rId629" Type="http://schemas.openxmlformats.org/officeDocument/2006/relationships/hyperlink" Target="https://baseball-data.com/player/f/%E7%9F%A2%E6%BE%A4%E3%80%80%E5%AE%8F%E5%A4%AA" TargetMode="External" /><Relationship Id="rId170" Type="http://schemas.openxmlformats.org/officeDocument/2006/relationships/hyperlink" Target="https://baseball-data.com/player/g/%E5%9D%82%E6%9C%AC%E3%80%80%E5%8B%87%E4%BA%BA" TargetMode="External" /><Relationship Id="rId836" Type="http://schemas.openxmlformats.org/officeDocument/2006/relationships/hyperlink" Target="https://baseball-data.com/player/e/%E5%B9%B3%E8%89%AF%E3%80%80%E7%AB%9C%E5%93%89" TargetMode="External" /><Relationship Id="rId1021" Type="http://schemas.openxmlformats.org/officeDocument/2006/relationships/hyperlink" Target="https://baseball-data.com/player/m/%E6%84%9B%E6%96%97" TargetMode="External" /><Relationship Id="rId268" Type="http://schemas.openxmlformats.org/officeDocument/2006/relationships/hyperlink" Target="https://baseball-data.com/player/d/%E9%AB%98%E6%A9%8B%E3%80%80%E5%91%A8%E5%B9%B3" TargetMode="External" /><Relationship Id="rId475" Type="http://schemas.openxmlformats.org/officeDocument/2006/relationships/hyperlink" Target="https://baseball-data.com/player/s/%E5%B0%8F%E6%BE%A4%E3%80%80%E6%80%9C%E5%8F%B2" TargetMode="External" /><Relationship Id="rId682" Type="http://schemas.openxmlformats.org/officeDocument/2006/relationships/hyperlink" Target="https://baseball-data.com/player/f/%E6%9C%89%E5%8E%9F%E3%80%80%E8%88%AA%E5%B9%B3" TargetMode="External" /><Relationship Id="rId903" Type="http://schemas.openxmlformats.org/officeDocument/2006/relationships/hyperlink" Target="https://baseball-data.com/player/l/%E5%B1%B1%E6%9D%91%E3%80%80%E5%B4%87%E5%98%89" TargetMode="External" /><Relationship Id="rId32" Type="http://schemas.openxmlformats.org/officeDocument/2006/relationships/hyperlink" Target="https://baseball-data.com/player/t/%E5%B0%8F%E5%B9%A1%E3%80%80%E7%AB%9C%E5%B9%B3" TargetMode="External" /><Relationship Id="rId128" Type="http://schemas.openxmlformats.org/officeDocument/2006/relationships/hyperlink" Target="https://baseball-data.com/player/yb/%E4%B8%AD%E5%B7%9D%E3%80%80%E9%A2%AF" TargetMode="External" /><Relationship Id="rId335" Type="http://schemas.openxmlformats.org/officeDocument/2006/relationships/hyperlink" Target="https://baseball-data.com/player/d/%E5%9C%9F%E7%94%9F%E3%80%80%E7%BF%94%E5%A4%AA" TargetMode="External" /><Relationship Id="rId542" Type="http://schemas.openxmlformats.org/officeDocument/2006/relationships/hyperlink" Target="https://baseball-data.com/player/h/%E7%AC%B9%E5%B7%9D%E3%80%80%E5%90%89%E5%BA%B7" TargetMode="External" /><Relationship Id="rId987" Type="http://schemas.openxmlformats.org/officeDocument/2006/relationships/hyperlink" Target="https://baseball-data.com/player/m/%E6%AF%9B%E5%88%A9%E3%80%80%E6%B5%B7%E5%A4%A7" TargetMode="External" /><Relationship Id="rId181" Type="http://schemas.openxmlformats.org/officeDocument/2006/relationships/hyperlink" Target="https://baseball-data.com/player/g/%E5%A4%A7%E5%8B%A2" TargetMode="External" /><Relationship Id="rId402" Type="http://schemas.openxmlformats.org/officeDocument/2006/relationships/hyperlink" Target="https://baseball-data.com/player/c/%E3%83%8F%E3%83%BC%E3%83%B3" TargetMode="External" /><Relationship Id="rId847" Type="http://schemas.openxmlformats.org/officeDocument/2006/relationships/hyperlink" Target="https://baseball-data.com/player/e/%E6%B3%B0%E3%80%80%E5%8B%9D%E5%88%A9" TargetMode="External" /><Relationship Id="rId1032" Type="http://schemas.openxmlformats.org/officeDocument/2006/relationships/hyperlink" Target="https://baseball-data.com/player/m/%E5%B1%B1%E6%9C%AC%E3%80%80%E5%A4%A7%E6%96%97" TargetMode="External" /><Relationship Id="rId279" Type="http://schemas.openxmlformats.org/officeDocument/2006/relationships/hyperlink" Target="https://baseball-data.com/player/d/%E9%AB%99%E6%A9%8B%E3%80%80%E5%AE%8F%E6%96%97" TargetMode="External" /><Relationship Id="rId486" Type="http://schemas.openxmlformats.org/officeDocument/2006/relationships/hyperlink" Target="https://baseball-data.com/player/s/%E3%82%A6%E3%82%A9%E3%83%AB%E3%82%BF%E3%83%BC%E3%82%BA" TargetMode="External" /><Relationship Id="rId693" Type="http://schemas.openxmlformats.org/officeDocument/2006/relationships/hyperlink" Target="https://baseball-data.com/player/f/%E5%B7%9D%E5%8B%9D%E3%80%80%E7%A9%BA%E4%BA%BA" TargetMode="External" /><Relationship Id="rId707" Type="http://schemas.openxmlformats.org/officeDocument/2006/relationships/hyperlink" Target="https://baseball-data.com/player/bs/%E8%8B%A5%E6%9C%88%E3%80%80%E5%81%A5%E7%9F%A2" TargetMode="External" /><Relationship Id="rId914" Type="http://schemas.openxmlformats.org/officeDocument/2006/relationships/hyperlink" Target="https://baseball-data.com/player/l/%E6%9E%97%E3%80%80%E5%86%A0%E8%87%A3" TargetMode="External" /><Relationship Id="rId43" Type="http://schemas.openxmlformats.org/officeDocument/2006/relationships/hyperlink" Target="https://baseball-data.com/player/t/%E5%B7%A5%E8%97%A4%E3%80%80%E6%B3%B0%E6%88%90" TargetMode="External" /><Relationship Id="rId139" Type="http://schemas.openxmlformats.org/officeDocument/2006/relationships/hyperlink" Target="https://baseball-data.com/player/yb/%E4%B8%AD%E5%B7%9D%E3%80%80%E8%99%8E%E5%A4%A7" TargetMode="External" /><Relationship Id="rId346" Type="http://schemas.openxmlformats.org/officeDocument/2006/relationships/hyperlink" Target="https://baseball-data.com/player/c/%E7%9F%A2%E9%87%8E%E3%80%80%E9%9B%85%E5%93%89" TargetMode="External" /><Relationship Id="rId553" Type="http://schemas.openxmlformats.org/officeDocument/2006/relationships/hyperlink" Target="https://baseball-data.com/player/h/%E7%9F%B3%E5%A1%9A%E3%80%80%E7%B6%9C%E4%B8%80%E9%83%8E" TargetMode="External" /><Relationship Id="rId760" Type="http://schemas.openxmlformats.org/officeDocument/2006/relationships/hyperlink" Target="https://baseball-data.com/player/bs/%E6%A8%AA%E5%B1%B1%E3%80%80%E6%A5%93" TargetMode="External" /><Relationship Id="rId998" Type="http://schemas.openxmlformats.org/officeDocument/2006/relationships/hyperlink" Target="https://baseball-data.com/player/m/%E7%94%B0%E6%9D%91%E3%80%80%E9%BE%8D%E5%BC%98" TargetMode="External" /><Relationship Id="rId192" Type="http://schemas.openxmlformats.org/officeDocument/2006/relationships/hyperlink" Target="https://baseball-data.com/player/g/%E5%B0%8F%E6%9E%97%E3%80%80%E8%AA%A0%E5%8F%B8" TargetMode="External" /><Relationship Id="rId206" Type="http://schemas.openxmlformats.org/officeDocument/2006/relationships/hyperlink" Target="https://baseball-data.com/player/g/%E7%94%B0%E5%92%8C%E3%80%80%E5%BB%89" TargetMode="External" /><Relationship Id="rId413" Type="http://schemas.openxmlformats.org/officeDocument/2006/relationships/hyperlink" Target="https://baseball-data.com/player/c/%E5%AE%89%E7%AB%B9%E3%80%80%E4%BF%8A%E5%96%9C" TargetMode="External" /><Relationship Id="rId858" Type="http://schemas.openxmlformats.org/officeDocument/2006/relationships/hyperlink" Target="https://baseball-data.com/player/e/%E5%86%85%E3%80%80%E6%98%9F%E9%BE%8D" TargetMode="External" /><Relationship Id="rId1043" Type="http://schemas.openxmlformats.org/officeDocument/2006/relationships/hyperlink" Target="https://baseball-data.com/player/m/%E9%AB%99%E6%A9%8B%E3%80%80%E5%BF%AB%E7%A7%80" TargetMode="External" /><Relationship Id="rId497" Type="http://schemas.openxmlformats.org/officeDocument/2006/relationships/hyperlink" Target="https://baseball-data.com/player/s/%E5%BB%A3%E6%BE%A4%E3%80%80%E5%84%AA" TargetMode="External" /><Relationship Id="rId620" Type="http://schemas.openxmlformats.org/officeDocument/2006/relationships/hyperlink" Target="https://baseball-data.com/player/f/%E3%83%9E%E3%83%AB%E3%83%86%E3%82%A3%E3%83%8D%E3%82%B9" TargetMode="External" /><Relationship Id="rId718" Type="http://schemas.openxmlformats.org/officeDocument/2006/relationships/hyperlink" Target="https://baseball-data.com/player/bs/%E6%9D%B1%E3%80%80%E6%99%83%E5%B9%B3" TargetMode="External" /><Relationship Id="rId925" Type="http://schemas.openxmlformats.org/officeDocument/2006/relationships/hyperlink" Target="https://baseball-data.com/player/l/%E9%BB%92%E7%94%B0%E3%80%80%E5%B0%86%E7%9F%A2" TargetMode="External" /><Relationship Id="rId357" Type="http://schemas.openxmlformats.org/officeDocument/2006/relationships/hyperlink" Target="https://baseball-data.com/player/c/%E5%BA%8A%E7%94%B0%E3%80%80%E5%AF%9B%E6%A8%B9" TargetMode="External" /><Relationship Id="rId54" Type="http://schemas.openxmlformats.org/officeDocument/2006/relationships/hyperlink" Target="https://baseball-data.com/player/t/%E5%B0%8F%E9%87%8E%E5%AF%BA%E3%80%80%E6%9A%96" TargetMode="External" /><Relationship Id="rId217" Type="http://schemas.openxmlformats.org/officeDocument/2006/relationships/hyperlink" Target="https://baseball-data.com/player/g/%E4%B8%AD%E5%B1%B1%E3%80%80%E7%A4%BC%E9%83%BD" TargetMode="External" /><Relationship Id="rId564" Type="http://schemas.openxmlformats.org/officeDocument/2006/relationships/hyperlink" Target="https://baseball-data.com/player/h/%E6%9D%BE%E6%9C%AC%E3%80%80%E8%A3%95%E6%A8%B9" TargetMode="External" /><Relationship Id="rId771" Type="http://schemas.openxmlformats.org/officeDocument/2006/relationships/hyperlink" Target="https://baseball-data.com/player/bs/%E9%87%8E%E4%B8%8A%E3%80%80%E5%A3%AB%E8%80%80" TargetMode="External" /><Relationship Id="rId869" Type="http://schemas.openxmlformats.org/officeDocument/2006/relationships/hyperlink" Target="https://baseball-data.com/player/e/%E5%B9%8C%E6%9D%91%E3%80%80%E9%BB%9B%E6%B1%B0" TargetMode="External" /><Relationship Id="rId424" Type="http://schemas.openxmlformats.org/officeDocument/2006/relationships/hyperlink" Target="https://baseball-data.com/player/s/%E8%B5%A4%E7%BE%BD%E3%80%80%E7%94%B1%E7%B4%98" TargetMode="External" /><Relationship Id="rId631" Type="http://schemas.openxmlformats.org/officeDocument/2006/relationships/hyperlink" Target="https://baseball-data.com/player/f/%E5%8A%A0%E8%97%A4%E3%80%80%E8%B2%B4%E4%B9%8B" TargetMode="External" /><Relationship Id="rId729" Type="http://schemas.openxmlformats.org/officeDocument/2006/relationships/hyperlink" Target="https://baseball-data.com/player/bs/%E7%B4%85%E6%9E%97%E3%80%80%E5%BC%98%E5%A4%AA%E9%83%8E" TargetMode="External" /><Relationship Id="rId1054" Type="http://schemas.openxmlformats.org/officeDocument/2006/relationships/hyperlink" Target="https://baseball-data.com/player/m/%E8%8C%A8%E6%9C%A8%E3%80%80%E4%BD%91%E5%A4%AA" TargetMode="External" /><Relationship Id="rId270" Type="http://schemas.openxmlformats.org/officeDocument/2006/relationships/hyperlink" Target="https://baseball-data.com/player/d/%E6%9D%91%E6%9D%BE%E3%80%80%E9%96%8B%E4%BA%BA" TargetMode="External" /><Relationship Id="rId936" Type="http://schemas.openxmlformats.org/officeDocument/2006/relationships/hyperlink" Target="https://baseball-data.com/player/l/%E5%B2%B8%E3%80%80%E6%BD%A4%E4%B8%80%E9%83%8E" TargetMode="External" /><Relationship Id="rId65" Type="http://schemas.openxmlformats.org/officeDocument/2006/relationships/hyperlink" Target="https://baseball-data.com/player/t/%E7%A6%8F%E5%B3%B6%E3%80%80%E5%9C%AD%E9%9F%B3" TargetMode="External" /><Relationship Id="rId130" Type="http://schemas.openxmlformats.org/officeDocument/2006/relationships/hyperlink" Target="https://baseball-data.com/player/yb/%E4%BA%95%E4%B8%8A%E3%80%80%E7%B5%A2%E7%99%BB" TargetMode="External" /><Relationship Id="rId368" Type="http://schemas.openxmlformats.org/officeDocument/2006/relationships/hyperlink" Target="https://baseball-data.com/player/c/%E7%9F%B3%E5%8E%9F%E3%80%80%E8%B2%B4%E8%A6%8F" TargetMode="External" /><Relationship Id="rId575" Type="http://schemas.openxmlformats.org/officeDocument/2006/relationships/hyperlink" Target="https://baseball-data.com/player/h/%E5%A4%A7%E6%B3%89%E3%80%80%E5%91%A8%E4%B9%9F" TargetMode="External" /><Relationship Id="rId782" Type="http://schemas.openxmlformats.org/officeDocument/2006/relationships/hyperlink" Target="https://baseball-data.com/player/bs/%E6%89%8D%E6%9C%A8%E3%80%80%E6%B5%B7%E7%BF%94" TargetMode="External" /><Relationship Id="rId228" Type="http://schemas.openxmlformats.org/officeDocument/2006/relationships/hyperlink" Target="https://baseball-data.com/player/g/%E3%83%AB%E3%82%B7%E3%82%A2%E3%83%BC%E3%83%8E" TargetMode="External" /><Relationship Id="rId435" Type="http://schemas.openxmlformats.org/officeDocument/2006/relationships/hyperlink" Target="https://baseball-data.com/player/s/%E7%9F%B3%E5%B1%B1%E3%80%80%E6%B3%B0%E7%A8%9A" TargetMode="External" /><Relationship Id="rId642" Type="http://schemas.openxmlformats.org/officeDocument/2006/relationships/hyperlink" Target="https://baseball-data.com/player/f/%E5%A4%A7%E5%B7%9D%E3%80%80%E6%85%88%E8%8B%B1" TargetMode="External" /><Relationship Id="rId281" Type="http://schemas.openxmlformats.org/officeDocument/2006/relationships/hyperlink" Target="https://baseball-data.com/player/d/%E9%87%91%E4%B8%B8%E3%80%80%E5%A4%A2%E6%96%97" TargetMode="External" /><Relationship Id="rId502" Type="http://schemas.openxmlformats.org/officeDocument/2006/relationships/hyperlink" Target="https://baseball-data.com/player/h/%E5%B7%9D%E7%80%AC%E3%80%80%E6%99%83" TargetMode="External" /><Relationship Id="rId947" Type="http://schemas.openxmlformats.org/officeDocument/2006/relationships/hyperlink" Target="https://baseball-data.com/player/l/%E4%BD%90%E3%80%85%E6%9C%A8%E3%80%80%E5%81%A5" TargetMode="External" /><Relationship Id="rId76" Type="http://schemas.openxmlformats.org/officeDocument/2006/relationships/hyperlink" Target="https://baseball-data.com/player/t/%E5%B1%B1%EF%A8%91%E3%80%80%E7%85%A7%E8%8B%B1" TargetMode="External" /><Relationship Id="rId141" Type="http://schemas.openxmlformats.org/officeDocument/2006/relationships/hyperlink" Target="https://baseball-data.com/player/yb/%E9%AB%98%E8%A6%8B%E6%BE%A4%E3%80%80%E9%83%81%E9%AD%85" TargetMode="External" /><Relationship Id="rId379" Type="http://schemas.openxmlformats.org/officeDocument/2006/relationships/hyperlink" Target="https://baseball-data.com/player/c/%E6%9E%97%E3%80%80%E6%99%83%E6%B1%B0" TargetMode="External" /><Relationship Id="rId586" Type="http://schemas.openxmlformats.org/officeDocument/2006/relationships/hyperlink" Target="https://baseball-data.com/player/h/%E6%9D%91%E7%94%B0%E3%80%80%E8%B3%A2%E4%B8%80" TargetMode="External" /><Relationship Id="rId793" Type="http://schemas.openxmlformats.org/officeDocument/2006/relationships/hyperlink" Target="https://baseball-data.com/player/bs/%E6%B2%B3%E5%86%85%E3%80%80%E5%BA%B7%E4%BB%8B" TargetMode="External" /><Relationship Id="rId807" Type="http://schemas.openxmlformats.org/officeDocument/2006/relationships/hyperlink" Target="https://baseball-data.com/player/e/%E8%8D%98%E5%8F%B8%E3%80%80%E5%BA%B7%E8%AA%A0" TargetMode="External" /><Relationship Id="rId7" Type="http://schemas.openxmlformats.org/officeDocument/2006/relationships/hyperlink" Target="https://baseball-data.com/player/t/%E8%BF%91%E6%9C%AC%E3%80%80%E5%85%89%E5%8F%B8" TargetMode="External" /><Relationship Id="rId239" Type="http://schemas.openxmlformats.org/officeDocument/2006/relationships/hyperlink" Target="https://baseball-data.com/player/g/%E8%88%B9%E8%BF%AB%E3%80%80%E5%A4%A7%E9%9B%85" TargetMode="External" /><Relationship Id="rId446" Type="http://schemas.openxmlformats.org/officeDocument/2006/relationships/hyperlink" Target="https://baseball-data.com/player/s/%E7%9F%B3%E5%B7%9D%E3%80%80%E9%9B%85%E8%A6%8F" TargetMode="External" /><Relationship Id="rId653" Type="http://schemas.openxmlformats.org/officeDocument/2006/relationships/hyperlink" Target="https://baseball-data.com/player/f/%E3%83%AA%E3%83%B3" TargetMode="External" /><Relationship Id="rId292" Type="http://schemas.openxmlformats.org/officeDocument/2006/relationships/hyperlink" Target="https://baseball-data.com/player/d/%E6%9D%89%E6%B5%A6%E3%80%80%E7%A8%94%E5%A4%A7" TargetMode="External" /><Relationship Id="rId306" Type="http://schemas.openxmlformats.org/officeDocument/2006/relationships/hyperlink" Target="https://baseball-data.com/player/d/%E5%8A%A0%E8%97%A4%E3%80%80%E5%8C%A0%E9%A6%AC" TargetMode="External" /><Relationship Id="rId860" Type="http://schemas.openxmlformats.org/officeDocument/2006/relationships/hyperlink" Target="https://baseball-data.com/player/e/%E6%9F%B4%E7%94%B0%E3%80%80%E5%A4%A7%E5%9C%B0" TargetMode="External" /><Relationship Id="rId958" Type="http://schemas.openxmlformats.org/officeDocument/2006/relationships/hyperlink" Target="https://baseball-data.com/player/l/%E5%B7%9D%E4%B8%8B%E3%80%80%E5%B0%86%E5%8B%B2" TargetMode="External" /><Relationship Id="rId87" Type="http://schemas.openxmlformats.org/officeDocument/2006/relationships/hyperlink" Target="https://baseball-data.com/player/yb/%E4%BD%90%E9%87%8E%E3%80%80%E6%81%B5%E5%A4%AA" TargetMode="External" /><Relationship Id="rId513" Type="http://schemas.openxmlformats.org/officeDocument/2006/relationships/hyperlink" Target="https://baseball-data.com/player/h/%E6%B4%A5%E6%A3%AE%E3%80%80%E5%AE%A5%E7%B4%80" TargetMode="External" /><Relationship Id="rId597" Type="http://schemas.openxmlformats.org/officeDocument/2006/relationships/hyperlink" Target="https://baseball-data.com/player/h/%E5%B1%B1%E5%B4%8E%E3%80%80%E7%90%A2%E7%A3%A8" TargetMode="External" /><Relationship Id="rId720" Type="http://schemas.openxmlformats.org/officeDocument/2006/relationships/hyperlink" Target="https://baseball-data.com/player/bs/%E6%A4%8B%E6%9C%A8%E3%80%80%E8%93%AE" TargetMode="External" /><Relationship Id="rId818" Type="http://schemas.openxmlformats.org/officeDocument/2006/relationships/hyperlink" Target="https://baseball-data.com/player/e/%E5%BE%B7%E5%B1%B1%E3%80%80%E4%B8%80%E7%BF%94" TargetMode="External" /><Relationship Id="rId152" Type="http://schemas.openxmlformats.org/officeDocument/2006/relationships/hyperlink" Target="https://baseball-data.com/player/yb/%E9%87%91%E6%B8%95%E3%80%80%E5%85%89%E5%B8%8C" TargetMode="External" /><Relationship Id="rId457" Type="http://schemas.openxmlformats.org/officeDocument/2006/relationships/hyperlink" Target="https://baseball-data.com/player/s/%E4%B8%AD%E5%B7%9D%E3%80%80%E6%8B%93%E7%9C%9F" TargetMode="External" /><Relationship Id="rId1003" Type="http://schemas.openxmlformats.org/officeDocument/2006/relationships/hyperlink" Target="https://baseball-data.com/player/m/%E4%BD%90%E8%97%A4%E3%80%80%E9%83%BD%E5%BF%97%E4%B9%9F" TargetMode="External" /><Relationship Id="rId664" Type="http://schemas.openxmlformats.org/officeDocument/2006/relationships/hyperlink" Target="https://baseball-data.com/player/f/%E5%A4%A7%E5%A1%9A%E3%80%80%E7%91%A0%E6%99%8F" TargetMode="External" /><Relationship Id="rId871" Type="http://schemas.openxmlformats.org/officeDocument/2006/relationships/hyperlink" Target="https://baseball-data.com/player/e/%E5%B2%B8%E6%9C%AC%E3%80%80%E4%BD%91%E4%B9%9F" TargetMode="External" /><Relationship Id="rId969" Type="http://schemas.openxmlformats.org/officeDocument/2006/relationships/hyperlink" Target="https://baseball-data.com/player/l/%E3%83%A0%E3%82%B5" TargetMode="External" /><Relationship Id="rId14" Type="http://schemas.openxmlformats.org/officeDocument/2006/relationships/hyperlink" Target="https://baseball-data.com/player/t/%E8%A5%BF%E3%80%80%E5%8B%87%E8%BC%9D" TargetMode="External" /><Relationship Id="rId317" Type="http://schemas.openxmlformats.org/officeDocument/2006/relationships/hyperlink" Target="https://baseball-data.com/player/d/%E5%B1%B1%E6%9C%AC%E3%80%80%E6%B3%B0%E5%AF%9B" TargetMode="External" /><Relationship Id="rId524" Type="http://schemas.openxmlformats.org/officeDocument/2006/relationships/hyperlink" Target="https://baseball-data.com/player/h/%E6%A0%97%E5%8E%9F%E3%80%80%E9%99%B5%E7%9F%A2" TargetMode="External" /><Relationship Id="rId731" Type="http://schemas.openxmlformats.org/officeDocument/2006/relationships/hyperlink" Target="https://baseball-data.com/player/bs/%E9%BD%8B%E8%97%A4%E3%80%80%E9%9F%BF%E4%BB%8B" TargetMode="External" /><Relationship Id="rId98" Type="http://schemas.openxmlformats.org/officeDocument/2006/relationships/hyperlink" Target="https://baseball-data.com/player/yb/%E5%B1%B1%EF%A8%91%E3%80%80%E5%BA%B7%E6%99%83" TargetMode="External" /><Relationship Id="rId163" Type="http://schemas.openxmlformats.org/officeDocument/2006/relationships/hyperlink" Target="https://baseball-data.com/player/g/%E5%A2%97%E7%94%B0%E3%80%80%E5%A4%A7%E8%BC%9D" TargetMode="External" /><Relationship Id="rId370" Type="http://schemas.openxmlformats.org/officeDocument/2006/relationships/hyperlink" Target="https://baseball-data.com/player/c/%E9%AB%98%E6%A9%8B%E3%80%80%E6%98%82%E4%B9%9F" TargetMode="External" /><Relationship Id="rId829" Type="http://schemas.openxmlformats.org/officeDocument/2006/relationships/hyperlink" Target="https://baseball-data.com/player/e/%E5%8A%A0%E6%B2%BB%E5%B1%8B%E3%80%80%E8%93%AE" TargetMode="External" /><Relationship Id="rId1014" Type="http://schemas.openxmlformats.org/officeDocument/2006/relationships/hyperlink" Target="https://baseball-data.com/player/m/%E7%9F%B3%E5%9E%A3%E3%80%80%E5%8B%9D%E6%B5%B7" TargetMode="External" /><Relationship Id="rId230" Type="http://schemas.openxmlformats.org/officeDocument/2006/relationships/hyperlink" Target="https://baseball-data.com/player/g/%E3%83%90%E3%83%AB%E3%83%89%E3%83%8A%E3%83%BC%E3%83%89" TargetMode="External" /><Relationship Id="rId468" Type="http://schemas.openxmlformats.org/officeDocument/2006/relationships/hyperlink" Target="https://baseball-data.com/player/s/%E7%9F%B3%E4%BA%95%E3%80%80%E5%B7%A7" TargetMode="External" /><Relationship Id="rId675" Type="http://schemas.openxmlformats.org/officeDocument/2006/relationships/hyperlink" Target="https://baseball-data.com/player/f/%E4%BB%8A%E5%B7%9D%E3%80%80%E5%84%AA%E9%A6%AC" TargetMode="External" /><Relationship Id="rId882" Type="http://schemas.openxmlformats.org/officeDocument/2006/relationships/hyperlink" Target="https://baseball-data.com/player/l/%E6%B8%A1%E9%83%A8%E3%80%80%E8%81%96%E5%BC%A5" TargetMode="External" /><Relationship Id="rId25" Type="http://schemas.openxmlformats.org/officeDocument/2006/relationships/hyperlink" Target="https://baseball-data.com/player/t/%E9%96%80%E5%88%A5%E3%80%80%E5%95%93%E4%BA%BA" TargetMode="External" /><Relationship Id="rId328" Type="http://schemas.openxmlformats.org/officeDocument/2006/relationships/hyperlink" Target="https://baseball-data.com/player/d/%E6%9D%BE%E5%B1%B1%E3%80%80%E6%99%8B%E4%B9%9F" TargetMode="External" /><Relationship Id="rId535" Type="http://schemas.openxmlformats.org/officeDocument/2006/relationships/hyperlink" Target="https://baseball-data.com/player/h/%E3%83%A2%E3%82%A4%E3%83%8D%E3%83%AD" TargetMode="External" /><Relationship Id="rId742" Type="http://schemas.openxmlformats.org/officeDocument/2006/relationships/hyperlink" Target="https://baseball-data.com/player/bs/%E7%9F%B3%E5%B7%9D%E3%80%80%E4%BA%AE" TargetMode="External" /><Relationship Id="rId174" Type="http://schemas.openxmlformats.org/officeDocument/2006/relationships/hyperlink" Target="https://baseball-data.com/player/g/%E7%94%B2%E6%96%90%E3%80%80%E6%8B%93%E4%B9%9F" TargetMode="External" /><Relationship Id="rId381" Type="http://schemas.openxmlformats.org/officeDocument/2006/relationships/hyperlink" Target="https://baseball-data.com/player/c/%E9%AB%99%E6%9C%A8%E3%80%80%E5%BF%AB%E5%A4%A7" TargetMode="External" /><Relationship Id="rId602" Type="http://schemas.openxmlformats.org/officeDocument/2006/relationships/hyperlink" Target="https://baseball-data.com/player/h/%E7%94%9F%E6%B5%B7" TargetMode="External" /><Relationship Id="rId1025" Type="http://schemas.openxmlformats.org/officeDocument/2006/relationships/hyperlink" Target="https://baseball-data.com/player/m/%E6%BE%A4%E7%94%B0%E3%80%80%E5%9C%AD%E4%BD%91" TargetMode="External" /><Relationship Id="rId241" Type="http://schemas.openxmlformats.org/officeDocument/2006/relationships/hyperlink" Target="https://baseball-data.com/player/g/%E8%8D%92%E5%B7%BB%E3%80%80%E6%82%A0" TargetMode="External" /><Relationship Id="rId479" Type="http://schemas.openxmlformats.org/officeDocument/2006/relationships/hyperlink" Target="https://baseball-data.com/player/s/%E9%88%B4%E6%9C%A8%E3%80%80%E8%93%AE%E5%90%BE" TargetMode="External" /><Relationship Id="rId686" Type="http://schemas.openxmlformats.org/officeDocument/2006/relationships/hyperlink" Target="https://baseball-data.com/player/f/%E5%AD%AB%E3%80%80%E6%98%93%E7%A3%8A" TargetMode="External" /><Relationship Id="rId893" Type="http://schemas.openxmlformats.org/officeDocument/2006/relationships/hyperlink" Target="https://baseball-data.com/player/l/%E6%AD%A6%E5%86%85%E3%80%80%E5%A4%8F%E6%9A%89" TargetMode="External" /><Relationship Id="rId907" Type="http://schemas.openxmlformats.org/officeDocument/2006/relationships/hyperlink" Target="https://baseball-data.com/player/l/%E5%B1%B1%E7%94%B0%E3%80%80%E9%99%BD%E7%BF%94" TargetMode="External" /><Relationship Id="rId36" Type="http://schemas.openxmlformats.org/officeDocument/2006/relationships/hyperlink" Target="https://baseball-data.com/player/t/%E3%83%AB%E3%83%BC%E3%82%AB%E3%82%B9" TargetMode="External" /><Relationship Id="rId339" Type="http://schemas.openxmlformats.org/officeDocument/2006/relationships/hyperlink" Target="https://baseball-data.com/player/d/%E6%A2%85%E6%B4%A5%E3%80%80%E6%99%83%E5%A4%A7" TargetMode="External" /><Relationship Id="rId546" Type="http://schemas.openxmlformats.org/officeDocument/2006/relationships/hyperlink" Target="https://baseball-data.com/player/h/%E8%97%A4%E4%BA%95%E3%80%80%E7%9A%93%E5%93%89" TargetMode="External" /><Relationship Id="rId753" Type="http://schemas.openxmlformats.org/officeDocument/2006/relationships/hyperlink" Target="https://baseball-data.com/player/bs/%E3%82%B7%E3%83%BC%E3%83%A2%E3%82%A2" TargetMode="External" /><Relationship Id="rId101" Type="http://schemas.openxmlformats.org/officeDocument/2006/relationships/hyperlink" Target="https://baseball-data.com/player/yb/%E5%90%89%E9%87%8E%E3%80%80%E5%85%89%E6%A8%B9" TargetMode="External" /><Relationship Id="rId185" Type="http://schemas.openxmlformats.org/officeDocument/2006/relationships/hyperlink" Target="https://baseball-data.com/player/g/%E5%B1%B1%EF%A8%91%E3%80%80%E4%BC%8A%E7%B9%94" TargetMode="External" /><Relationship Id="rId406" Type="http://schemas.openxmlformats.org/officeDocument/2006/relationships/hyperlink" Target="https://baseball-data.com/player/c/%E5%89%8D%E5%B7%9D%E3%80%80%E8%AA%A0%E5%A4%AA" TargetMode="External" /><Relationship Id="rId960" Type="http://schemas.openxmlformats.org/officeDocument/2006/relationships/hyperlink" Target="https://baseball-data.com/player/l/%E6%9C%A8%E7%80%AC%E3%80%80%E7%BF%94%E5%A4%AA" TargetMode="External" /><Relationship Id="rId1036" Type="http://schemas.openxmlformats.org/officeDocument/2006/relationships/hyperlink" Target="https://baseball-data.com/player/m/%E5%AF%BA%E5%9C%B0%E3%80%80%E9%9A%86%E6%88%90" TargetMode="External" /><Relationship Id="rId392" Type="http://schemas.openxmlformats.org/officeDocument/2006/relationships/hyperlink" Target="https://baseball-data.com/player/c/%E4%BB%B2%E7%94%B0%E3%80%80%E4%BE%91%E4%BB%81" TargetMode="External" /><Relationship Id="rId613" Type="http://schemas.openxmlformats.org/officeDocument/2006/relationships/hyperlink" Target="https://baseball-data.com/player/h/%E9%A3%9B%E7%94%B0%E3%80%80%E6%82%A0%E6%88%90" TargetMode="External" /><Relationship Id="rId697" Type="http://schemas.openxmlformats.org/officeDocument/2006/relationships/hyperlink" Target="https://baseball-data.com/player/f/%E5%B1%B1%E5%8F%A3%E3%80%80%E3%82%A2%E3%82%BF%E3%83%AB" TargetMode="External" /><Relationship Id="rId820" Type="http://schemas.openxmlformats.org/officeDocument/2006/relationships/hyperlink" Target="https://baseball-data.com/player/e/%E7%B9%81%E6%B0%B8%E3%80%80%E6%99%9F" TargetMode="External" /><Relationship Id="rId918" Type="http://schemas.openxmlformats.org/officeDocument/2006/relationships/hyperlink" Target="https://baseball-data.com/player/l/%E9%AB%99%E6%9D%BE%E3%80%80%E6%B8%A1" TargetMode="External" /><Relationship Id="rId252" Type="http://schemas.openxmlformats.org/officeDocument/2006/relationships/hyperlink" Target="https://baseball-data.com/player/g/%E5%B9%B3%E5%B1%B1%E3%80%80%E5%8A%9F%E5%A4%AA" TargetMode="External" /><Relationship Id="rId47" Type="http://schemas.openxmlformats.org/officeDocument/2006/relationships/hyperlink" Target="https://baseball-data.com/player/t/%E5%B3%B6%E7%94%B0%E3%80%80%E6%B5%B7%E5%90%8F" TargetMode="External" /><Relationship Id="rId112" Type="http://schemas.openxmlformats.org/officeDocument/2006/relationships/hyperlink" Target="https://baseball-data.com/player/yb/%E5%B0%BE%E5%BD%A2%E3%80%80%E5%B4%87%E6%96%97" TargetMode="External" /><Relationship Id="rId557" Type="http://schemas.openxmlformats.org/officeDocument/2006/relationships/hyperlink" Target="https://baseball-data.com/player/h/%E5%A4%A7%E7%AB%B9%E3%80%80%E9%A2%A8%E9%9B%85" TargetMode="External" /><Relationship Id="rId764" Type="http://schemas.openxmlformats.org/officeDocument/2006/relationships/hyperlink" Target="https://baseball-data.com/player/bs/%E5%AF%BA%E6%9C%AC%E3%80%80%E8%81%96%E4%B8%80" TargetMode="External" /><Relationship Id="rId971" Type="http://schemas.openxmlformats.org/officeDocument/2006/relationships/hyperlink" Target="https://baseball-data.com/player/l/%E3%82%AB%E3%83%AB%E3%83%AD%E3%82%B9" TargetMode="External" /><Relationship Id="rId196" Type="http://schemas.openxmlformats.org/officeDocument/2006/relationships/hyperlink" Target="https://baseball-data.com/player/g/%E5%9D%82%E6%9C%AC%E3%80%80%E9%81%94%E4%B9%9F" TargetMode="External" /><Relationship Id="rId417" Type="http://schemas.openxmlformats.org/officeDocument/2006/relationships/hyperlink" Target="https://baseball-data.com/player/c/%E7%AB%B9%E4%B8%8B%E3%80%80%E6%B5%B7%E6%96%97" TargetMode="External" /><Relationship Id="rId624" Type="http://schemas.openxmlformats.org/officeDocument/2006/relationships/hyperlink" Target="https://baseball-data.com/player/f/%E3%82%AB%E3%82%B9%E3%83%88%E3%83%AD" TargetMode="External" /><Relationship Id="rId831" Type="http://schemas.openxmlformats.org/officeDocument/2006/relationships/hyperlink" Target="https://baseball-data.com/player/e/%E5%AE%8B%E3%80%80%E5%AE%B6%E8%B1%AA" TargetMode="External" /><Relationship Id="rId1047" Type="http://schemas.openxmlformats.org/officeDocument/2006/relationships/hyperlink" Target="https://baseball-data.com/player/m/%E7%A7%8B%E5%B1%B1%E3%80%80%E6%AD%A3%E9%9B%B2" TargetMode="External" /><Relationship Id="rId263" Type="http://schemas.openxmlformats.org/officeDocument/2006/relationships/hyperlink" Target="https://baseball-data.com/player/g/%E4%BA%AC%E6%9C%AC%E3%80%80%E7%9C%9E" TargetMode="External" /><Relationship Id="rId470" Type="http://schemas.openxmlformats.org/officeDocument/2006/relationships/hyperlink" Target="https://baseball-data.com/player/s/%E9%AB%98%E6%A2%A8%E3%80%80%E8%A3%95%E7%A8%94" TargetMode="External" /><Relationship Id="rId929" Type="http://schemas.openxmlformats.org/officeDocument/2006/relationships/hyperlink" Target="https://baseball-data.com/player/l/%E5%B9%B3%E8%89%AF%E3%80%80%E6%B5%B7%E9%A6%AC" TargetMode="External" /><Relationship Id="rId58" Type="http://schemas.openxmlformats.org/officeDocument/2006/relationships/hyperlink" Target="https://baseball-data.com/player/t/%E5%B2%A1%E7%95%99%E3%80%80%E8%8B%B1%E8%B2%B4" TargetMode="External" /><Relationship Id="rId123" Type="http://schemas.openxmlformats.org/officeDocument/2006/relationships/hyperlink" Target="https://baseball-data.com/player/yb/%E7%89%87%E5%B1%B1%E3%80%80%E7%9A%93%E5%BF%83" TargetMode="External" /><Relationship Id="rId330" Type="http://schemas.openxmlformats.org/officeDocument/2006/relationships/hyperlink" Target="https://baseball-data.com/player/d/%E3%83%9E%E3%83%A9%E3%83%BC" TargetMode="External" /><Relationship Id="rId568" Type="http://schemas.openxmlformats.org/officeDocument/2006/relationships/hyperlink" Target="https://baseball-data.com/player/h/%E5%B1%B1%E6%9C%AC%E3%80%80%E6%81%B5%E5%A4%A7" TargetMode="External" /><Relationship Id="rId775" Type="http://schemas.openxmlformats.org/officeDocument/2006/relationships/hyperlink" Target="https://baseball-data.com/player/bs/%E5%8D%9A%E5%BF%97" TargetMode="External" /><Relationship Id="rId982" Type="http://schemas.openxmlformats.org/officeDocument/2006/relationships/hyperlink" Target="https://baseball-data.com/player/m/%E8%A5%BF%E5%B7%9D%E3%80%80%E5%8F%B2%E7%A4%81" TargetMode="External" /><Relationship Id="rId428" Type="http://schemas.openxmlformats.org/officeDocument/2006/relationships/hyperlink" Target="https://baseball-data.com/player/s/%E4%B8%B8%E5%B1%B1%E3%80%80%E5%92%8C%E9%83%81" TargetMode="External" /><Relationship Id="rId635" Type="http://schemas.openxmlformats.org/officeDocument/2006/relationships/hyperlink" Target="https://baseball-data.com/player/f/%E5%B1%B1%EF%A8%91%E3%80%80%E7%A6%8F%E4%B9%9F" TargetMode="External" /><Relationship Id="rId842" Type="http://schemas.openxmlformats.org/officeDocument/2006/relationships/hyperlink" Target="https://baseball-data.com/player/e/%E6%97%A5%E7%95%B6%E3%80%80%E7%9B%B4%E5%96%9C" TargetMode="External" /><Relationship Id="rId1058" Type="http://schemas.openxmlformats.org/officeDocument/2006/relationships/hyperlink" Target="https://baseball-data.com/player/m/%E9%AB%99%E9%87%8E%E3%80%80%E5%85%89%E6%B5%B7" TargetMode="External" /><Relationship Id="rId274" Type="http://schemas.openxmlformats.org/officeDocument/2006/relationships/hyperlink" Target="https://baseball-data.com/player/d/%E4%B8%AD%E8%A5%BF%E3%80%80%E8%81%96%E8%BC%9D" TargetMode="External" /><Relationship Id="rId481" Type="http://schemas.openxmlformats.org/officeDocument/2006/relationships/hyperlink" Target="https://baseball-data.com/player/s/%E6%A9%8B%E6%9C%AC%E3%80%80%E6%98%9F%E5%93%89" TargetMode="External" /><Relationship Id="rId702" Type="http://schemas.openxmlformats.org/officeDocument/2006/relationships/hyperlink" Target="https://baseball-data.com/player/bs/%E3%82%A8%E3%82%B9%E3%83%94%E3%83%8E%E3%83%BC%E3%82%B6" TargetMode="External" /><Relationship Id="rId69" Type="http://schemas.openxmlformats.org/officeDocument/2006/relationships/hyperlink" Target="https://baseball-data.com/player/t/%E3%83%89%E3%83%AA%E3%82%B9" TargetMode="External" /><Relationship Id="rId134" Type="http://schemas.openxmlformats.org/officeDocument/2006/relationships/hyperlink" Target="https://baseball-data.com/player/yb/%E5%B9%B3%E8%89%AF%E3%80%80%E6%8B%B3%E5%A4%AA%E9%83%8E" TargetMode="External" /><Relationship Id="rId579" Type="http://schemas.openxmlformats.org/officeDocument/2006/relationships/hyperlink" Target="https://baseball-data.com/player/h/%E5%BA%83%E7%80%AC%E3%80%80%E7%B5%90%E7%85%8C" TargetMode="External" /><Relationship Id="rId786" Type="http://schemas.openxmlformats.org/officeDocument/2006/relationships/hyperlink" Target="https://baseball-data.com/player/bs/%E5%B0%8F%E6%9C%A8%E7%94%B0%E3%80%80%E6%95%A6%E4%B9%9F" TargetMode="External" /><Relationship Id="rId993" Type="http://schemas.openxmlformats.org/officeDocument/2006/relationships/hyperlink" Target="https://baseball-data.com/player/m/%E7%9F%B3%E5%B7%9D%E3%80%80%E6%9F%8A%E5%A4%AA" TargetMode="External" /><Relationship Id="rId341" Type="http://schemas.openxmlformats.org/officeDocument/2006/relationships/hyperlink" Target="https://baseball-data.com/player/d/%E7%9F%B3%E5%B7%9D%E3%80%80%E5%A4%A7%E5%B3%A8" TargetMode="External" /><Relationship Id="rId439" Type="http://schemas.openxmlformats.org/officeDocument/2006/relationships/hyperlink" Target="https://baseball-data.com/player/s/%E5%B0%8F%E5%AE%AE%E3%80%80%E6%82%A0%E7%9E%B3" TargetMode="External" /><Relationship Id="rId646" Type="http://schemas.openxmlformats.org/officeDocument/2006/relationships/hyperlink" Target="https://baseball-data.com/player/f/%E6%9F%B4%E7%94%B0%E3%80%80%E7%8D%85%E5%AD%90" TargetMode="External" /><Relationship Id="rId201" Type="http://schemas.openxmlformats.org/officeDocument/2006/relationships/hyperlink" Target="https://baseball-data.com/player/g/%E5%B2%B8%E7%94%B0%E3%80%80%E8%A1%8C%E5%80%AB" TargetMode="External" /><Relationship Id="rId285" Type="http://schemas.openxmlformats.org/officeDocument/2006/relationships/hyperlink" Target="https://baseball-data.com/player/d/%E7%9F%B3%E5%B7%9D%E3%80%80%E6%98%82%E5%BC%A5" TargetMode="External" /><Relationship Id="rId506" Type="http://schemas.openxmlformats.org/officeDocument/2006/relationships/hyperlink" Target="https://baseball-data.com/player/h/%E3%83%80%E3%82%A6%E3%83%B3%E3%82%BA" TargetMode="External" /><Relationship Id="rId853" Type="http://schemas.openxmlformats.org/officeDocument/2006/relationships/hyperlink" Target="https://baseball-data.com/player/e/%E6%9E%97%E3%80%80%E5%84%AA%E6%A8%B9" TargetMode="External" /><Relationship Id="rId492" Type="http://schemas.openxmlformats.org/officeDocument/2006/relationships/hyperlink" Target="https://baseball-data.com/player/s/%E9%88%B4%E6%9C%A8%E3%80%80%E5%8F%B6" TargetMode="External" /><Relationship Id="rId713" Type="http://schemas.openxmlformats.org/officeDocument/2006/relationships/hyperlink" Target="https://baseball-data.com/player/bs/%E8%A5%BF%E5%B7%9D%E3%80%80%E9%BE%8D%E9%A6%AC" TargetMode="External" /><Relationship Id="rId797" Type="http://schemas.openxmlformats.org/officeDocument/2006/relationships/hyperlink" Target="https://baseball-data.com/player/e/%E6%B5%85%E6%9D%91%E3%80%80%E6%A0%84%E6%96%97" TargetMode="External" /><Relationship Id="rId920" Type="http://schemas.openxmlformats.org/officeDocument/2006/relationships/hyperlink" Target="https://baseball-data.com/player/l/%E7%AF%A0%E5%8E%9F%E3%80%80%E9%9F%BF" TargetMode="External" /><Relationship Id="rId145" Type="http://schemas.openxmlformats.org/officeDocument/2006/relationships/hyperlink" Target="https://baseball-data.com/player/yb/%E5%A0%80%E5%B2%A1%E3%80%80%E9%9A%BC%E4%BA%BA" TargetMode="External" /><Relationship Id="rId352" Type="http://schemas.openxmlformats.org/officeDocument/2006/relationships/hyperlink" Target="https://baseball-data.com/player/c/%E6%A3%AE%E6%B5%A6%E3%80%80%E5%A4%A7%E8%BC%94" TargetMode="External" /><Relationship Id="rId212" Type="http://schemas.openxmlformats.org/officeDocument/2006/relationships/hyperlink" Target="https://baseball-data.com/player/g/%E6%B3%89%E5%8F%A3%E3%80%80%E5%8F%8B%E6%B1%B0" TargetMode="External" /><Relationship Id="rId657" Type="http://schemas.openxmlformats.org/officeDocument/2006/relationships/hyperlink" Target="https://baseball-data.com/player/f/%E3%82%A8%E3%83%89%E3%83%9D%E3%83%AD%E3%80%80%E3%82%B1%E3%82%A4%E3%83%B3" TargetMode="External" /><Relationship Id="rId864" Type="http://schemas.openxmlformats.org/officeDocument/2006/relationships/hyperlink" Target="https://baseball-data.com/player/e/%E5%90%89%E9%87%8E%E3%80%80%E5%89%B5%E5%A3%AB" TargetMode="External" /><Relationship Id="rId296" Type="http://schemas.openxmlformats.org/officeDocument/2006/relationships/hyperlink" Target="https://baseball-data.com/player/d/%E6%9D%BE%E8%91%89%E3%80%80%E8%B2%B4%E5%A4%A7" TargetMode="External" /><Relationship Id="rId517" Type="http://schemas.openxmlformats.org/officeDocument/2006/relationships/hyperlink" Target="https://baseball-data.com/player/h/%E6%9D%B1%E6%B5%9C%E3%80%80%E5%B7%A8" TargetMode="External" /><Relationship Id="rId724" Type="http://schemas.openxmlformats.org/officeDocument/2006/relationships/hyperlink" Target="https://baseball-data.com/player/bs/%E5%B1%B1%E5%B2%A1%E3%80%80%E6%B3%B0%E8%BC%94" TargetMode="External" /><Relationship Id="rId931" Type="http://schemas.openxmlformats.org/officeDocument/2006/relationships/hyperlink" Target="https://baseball-data.com/player/l/%E9%95%B7%E8%B0%B7%E5%B7%9D%E3%80%80%E4%BF%A1%E5%93%89" TargetMode="External" /><Relationship Id="rId60" Type="http://schemas.openxmlformats.org/officeDocument/2006/relationships/hyperlink" Target="https://baseball-data.com/player/t/%E6%B4%A5%E7%94%B0%E3%80%80%E6%B7%B3%E5%93%89" TargetMode="External" /><Relationship Id="rId156" Type="http://schemas.openxmlformats.org/officeDocument/2006/relationships/hyperlink" Target="https://baseball-data.com/player/yb/%E8%A5%BF%E5%B7%BB%E3%80%80%E8%B3%A2%E4%BA%8C" TargetMode="External" /><Relationship Id="rId363" Type="http://schemas.openxmlformats.org/officeDocument/2006/relationships/hyperlink" Target="https://baseball-data.com/player/c/%E6%9C%83%E6%BE%A4%E3%80%80%E7%BF%BC" TargetMode="External" /><Relationship Id="rId570" Type="http://schemas.openxmlformats.org/officeDocument/2006/relationships/hyperlink" Target="https://baseball-data.com/player/h/%E5%B0%8F%E6%9E%97%E3%80%80%E6%A8%B9%E6%96%97" TargetMode="External" /><Relationship Id="rId1007" Type="http://schemas.openxmlformats.org/officeDocument/2006/relationships/hyperlink" Target="https://baseball-data.com/player/m/%E5%9D%82%E6%9C%AC%E3%80%80%E5%85%89%E5%A3%AB%E9%83%8E" TargetMode="External" /><Relationship Id="rId223" Type="http://schemas.openxmlformats.org/officeDocument/2006/relationships/hyperlink" Target="https://baseball-data.com/player/g/%E4%BD%90%E3%80%85%E6%9C%A8%E3%80%80%E4%BF%8A%E8%BC%94" TargetMode="External" /><Relationship Id="rId430" Type="http://schemas.openxmlformats.org/officeDocument/2006/relationships/hyperlink" Target="https://baseball-data.com/player/s/%E9%95%B7%E5%B2%A1%E3%80%80%E7%A7%80%E6%A8%B9" TargetMode="External" /><Relationship Id="rId668" Type="http://schemas.openxmlformats.org/officeDocument/2006/relationships/hyperlink" Target="https://baseball-data.com/player/f/%E6%B0%B4%E8%B0%B7%E3%80%80%E7%9E%AC" TargetMode="External" /><Relationship Id="rId875" Type="http://schemas.openxmlformats.org/officeDocument/2006/relationships/hyperlink" Target="https://baseball-data.com/player/l/%E4%BB%B2%E7%94%B0%E3%80%80%E6%85%B6%E4%BB%8B" TargetMode="External" /><Relationship Id="rId1060" Type="http://schemas.openxmlformats.org/officeDocument/2006/relationships/hyperlink" Target="https://baseball-data.com/player/m/%E5%AF%8C%E5%B1%B1%E3%80%80%E7%B4%98%E4%B9%8B%E9%80%B2" TargetMode="External" /><Relationship Id="rId18" Type="http://schemas.openxmlformats.org/officeDocument/2006/relationships/hyperlink" Target="https://baseball-data.com/player/t/%E5%A4%A7%E7%AB%B9%E3%80%80%E8%80%95%E5%A4%AA%E9%83%8E" TargetMode="External" /><Relationship Id="rId528" Type="http://schemas.openxmlformats.org/officeDocument/2006/relationships/hyperlink" Target="https://baseball-data.com/player/h/%E5%AE%89%E5%BE%B7%E3%80%80%E9%A7%BF" TargetMode="External" /><Relationship Id="rId735" Type="http://schemas.openxmlformats.org/officeDocument/2006/relationships/hyperlink" Target="https://baseball-data.com/player/bs/%E8%97%A4%E5%B7%9D%E3%80%80%E6%95%A6%E4%B9%9F" TargetMode="External" /><Relationship Id="rId942" Type="http://schemas.openxmlformats.org/officeDocument/2006/relationships/hyperlink" Target="https://baseball-data.com/player/l/%E6%9D%91%E7%94%B0%E3%80%80%E6%80%9C%E9%9F%B3" TargetMode="External" /><Relationship Id="rId125" Type="http://schemas.openxmlformats.org/officeDocument/2006/relationships/hyperlink" Target="https://baseball-data.com/player/yb/%E3%83%AB%E3%82%A4%E3%83%BC%E3%82%BA" TargetMode="External" /><Relationship Id="rId167" Type="http://schemas.openxmlformats.org/officeDocument/2006/relationships/hyperlink" Target="https://baseball-data.com/player/g/%E9%96%80%E8%84%87%E3%80%80%E8%AA%A0" TargetMode="External" /><Relationship Id="rId332" Type="http://schemas.openxmlformats.org/officeDocument/2006/relationships/hyperlink" Target="https://baseball-data.com/player/d/%E6%A8%8B%E5%8F%A3%E3%80%80%E6%AD%A3%E4%BF%AE" TargetMode="External" /><Relationship Id="rId374" Type="http://schemas.openxmlformats.org/officeDocument/2006/relationships/hyperlink" Target="https://baseball-data.com/player/c/%E8%B5%A4%E6%9C%A8%E3%80%80%E6%99%B4%E5%93%89" TargetMode="External" /><Relationship Id="rId581" Type="http://schemas.openxmlformats.org/officeDocument/2006/relationships/hyperlink" Target="https://baseball-data.com/player/h/%E4%BD%90%E5%80%89%E3%80%80%E4%BF%A0%E5%8F%B2%E6%9C%97" TargetMode="External" /><Relationship Id="rId777" Type="http://schemas.openxmlformats.org/officeDocument/2006/relationships/hyperlink" Target="https://baseball-data.com/player/bs/%E5%85%A5%E5%B1%B1%E3%80%80%E6%B5%B7%E6%96%97" TargetMode="External" /><Relationship Id="rId984" Type="http://schemas.openxmlformats.org/officeDocument/2006/relationships/hyperlink" Target="https://baseball-data.com/player/m/%E4%B8%AD%E6%9D%91%E3%80%80%E5%A5%A8%E5%90%BE" TargetMode="External" /><Relationship Id="rId1018" Type="http://schemas.openxmlformats.org/officeDocument/2006/relationships/hyperlink" Target="https://baseball-data.com/player/m/%E9%88%B4%E6%9C%A8%E3%80%80%E6%98%AD%E6%B1%B0" TargetMode="External" /><Relationship Id="rId71" Type="http://schemas.openxmlformats.org/officeDocument/2006/relationships/hyperlink" Target="https://baseball-data.com/player/t/%E8%A5%BF%E3%80%80%E7%B4%94%E7%9F%A2" TargetMode="External" /><Relationship Id="rId234" Type="http://schemas.openxmlformats.org/officeDocument/2006/relationships/hyperlink" Target="https://baseball-data.com/player/g/%E3%83%AA%E3%83%81%E3%83%A3%E3%83%BC%E3%83%89" TargetMode="External" /><Relationship Id="rId637" Type="http://schemas.openxmlformats.org/officeDocument/2006/relationships/hyperlink" Target="https://baseball-data.com/player/f/%E4%B8%8A%E5%8E%9F%E3%80%80%E5%81%A5%E5%A4%AA" TargetMode="External" /><Relationship Id="rId679" Type="http://schemas.openxmlformats.org/officeDocument/2006/relationships/hyperlink" Target="https://baseball-data.com/player/f/%E6%98%8E%E7%80%AC%E3%80%80%E8%AB%92%E4%BB%8B" TargetMode="External" /><Relationship Id="rId802" Type="http://schemas.openxmlformats.org/officeDocument/2006/relationships/hyperlink" Target="https://baseball-data.com/player/e/%E5%B2%B8%E3%80%80%E5%AD%9D%E4%B9%8B" TargetMode="External" /><Relationship Id="rId844" Type="http://schemas.openxmlformats.org/officeDocument/2006/relationships/hyperlink" Target="https://baseball-data.com/player/e/%E9%88%B4%E6%9C%A8%E3%80%80%E7%BF%94%E5%A4%A9" TargetMode="External" /><Relationship Id="rId886" Type="http://schemas.openxmlformats.org/officeDocument/2006/relationships/hyperlink" Target="https://baseball-data.com/player/l/%E6%B8%A1%E9%82%89%E3%80%80%E5%8B%87%E5%A4%AA%E6%9C%97" TargetMode="External" /><Relationship Id="rId2" Type="http://schemas.openxmlformats.org/officeDocument/2006/relationships/hyperlink" Target="https://baseball-data.com/player/t/%E5%85%83%E5%B1%B1%E3%80%80%E9%A3%9B%E5%84%AA" TargetMode="External" /><Relationship Id="rId29" Type="http://schemas.openxmlformats.org/officeDocument/2006/relationships/hyperlink" Target="https://baseball-data.com/player/t/%E6%89%8D%E6%9C%A8%E3%80%80%E6%B5%A9%E4%BA%BA" TargetMode="External" /><Relationship Id="rId276" Type="http://schemas.openxmlformats.org/officeDocument/2006/relationships/hyperlink" Target="https://baseball-data.com/player/d/%E8%8D%89%E5%8A%A0%E3%80%80%E5%8B%9D" TargetMode="External" /><Relationship Id="rId441" Type="http://schemas.openxmlformats.org/officeDocument/2006/relationships/hyperlink" Target="https://baseball-data.com/player/s/%E8%A5%BF%E6%BF%B1%E3%80%80%E5%8B%87%E6%98%9F" TargetMode="External" /><Relationship Id="rId483" Type="http://schemas.openxmlformats.org/officeDocument/2006/relationships/hyperlink" Target="https://baseball-data.com/player/s/%E7%94%B0%E4%B8%AD%E3%80%80%E9%99%BD%E7%BF%94" TargetMode="External" /><Relationship Id="rId539" Type="http://schemas.openxmlformats.org/officeDocument/2006/relationships/hyperlink" Target="https://baseball-data.com/player/h/%E5%89%8D%E7%94%B0%E3%80%80%E6%82%A0%E4%BC%8D" TargetMode="External" /><Relationship Id="rId690" Type="http://schemas.openxmlformats.org/officeDocument/2006/relationships/hyperlink" Target="https://baseball-data.com/player/f/%E5%8A%A0%E8%97%A4%E3%80%80%E5%A4%A7%E5%92%8C" TargetMode="External" /><Relationship Id="rId704" Type="http://schemas.openxmlformats.org/officeDocument/2006/relationships/hyperlink" Target="https://baseball-data.com/player/bs/%E5%A4%AA%E7%94%B0%E3%80%80%E6%A4%8B" TargetMode="External" /><Relationship Id="rId746" Type="http://schemas.openxmlformats.org/officeDocument/2006/relationships/hyperlink" Target="https://baseball-data.com/player/bs/%E5%AF%BF%E8%B3%80%E3%80%80%E5%BC%98%E9%83%BD" TargetMode="External" /><Relationship Id="rId911" Type="http://schemas.openxmlformats.org/officeDocument/2006/relationships/hyperlink" Target="https://baseball-data.com/player/l/%E5%A0%80%E8%B6%8A%E3%80%80%E5%95%93%E5%A4%AA" TargetMode="External" /><Relationship Id="rId40" Type="http://schemas.openxmlformats.org/officeDocument/2006/relationships/hyperlink" Target="https://baseball-data.com/player/t/%E3%83%A9%E3%82%B0%E3%82%BA%E3%83%87%E3%83%BC%E3%83%AB" TargetMode="External" /><Relationship Id="rId136" Type="http://schemas.openxmlformats.org/officeDocument/2006/relationships/hyperlink" Target="https://baseball-data.com/player/yb/%E8%9D%A6%E5%90%8D%E3%80%80%E9%81%94%E5%A4%AB" TargetMode="External" /><Relationship Id="rId178" Type="http://schemas.openxmlformats.org/officeDocument/2006/relationships/hyperlink" Target="https://baseball-data.com/player/g/%E8%90%A9%E5%B0%BE%E3%80%80%E5%8C%A1%E4%B9%9F" TargetMode="External" /><Relationship Id="rId301" Type="http://schemas.openxmlformats.org/officeDocument/2006/relationships/hyperlink" Target="https://baseball-data.com/player/d/%E5%B7%9D%E8%B6%8A%E3%80%80%E8%AA%A0%E5%8F%B8" TargetMode="External" /><Relationship Id="rId343" Type="http://schemas.openxmlformats.org/officeDocument/2006/relationships/hyperlink" Target="https://baseball-data.com/player/d/%E5%B7%9D%E4%B8%8A%E3%80%80%E7%90%86%E5%81%89" TargetMode="External" /><Relationship Id="rId550" Type="http://schemas.openxmlformats.org/officeDocument/2006/relationships/hyperlink" Target="https://baseball-data.com/player/h/%E7%A7%8B%E5%BA%83%E3%80%80%E5%84%AA%E4%BA%BA" TargetMode="External" /><Relationship Id="rId788" Type="http://schemas.openxmlformats.org/officeDocument/2006/relationships/hyperlink" Target="https://baseball-data.com/player/bs/%E5%A4%A7%E9%87%8C%E3%80%80%E6%98%82%E7%94%9F" TargetMode="External" /><Relationship Id="rId953" Type="http://schemas.openxmlformats.org/officeDocument/2006/relationships/hyperlink" Target="https://baseball-data.com/player/l/%E4%B8%89%E6%B5%A6%E3%80%80%E5%A4%A7%E8%BC%9D" TargetMode="External" /><Relationship Id="rId995" Type="http://schemas.openxmlformats.org/officeDocument/2006/relationships/hyperlink" Target="https://baseball-data.com/player/m/%E7%9F%B3%E5%B7%9D%E3%80%80%E6%85%8E%E5%90%BE" TargetMode="External" /><Relationship Id="rId1029" Type="http://schemas.openxmlformats.org/officeDocument/2006/relationships/hyperlink" Target="https://baseball-data.com/player/m/%E6%B2%B3%E6%9D%91%E3%80%80%E8%AA%AC%E4%BA%BA" TargetMode="External" /><Relationship Id="rId82" Type="http://schemas.openxmlformats.org/officeDocument/2006/relationships/hyperlink" Target="https://baseball-data.com/player/yb/%E7%89%A7%E3%80%80%E7%A7%80%E6%82%9F" TargetMode="External" /><Relationship Id="rId203" Type="http://schemas.openxmlformats.org/officeDocument/2006/relationships/hyperlink" Target="https://baseball-data.com/player/g/%E3%83%8F%E3%83%AF%E3%83%BC%E3%83%89" TargetMode="External" /><Relationship Id="rId385" Type="http://schemas.openxmlformats.org/officeDocument/2006/relationships/hyperlink" Target="https://baseball-data.com/player/c/%E6%9D%89%E7%94%B0%E3%80%80%E5%81%A5" TargetMode="External" /><Relationship Id="rId592" Type="http://schemas.openxmlformats.org/officeDocument/2006/relationships/hyperlink" Target="https://baseball-data.com/player/h/%E6%BC%81%E5%BA%9C%E3%80%80%E8%BC%9D%E7%BE%BD" TargetMode="External" /><Relationship Id="rId606" Type="http://schemas.openxmlformats.org/officeDocument/2006/relationships/hyperlink" Target="https://baseball-data.com/player/h/%E5%B1%B1%E4%B8%8B%E3%80%80%E6%81%AD%E5%90%BE" TargetMode="External" /><Relationship Id="rId648" Type="http://schemas.openxmlformats.org/officeDocument/2006/relationships/hyperlink" Target="https://baseball-data.com/player/f/%E9%80%B2%E8%97%A4%E3%80%80%E5%8B%87%E4%B9%9F" TargetMode="External" /><Relationship Id="rId813" Type="http://schemas.openxmlformats.org/officeDocument/2006/relationships/hyperlink" Target="https://baseball-data.com/player/e/%E9%BB%92%E5%B7%9D%E3%80%80%E5%8F%B2%E9%99%BD" TargetMode="External" /><Relationship Id="rId855" Type="http://schemas.openxmlformats.org/officeDocument/2006/relationships/hyperlink" Target="https://baseball-data.com/player/e/%E4%BB%8A%E9%87%8E%E3%80%80%E9%BE%8D%E5%A4%AA" TargetMode="External" /><Relationship Id="rId1040" Type="http://schemas.openxmlformats.org/officeDocument/2006/relationships/hyperlink" Target="https://baseball-data.com/player/m/%E3%83%AD%E3%83%B3%E3%82%B0" TargetMode="External" /><Relationship Id="rId245" Type="http://schemas.openxmlformats.org/officeDocument/2006/relationships/hyperlink" Target="https://baseball-data.com/player/g/%E8%8A%B1%E7%94%B0%E3%80%80%E4%BE%91%E6%A8%B9" TargetMode="External" /><Relationship Id="rId287" Type="http://schemas.openxmlformats.org/officeDocument/2006/relationships/hyperlink" Target="https://baseball-data.com/player/d/%E3%82%A2%E3%83%96%E3%83%AC%E3%82%A6" TargetMode="External" /><Relationship Id="rId410" Type="http://schemas.openxmlformats.org/officeDocument/2006/relationships/hyperlink" Target="https://baseball-data.com/player/c/%E4%B8%AD%E6%9D%91%E3%80%80%E8%B2%B4%E6%B5%A9" TargetMode="External" /><Relationship Id="rId452" Type="http://schemas.openxmlformats.org/officeDocument/2006/relationships/hyperlink" Target="https://baseball-data.com/player/s/%E6%A0%B9%E5%B2%B8%E3%80%80%E8%BE%B0%E6%98%87" TargetMode="External" /><Relationship Id="rId494" Type="http://schemas.openxmlformats.org/officeDocument/2006/relationships/hyperlink" Target="https://baseball-data.com/player/s/%E4%BC%8A%E8%97%A4%E3%80%80%E7%90%89%E5%81%89" TargetMode="External" /><Relationship Id="rId508" Type="http://schemas.openxmlformats.org/officeDocument/2006/relationships/hyperlink" Target="https://baseball-data.com/player/h/%E4%BB%8A%E5%AE%AE%E3%80%80%E5%81%A5%E5%A4%AA" TargetMode="External" /><Relationship Id="rId715" Type="http://schemas.openxmlformats.org/officeDocument/2006/relationships/hyperlink" Target="https://baseball-data.com/player/bs/%E9%87%8E%E5%8F%A3%E3%80%80%E6%99%BA%E5%93%89" TargetMode="External" /><Relationship Id="rId897" Type="http://schemas.openxmlformats.org/officeDocument/2006/relationships/hyperlink" Target="https://baseball-data.com/player/l/%E3%83%8D%E3%83%93%E3%83%B3" TargetMode="External" /><Relationship Id="rId922" Type="http://schemas.openxmlformats.org/officeDocument/2006/relationships/hyperlink" Target="https://baseball-data.com/player/l/%E9%BB%92%E6%9C%A8%E3%80%80%E5%84%AA%E5%A4%AA" TargetMode="External" /><Relationship Id="rId105" Type="http://schemas.openxmlformats.org/officeDocument/2006/relationships/hyperlink" Target="https://baseball-data.com/player/yb/%E5%8B%9D%E5%8F%88%E3%80%80%E6%B8%A9%E5%8F%B2" TargetMode="External" /><Relationship Id="rId147" Type="http://schemas.openxmlformats.org/officeDocument/2006/relationships/hyperlink" Target="https://baseball-data.com/player/yb/%E4%B9%9D%E9%AC%BC%E3%80%80%E9%9A%86%E5%B9%B3" TargetMode="External" /><Relationship Id="rId312" Type="http://schemas.openxmlformats.org/officeDocument/2006/relationships/hyperlink" Target="https://baseball-data.com/player/d/%E7%B4%B0%E5%B7%9D%E3%80%80%E6%88%90%E4%B9%9F" TargetMode="External" /><Relationship Id="rId354" Type="http://schemas.openxmlformats.org/officeDocument/2006/relationships/hyperlink" Target="https://baseball-data.com/player/c/%E6%A3%AE%E3%80%80%E7%BF%94%E5%B9%B3" TargetMode="External" /><Relationship Id="rId757" Type="http://schemas.openxmlformats.org/officeDocument/2006/relationships/hyperlink" Target="https://baseball-data.com/player/bs/%E7%89%87%E5%B1%B1%E3%80%80%E6%A5%BD%E7%94%9F" TargetMode="External" /><Relationship Id="rId799" Type="http://schemas.openxmlformats.org/officeDocument/2006/relationships/hyperlink" Target="https://baseball-data.com/player/e/%E9%88%B4%E6%9C%A8%E3%80%80%E5%A4%A7%E5%9C%B0" TargetMode="External" /><Relationship Id="rId964" Type="http://schemas.openxmlformats.org/officeDocument/2006/relationships/hyperlink" Target="https://baseball-data.com/player/l/%E9%AB%98%E6%A9%8B%E3%80%80%E7%A4%BC" TargetMode="External" /><Relationship Id="rId51" Type="http://schemas.openxmlformats.org/officeDocument/2006/relationships/hyperlink" Target="https://baseball-data.com/player/t/%E9%95%B7%E5%9D%82%E3%80%80%E6%8B%B3%E5%BC%A5" TargetMode="External" /><Relationship Id="rId93" Type="http://schemas.openxmlformats.org/officeDocument/2006/relationships/hyperlink" Target="https://baseball-data.com/player/yb/%E4%BC%8A%E5%8B%A2%E3%80%80%E5%A4%A7%E5%A4%A2" TargetMode="External" /><Relationship Id="rId189" Type="http://schemas.openxmlformats.org/officeDocument/2006/relationships/hyperlink" Target="https://baseball-data.com/player/g/%E6%9D%BE%E4%BA%95%E3%80%80%E9%A2%AF" TargetMode="External" /><Relationship Id="rId396" Type="http://schemas.openxmlformats.org/officeDocument/2006/relationships/hyperlink" Target="https://baseball-data.com/player/c/%E6%B8%85%E6%B0%B4%E3%80%80%E5%8F%B6%E4%BA%BA" TargetMode="External" /><Relationship Id="rId561" Type="http://schemas.openxmlformats.org/officeDocument/2006/relationships/hyperlink" Target="https://baseball-data.com/player/h/%E3%83%98%E3%83%AB%E3%83%8A%E3%83%B3%E3%83%87%E3%82%B9" TargetMode="External" /><Relationship Id="rId617" Type="http://schemas.openxmlformats.org/officeDocument/2006/relationships/hyperlink" Target="https://baseball-data.com/player/h/%E3%83%A2%E3%83%AC%E3%83%8E" TargetMode="External" /><Relationship Id="rId659" Type="http://schemas.openxmlformats.org/officeDocument/2006/relationships/hyperlink" Target="https://baseball-data.com/player/f/%E9%98%AA%E5%8F%A3%E3%80%80%E6%A8%82" TargetMode="External" /><Relationship Id="rId824" Type="http://schemas.openxmlformats.org/officeDocument/2006/relationships/hyperlink" Target="https://baseball-data.com/player/e/%E6%B8%A1%E9%82%8A%E3%80%80%E4%BD%B3%E6%98%8E" TargetMode="External" /><Relationship Id="rId866" Type="http://schemas.openxmlformats.org/officeDocument/2006/relationships/hyperlink" Target="https://baseball-data.com/player/e/%E5%89%8D%E7%94%B0%E3%80%80%E9%8A%80%E6%B2%BB" TargetMode="External" /><Relationship Id="rId214" Type="http://schemas.openxmlformats.org/officeDocument/2006/relationships/hyperlink" Target="https://baseball-data.com/player/g/%E9%83%A1%E3%80%80%E6%8B%93%E4%B9%9F" TargetMode="External" /><Relationship Id="rId256" Type="http://schemas.openxmlformats.org/officeDocument/2006/relationships/hyperlink" Target="https://baseball-data.com/player/g/%E3%83%9E%E3%83%AB%E3%83%86%E3%82%A3%E3%83%8D%E3%82%B9" TargetMode="External" /><Relationship Id="rId298" Type="http://schemas.openxmlformats.org/officeDocument/2006/relationships/hyperlink" Target="https://baseball-data.com/player/d/%E5%8B%9D%E9%87%8E%E3%80%80%E6%98%8C%E6%85%B6" TargetMode="External" /><Relationship Id="rId421" Type="http://schemas.openxmlformats.org/officeDocument/2006/relationships/hyperlink" Target="https://baseball-data.com/player/c/%E3%83%AD%E3%83%99%E3%83%AB%E3%83%88" TargetMode="External" /><Relationship Id="rId463" Type="http://schemas.openxmlformats.org/officeDocument/2006/relationships/hyperlink" Target="https://baseball-data.com/player/s/%E5%B1%B1%E5%B4%8E%E3%80%80%E5%A4%AA%E9%99%BD" TargetMode="External" /><Relationship Id="rId519" Type="http://schemas.openxmlformats.org/officeDocument/2006/relationships/hyperlink" Target="https://baseball-data.com/player/h/%E5%BE%90%E3%80%80%E8%8B%A5%E7%86%99" TargetMode="External" /><Relationship Id="rId670" Type="http://schemas.openxmlformats.org/officeDocument/2006/relationships/hyperlink" Target="https://baseball-data.com/player/f/%E8%8F%8A%E5%9C%B0%E3%80%80%E5%A4%A7%E7%A8%80" TargetMode="External" /><Relationship Id="rId1051" Type="http://schemas.openxmlformats.org/officeDocument/2006/relationships/hyperlink" Target="https://baseball-data.com/player/m/%E6%9D%89%E5%B1%B1%E3%80%80%E8%AB%92" TargetMode="External" /><Relationship Id="rId116" Type="http://schemas.openxmlformats.org/officeDocument/2006/relationships/hyperlink" Target="https://baseball-data.com/player/yb/%E4%BA%95%E4%B8%8A%E3%80%80%E6%9C%8B%E4%B9%9F" TargetMode="External" /><Relationship Id="rId158" Type="http://schemas.openxmlformats.org/officeDocument/2006/relationships/hyperlink" Target="https://baseball-data.com/player/yb/%E6%B8%85%E6%B0%B4%E3%80%80%E8%A9%A9%E5%A4%AA" TargetMode="External" /><Relationship Id="rId323" Type="http://schemas.openxmlformats.org/officeDocument/2006/relationships/hyperlink" Target="https://baseball-data.com/player/d/%E9%B5%9C%E9%A3%BC%E3%80%80%E8%88%AA%E4%B8%9E" TargetMode="External" /><Relationship Id="rId530" Type="http://schemas.openxmlformats.org/officeDocument/2006/relationships/hyperlink" Target="https://baseball-data.com/player/h/%E4%B8%AD%E6%9D%91%E3%80%80%E7%A8%94%E5%BC%A5" TargetMode="External" /><Relationship Id="rId726" Type="http://schemas.openxmlformats.org/officeDocument/2006/relationships/hyperlink" Target="https://baseball-data.com/player/bs/%E5%B1%B1%EF%A8%91%E3%80%80%E9%A2%AF%E4%B8%80%E9%83%8E" TargetMode="External" /><Relationship Id="rId768" Type="http://schemas.openxmlformats.org/officeDocument/2006/relationships/hyperlink" Target="https://baseball-data.com/player/bs/%E5%B1%B1%E7%94%B0%E3%80%80%E4%BF%AE%E7%BE%A9" TargetMode="External" /><Relationship Id="rId933" Type="http://schemas.openxmlformats.org/officeDocument/2006/relationships/hyperlink" Target="https://baseball-data.com/player/l/%E6%98%AF%E6%BE%A4%E3%80%80%E6%B6%BC%E8%BC%94" TargetMode="External" /><Relationship Id="rId975" Type="http://schemas.openxmlformats.org/officeDocument/2006/relationships/hyperlink" Target="https://baseball-data.com/player/m/%E9%AB%99%E9%83%A8%E3%80%80%E7%91%9B%E6%96%97" TargetMode="External" /><Relationship Id="rId1009" Type="http://schemas.openxmlformats.org/officeDocument/2006/relationships/hyperlink" Target="https://baseball-data.com/player/m/%E5%B1%B1%EF%A8%91%E3%80%80%E5%89%9B" TargetMode="External" /><Relationship Id="rId20" Type="http://schemas.openxmlformats.org/officeDocument/2006/relationships/hyperlink" Target="https://baseball-data.com/player/t/%E8%B0%B7%E7%AB%AF%E3%80%80%E5%B0%86%E4%BC%8D" TargetMode="External" /><Relationship Id="rId62" Type="http://schemas.openxmlformats.org/officeDocument/2006/relationships/hyperlink" Target="https://baseball-data.com/player/t/%E4%B8%AD%E5%B7%9D%E3%80%80%E5%8B%87%E6%96%97" TargetMode="External" /><Relationship Id="rId365" Type="http://schemas.openxmlformats.org/officeDocument/2006/relationships/hyperlink" Target="https://baseball-data.com/player/c/%E3%82%B1%E3%83%A0%E3%83%8A%E3%80%80%E8%AA%A0" TargetMode="External" /><Relationship Id="rId572" Type="http://schemas.openxmlformats.org/officeDocument/2006/relationships/hyperlink" Target="https://baseball-data.com/player/h/%E9%95%B7%E8%B0%B7%E5%B7%9D%E3%80%80%E5%A8%81%E5%B1%95" TargetMode="External" /><Relationship Id="rId628" Type="http://schemas.openxmlformats.org/officeDocument/2006/relationships/hyperlink" Target="https://baseball-data.com/player/f/%E6%B8%85%E6%B0%B4%E3%80%80%E5%84%AA%E5%BF%83" TargetMode="External" /><Relationship Id="rId835" Type="http://schemas.openxmlformats.org/officeDocument/2006/relationships/hyperlink" Target="https://baseball-data.com/player/e/%E8%97%A4%E4%BA%95%E3%80%80%E8%81%96" TargetMode="External" /><Relationship Id="rId225" Type="http://schemas.openxmlformats.org/officeDocument/2006/relationships/hyperlink" Target="https://baseball-data.com/player/g/%E5%8F%88%E6%9C%A8%E3%80%80%E9%89%84%E5%B9%B3" TargetMode="External" /><Relationship Id="rId267" Type="http://schemas.openxmlformats.org/officeDocument/2006/relationships/hyperlink" Target="https://baseball-data.com/player/d/%E7%94%B0%E4%B8%AD%E3%80%80%E5%B9%B9%E4%B9%9F" TargetMode="External" /><Relationship Id="rId432" Type="http://schemas.openxmlformats.org/officeDocument/2006/relationships/hyperlink" Target="https://baseball-data.com/player/s/%E5%A1%A9%E8%A6%8B%E3%80%80%E6%B3%B0%E9%9A%86" TargetMode="External" /><Relationship Id="rId474" Type="http://schemas.openxmlformats.org/officeDocument/2006/relationships/hyperlink" Target="https://baseball-data.com/player/s/%E5%A4%A7%E8%A5%BF%E3%80%80%E5%BA%83%E6%A8%B9" TargetMode="External" /><Relationship Id="rId877" Type="http://schemas.openxmlformats.org/officeDocument/2006/relationships/hyperlink" Target="https://baseball-data.com/player/l/%E9%BD%8B%E8%97%A4%E3%80%80%E5%A4%A7%E7%BF%94" TargetMode="External" /><Relationship Id="rId1020" Type="http://schemas.openxmlformats.org/officeDocument/2006/relationships/hyperlink" Target="https://baseball-data.com/player/m/%E7%AB%8B%E6%9D%BE%E3%80%80%E7%94%B1%E5%AE%87" TargetMode="External" /><Relationship Id="rId1062" Type="http://schemas.openxmlformats.org/officeDocument/2006/relationships/hyperlink" Target="https://baseball-data.com/player/m/%E3%82%A2%E3%82%BB%E3%83%99%E3%83%89" TargetMode="External" /><Relationship Id="rId127" Type="http://schemas.openxmlformats.org/officeDocument/2006/relationships/hyperlink" Target="https://baseball-data.com/player/yb/%E6%B5%9C%E5%9C%B0%E3%80%80%E7%9C%9F%E6%BE%84" TargetMode="External" /><Relationship Id="rId681" Type="http://schemas.openxmlformats.org/officeDocument/2006/relationships/hyperlink" Target="https://baseball-data.com/player/f/%E5%B1%B1%E6%9C%AC%E3%80%80%E6%8B%93%E5%AE%9F" TargetMode="External" /><Relationship Id="rId737" Type="http://schemas.openxmlformats.org/officeDocument/2006/relationships/hyperlink" Target="https://baseball-data.com/player/bs/%E6%9D%89%E6%BE%A4%E3%80%80%E9%BE%8D" TargetMode="External" /><Relationship Id="rId779" Type="http://schemas.openxmlformats.org/officeDocument/2006/relationships/hyperlink" Target="https://baseball-data.com/player/bs/%E9%99%B3%E3%80%80%E7%9D%A6%E8%A1%A1" TargetMode="External" /><Relationship Id="rId902" Type="http://schemas.openxmlformats.org/officeDocument/2006/relationships/hyperlink" Target="https://baseball-data.com/player/l/%E8%8C%B6%E9%87%8E%E3%80%80%E7%AF%A4%E6%94%BF" TargetMode="External" /><Relationship Id="rId944" Type="http://schemas.openxmlformats.org/officeDocument/2006/relationships/hyperlink" Target="https://baseball-data.com/player/l/%E4%BB%8A%E5%B2%A1%E3%80%80%E6%8B%93%E5%A4%A2" TargetMode="External" /><Relationship Id="rId986" Type="http://schemas.openxmlformats.org/officeDocument/2006/relationships/hyperlink" Target="https://baseball-data.com/player/m/%E3%82%AB%E3%82%B9%E3%83%86%E3%82%A3%E3%83%BC%E3%83%A8" TargetMode="External" /><Relationship Id="rId31" Type="http://schemas.openxmlformats.org/officeDocument/2006/relationships/hyperlink" Target="https://baseball-data.com/player/t/%E5%8F%8A%E5%B7%9D%E3%80%80%E9%9B%85%E8%B2%B4" TargetMode="External" /><Relationship Id="rId73" Type="http://schemas.openxmlformats.org/officeDocument/2006/relationships/hyperlink" Target="https://baseball-data.com/player/t/%E5%B0%8F%E5%B7%9D%E3%80%80%E4%B8%80%E5%B9%B3" TargetMode="External" /><Relationship Id="rId169" Type="http://schemas.openxmlformats.org/officeDocument/2006/relationships/hyperlink" Target="https://baseball-data.com/player/g/%E6%9D%BE%E4%BA%95%E3%80%80%E8%93%AE%E5%A4%AA%E6%9C%97" TargetMode="External" /><Relationship Id="rId334" Type="http://schemas.openxmlformats.org/officeDocument/2006/relationships/hyperlink" Target="https://baseball-data.com/player/d/%E4%BA%95%E4%B8%8A%E3%80%80%E5%89%A3%E4%B9%9F" TargetMode="External" /><Relationship Id="rId376" Type="http://schemas.openxmlformats.org/officeDocument/2006/relationships/hyperlink" Target="https://baseball-data.com/player/c/%E9%88%B4%E6%9C%A8%E3%80%80%E5%81%A5%E7%9F%A2" TargetMode="External" /><Relationship Id="rId541" Type="http://schemas.openxmlformats.org/officeDocument/2006/relationships/hyperlink" Target="https://baseball-data.com/player/h/%E5%8C%97%E6%96%97" TargetMode="External" /><Relationship Id="rId583" Type="http://schemas.openxmlformats.org/officeDocument/2006/relationships/hyperlink" Target="https://baseball-data.com/player/h/%E4%B8%AD%E6%BE%A4%E3%80%80%E6%81%92%E8%B2%B4" TargetMode="External" /><Relationship Id="rId639" Type="http://schemas.openxmlformats.org/officeDocument/2006/relationships/hyperlink" Target="https://baseball-data.com/player/f/%E9%87%91%E6%9D%91%E3%80%80%E5%B0%9A%E7%9C%9F" TargetMode="External" /><Relationship Id="rId790" Type="http://schemas.openxmlformats.org/officeDocument/2006/relationships/hyperlink" Target="https://baseball-data.com/player/bs/%E9%A6%99%E6%9C%88%E3%80%80%E4%B8%80%E4%B9%9F" TargetMode="External" /><Relationship Id="rId804" Type="http://schemas.openxmlformats.org/officeDocument/2006/relationships/hyperlink" Target="https://baseball-data.com/player/e/%E3%82%B3%E3%83%B3%E3%83%88%E3%83%AC%E3%83%A9%E3%82%B9" TargetMode="External" /><Relationship Id="rId4" Type="http://schemas.openxmlformats.org/officeDocument/2006/relationships/hyperlink" Target="https://baseball-data.com/player/t/%E6%A2%85%E9%87%8E%E3%80%80%E9%9A%86%E5%A4%AA%E9%83%8E" TargetMode="External" /><Relationship Id="rId180" Type="http://schemas.openxmlformats.org/officeDocument/2006/relationships/hyperlink" Target="https://baseball-data.com/player/g/%E9%88%B4%E6%9C%A8%E3%80%80%E5%9C%AD%E6%99%8B" TargetMode="External" /><Relationship Id="rId236" Type="http://schemas.openxmlformats.org/officeDocument/2006/relationships/hyperlink" Target="https://baseball-data.com/player/g/%E6%9D%BE%E6%B5%A6%E3%80%80%E6%85%B6%E6%96%97" TargetMode="External" /><Relationship Id="rId278" Type="http://schemas.openxmlformats.org/officeDocument/2006/relationships/hyperlink" Target="https://baseball-data.com/player/d/%E6%9F%B3%E3%80%80%E8%A3%95%E4%B9%9F" TargetMode="External" /><Relationship Id="rId401" Type="http://schemas.openxmlformats.org/officeDocument/2006/relationships/hyperlink" Target="https://baseball-data.com/player/c/%E8%8F%8A%E5%9C%B0%E3%80%80%E3%83%8F%E3%83%AB%E3%83%B3" TargetMode="External" /><Relationship Id="rId443" Type="http://schemas.openxmlformats.org/officeDocument/2006/relationships/hyperlink" Target="https://baseball-data.com/player/s/%E7%BF%94%E8%81%96" TargetMode="External" /><Relationship Id="rId650" Type="http://schemas.openxmlformats.org/officeDocument/2006/relationships/hyperlink" Target="https://baseball-data.com/player/f/%E6%B5%85%E5%88%A9%E3%80%80%E5%A4%AA%E9%96%80" TargetMode="External" /><Relationship Id="rId846" Type="http://schemas.openxmlformats.org/officeDocument/2006/relationships/hyperlink" Target="https://baseball-data.com/player/e/%E8%BE%9B%E5%B3%B6%E3%80%80%E8%88%AA" TargetMode="External" /><Relationship Id="rId888" Type="http://schemas.openxmlformats.org/officeDocument/2006/relationships/hyperlink" Target="https://baseball-data.com/player/l/%E8%88%87%E5%BA%A7%E3%80%80%E6%B5%B7%E4%BA%BA" TargetMode="External" /><Relationship Id="rId1031" Type="http://schemas.openxmlformats.org/officeDocument/2006/relationships/hyperlink" Target="https://baseball-data.com/player/m/%E5%A4%A7%E8%81%96" TargetMode="External" /><Relationship Id="rId303" Type="http://schemas.openxmlformats.org/officeDocument/2006/relationships/hyperlink" Target="https://baseball-data.com/player/d/%E6%A2%85%E9%87%8E%E3%80%80%E9%9B%84%E5%90%BE" TargetMode="External" /><Relationship Id="rId485" Type="http://schemas.openxmlformats.org/officeDocument/2006/relationships/hyperlink" Target="https://baseball-data.com/player/s/%E7%9F%A2%E9%87%8E%E3%80%80%E6%B3%B0%E4%BA%8C%E9%83%8E" TargetMode="External" /><Relationship Id="rId692" Type="http://schemas.openxmlformats.org/officeDocument/2006/relationships/hyperlink" Target="https://baseball-data.com/player/f/%E6%97%A5%E6%B8%A1%E3%80%80%E9%A8%B0%E8%BC%9D" TargetMode="External" /><Relationship Id="rId706" Type="http://schemas.openxmlformats.org/officeDocument/2006/relationships/hyperlink" Target="https://baseball-data.com/player/bs/%E3%83%9E%E3%82%B7%E3%83%A5%E3%83%BC" TargetMode="External" /><Relationship Id="rId748" Type="http://schemas.openxmlformats.org/officeDocument/2006/relationships/hyperlink" Target="https://baseball-data.com/player/bs/%E3%83%9E%E3%83%81%E3%83%A3%E3%83%89" TargetMode="External" /><Relationship Id="rId913" Type="http://schemas.openxmlformats.org/officeDocument/2006/relationships/hyperlink" Target="https://baseball-data.com/player/l/%E7%BE%BD%E7%94%B0%E3%80%80%E6%85%8E%E4%B9%8B%E4%BB%8B" TargetMode="External" /><Relationship Id="rId955" Type="http://schemas.openxmlformats.org/officeDocument/2006/relationships/hyperlink" Target="https://baseball-data.com/player/l/%E3%82%B7%E3%83%B3%E3%82%AF%E3%83%AC%E3%82%A2" TargetMode="External" /><Relationship Id="rId42" Type="http://schemas.openxmlformats.org/officeDocument/2006/relationships/hyperlink" Target="https://baseball-data.com/player/t/%E8%8C%A8%E6%9C%A8%E3%80%80%E7%A7%80%E4%BF%8A" TargetMode="External" /><Relationship Id="rId84" Type="http://schemas.openxmlformats.org/officeDocument/2006/relationships/hyperlink" Target="https://baseball-data.com/player/yb/%E5%BA%A6%E4%BC%9A%E3%80%80%E9%9A%86%E8%BC%9D" TargetMode="External" /><Relationship Id="rId138" Type="http://schemas.openxmlformats.org/officeDocument/2006/relationships/hyperlink" Target="https://baseball-data.com/player/yb/%E9%96%A2%E6%A0%B9%E3%80%80%E5%A4%A7%E6%B0%97" TargetMode="External" /><Relationship Id="rId345" Type="http://schemas.openxmlformats.org/officeDocument/2006/relationships/hyperlink" Target="https://baseball-data.com/player/c/%E5%8B%9D%E7%94%B0%E3%80%80%E6%88%90" TargetMode="External" /><Relationship Id="rId387" Type="http://schemas.openxmlformats.org/officeDocument/2006/relationships/hyperlink" Target="https://baseball-data.com/player/c/%E6%9C%AB%E5%8C%85%E3%80%80%E6%98%87%E5%A4%A7" TargetMode="External" /><Relationship Id="rId510" Type="http://schemas.openxmlformats.org/officeDocument/2006/relationships/hyperlink" Target="https://baseball-data.com/player/h/%E7%89%A7%E5%8E%9F%E3%80%80%E5%A4%A7%E6%88%90" TargetMode="External" /><Relationship Id="rId552" Type="http://schemas.openxmlformats.org/officeDocument/2006/relationships/hyperlink" Target="https://baseball-data.com/player/h/%E3%82%AA%E3%82%B9%E3%83%8A" TargetMode="External" /><Relationship Id="rId594" Type="http://schemas.openxmlformats.org/officeDocument/2006/relationships/hyperlink" Target="https://baseball-data.com/player/h/%E3%83%8F%E3%83%A2%E3%83%B3%E3%83%89" TargetMode="External" /><Relationship Id="rId608" Type="http://schemas.openxmlformats.org/officeDocument/2006/relationships/hyperlink" Target="https://baseball-data.com/player/h/%E5%86%85%E9%87%8E%E3%80%80%E6%B5%B7%E6%96%97" TargetMode="External" /><Relationship Id="rId815" Type="http://schemas.openxmlformats.org/officeDocument/2006/relationships/hyperlink" Target="https://baseball-data.com/player/e/%E4%B8%AD%E8%BE%BC%E3%80%80%E9%99%BD%E7%BF%94" TargetMode="External" /><Relationship Id="rId997" Type="http://schemas.openxmlformats.org/officeDocument/2006/relationships/hyperlink" Target="https://baseball-data.com/player/m/%E5%B2%A1%E3%80%80%E5%A4%A7%E6%B5%B7" TargetMode="External" /><Relationship Id="rId191" Type="http://schemas.openxmlformats.org/officeDocument/2006/relationships/hyperlink" Target="https://baseball-data.com/player/g/%E4%BA%80%E7%94%B0%E3%80%80%E5%95%93%E5%A4%AA" TargetMode="External" /><Relationship Id="rId205" Type="http://schemas.openxmlformats.org/officeDocument/2006/relationships/hyperlink" Target="https://baseball-data.com/player/g/%E3%83%80%E3%83%AB%E3%83%99%E3%83%83%E3%82%AF" TargetMode="External" /><Relationship Id="rId247" Type="http://schemas.openxmlformats.org/officeDocument/2006/relationships/hyperlink" Target="https://baseball-data.com/player/g/%E7%9F%B3%E5%B7%9D%E3%80%80%E9%81%94%E4%B9%9F" TargetMode="External" /><Relationship Id="rId412" Type="http://schemas.openxmlformats.org/officeDocument/2006/relationships/hyperlink" Target="https://baseball-data.com/player/c/%E4%BA%8C%E4%BF%A3%E3%80%80%E7%BF%94%E4%B8%80" TargetMode="External" /><Relationship Id="rId857" Type="http://schemas.openxmlformats.org/officeDocument/2006/relationships/hyperlink" Target="https://baseball-data.com/player/e/%E9%9D%92%E9%87%8E%E3%80%80%E6%8B%93%E6%B5%B7" TargetMode="External" /><Relationship Id="rId899" Type="http://schemas.openxmlformats.org/officeDocument/2006/relationships/hyperlink" Target="https://baseball-data.com/player/l/%E6%A3%AE%E8%84%87%E3%80%80%E4%BA%AE%E4%BB%8B" TargetMode="External" /><Relationship Id="rId1000" Type="http://schemas.openxmlformats.org/officeDocument/2006/relationships/hyperlink" Target="https://baseball-data.com/player/m/%E8%A5%BF%E9%87%8E%E3%80%80%E5%8B%87%E5%A3%AB" TargetMode="External" /><Relationship Id="rId1042" Type="http://schemas.openxmlformats.org/officeDocument/2006/relationships/hyperlink" Target="https://baseball-data.com/player/m/%E6%A3%AE%E3%80%80%E9%81%BC%E5%A4%A7%E6%9C%97" TargetMode="External" /><Relationship Id="rId107" Type="http://schemas.openxmlformats.org/officeDocument/2006/relationships/hyperlink" Target="https://baseball-data.com/player/yb/%E6%9F%B4%E7%94%B0%E3%80%80%E7%AB%9C%E6%8B%93" TargetMode="External" /><Relationship Id="rId289" Type="http://schemas.openxmlformats.org/officeDocument/2006/relationships/hyperlink" Target="https://baseball-data.com/player/d/%E6%A0%B9%E5%B0%BE%E3%80%80%E6%98%82" TargetMode="External" /><Relationship Id="rId454" Type="http://schemas.openxmlformats.org/officeDocument/2006/relationships/hyperlink" Target="https://baseball-data.com/player/s/%E9%AB%99%E9%87%8E%E3%80%80%E9%A2%AF%E5%A4%AA" TargetMode="External" /><Relationship Id="rId496" Type="http://schemas.openxmlformats.org/officeDocument/2006/relationships/hyperlink" Target="https://baseball-data.com/player/s/%E4%B8%8B%E5%B7%9D%E3%80%80%E9%9A%BC%E4%BD%91" TargetMode="External" /><Relationship Id="rId661" Type="http://schemas.openxmlformats.org/officeDocument/2006/relationships/hyperlink" Target="https://baseball-data.com/player/f/%E7%95%94%E6%9F%B3%E3%80%80%E4%BA%A8%E4%B8%9E" TargetMode="External" /><Relationship Id="rId717" Type="http://schemas.openxmlformats.org/officeDocument/2006/relationships/hyperlink" Target="https://baseball-data.com/player/bs/%E5%B1%B1%E4%B8%8B%E3%80%80%E8%88%9C%E5%B9%B3%E5%A4%A7" TargetMode="External" /><Relationship Id="rId759" Type="http://schemas.openxmlformats.org/officeDocument/2006/relationships/hyperlink" Target="https://baseball-data.com/player/bs/%E4%BB%8A%E5%9D%82%E3%80%80%E5%B9%B8%E6%9A%89" TargetMode="External" /><Relationship Id="rId924" Type="http://schemas.openxmlformats.org/officeDocument/2006/relationships/hyperlink" Target="https://baseball-data.com/player/l/%EF%BC%A5%EF%BC%8E%E3%83%A9%E3%83%9F%E3%83%AC%E3%82%B9" TargetMode="External" /><Relationship Id="rId966" Type="http://schemas.openxmlformats.org/officeDocument/2006/relationships/hyperlink" Target="https://baseball-data.com/player/l/%E7%A6%8F%E5%B0%BE%E3%80%80%E9%81%A5%E7%9C%9F" TargetMode="External" /><Relationship Id="rId11" Type="http://schemas.openxmlformats.org/officeDocument/2006/relationships/hyperlink" Target="https://baseball-data.com/player/t/%E5%9D%82%E6%9C%AC%E3%80%80%E8%AA%A0%E5%BF%97%E9%83%8E" TargetMode="External" /><Relationship Id="rId53" Type="http://schemas.openxmlformats.org/officeDocument/2006/relationships/hyperlink" Target="https://baseball-data.com/player/t/%E8%97%A4%E7%94%B0%E3%80%80%E5%81%A5%E6%96%97" TargetMode="External" /><Relationship Id="rId149" Type="http://schemas.openxmlformats.org/officeDocument/2006/relationships/hyperlink" Target="https://baseball-data.com/player/yb/%E3%83%9E%E3%83%AB%E3%82%BB%E3%83%AA%E3%83%BC%E3%83%8E" TargetMode="External" /><Relationship Id="rId314" Type="http://schemas.openxmlformats.org/officeDocument/2006/relationships/hyperlink" Target="https://baseball-data.com/player/d/%E8%8A%B1%E7%94%B0%E3%80%80%E6%97%AD" TargetMode="External" /><Relationship Id="rId356" Type="http://schemas.openxmlformats.org/officeDocument/2006/relationships/hyperlink" Target="https://baseball-data.com/player/c/%E6%A3%AE%E4%B8%8B%E3%80%80%E6%9A%A2%E4%BB%81" TargetMode="External" /><Relationship Id="rId398" Type="http://schemas.openxmlformats.org/officeDocument/2006/relationships/hyperlink" Target="https://baseball-data.com/player/c/%E9%AB%99%E6%9C%A8%E3%80%80%E7%BF%94%E6%96%97" TargetMode="External" /><Relationship Id="rId521" Type="http://schemas.openxmlformats.org/officeDocument/2006/relationships/hyperlink" Target="https://baseball-data.com/player/h/%E6%9D%91%E4%B8%8A%E3%80%80%E6%B3%B0%E6%96%97" TargetMode="External" /><Relationship Id="rId563" Type="http://schemas.openxmlformats.org/officeDocument/2006/relationships/hyperlink" Target="https://baseball-data.com/player/h/%E8%97%A4%E7%94%B0%E3%80%80%E6%82%A0%E5%A4%AA%E9%83%8E" TargetMode="External" /><Relationship Id="rId619" Type="http://schemas.openxmlformats.org/officeDocument/2006/relationships/hyperlink" Target="https://baseball-data.com/player/h/%E3%82%B5%E3%83%AB%E3%83%87%E3%82%A3" TargetMode="External" /><Relationship Id="rId770" Type="http://schemas.openxmlformats.org/officeDocument/2006/relationships/hyperlink" Target="https://baseball-data.com/player/bs/%E3%83%9A%E3%83%AB%E3%83%89%E3%83%A2" TargetMode="External" /><Relationship Id="rId95" Type="http://schemas.openxmlformats.org/officeDocument/2006/relationships/hyperlink" Target="https://baseball-data.com/player/yb/%E5%B3%B6%E7%94%B0%E3%80%80%E8%88%9C%E4%B9%9F" TargetMode="External" /><Relationship Id="rId160" Type="http://schemas.openxmlformats.org/officeDocument/2006/relationships/hyperlink" Target="https://baseball-data.com/player/yb/%E6%9D%BE%E6%9C%AC%E3%80%80%E9%9A%86%E4%B9%8B%E4%BB%8B" TargetMode="External" /><Relationship Id="rId216" Type="http://schemas.openxmlformats.org/officeDocument/2006/relationships/hyperlink" Target="https://baseball-data.com/player/g/%E7%9A%86%E5%B7%9D%E3%80%80%E5%B2%B3%E9%A3%9B" TargetMode="External" /><Relationship Id="rId423" Type="http://schemas.openxmlformats.org/officeDocument/2006/relationships/hyperlink" Target="https://baseball-data.com/player/s/%E4%B8%A6%E6%9C%A8%E3%80%80%E7%A7%80%E5%B0%8A" TargetMode="External" /><Relationship Id="rId826" Type="http://schemas.openxmlformats.org/officeDocument/2006/relationships/hyperlink" Target="https://baseball-data.com/player/e/%E4%BD%90%E8%97%A4%E3%80%80%E7%9B%B4%E6%A8%B9" TargetMode="External" /><Relationship Id="rId868" Type="http://schemas.openxmlformats.org/officeDocument/2006/relationships/hyperlink" Target="https://baseball-data.com/player/e/%E5%B3%B6%E5%8E%9F%E3%80%80%E5%A4%A7%E6%B2%B3" TargetMode="External" /><Relationship Id="rId1011" Type="http://schemas.openxmlformats.org/officeDocument/2006/relationships/hyperlink" Target="https://baseball-data.com/player/m/%E5%A5%A5%E6%9D%91%E3%80%80%E9%A0%BC%E4%BA%BA" TargetMode="External" /><Relationship Id="rId1053" Type="http://schemas.openxmlformats.org/officeDocument/2006/relationships/hyperlink" Target="https://baseball-data.com/player/m/%E8%B0%B7%E6%9D%91%E3%80%80%E5%89%9B" TargetMode="External" /><Relationship Id="rId258" Type="http://schemas.openxmlformats.org/officeDocument/2006/relationships/hyperlink" Target="https://baseball-data.com/player/g/%E7%AC%B9%E5%8E%9F%E3%80%80%E6%93%8D%E5%B8%8C" TargetMode="External" /><Relationship Id="rId465" Type="http://schemas.openxmlformats.org/officeDocument/2006/relationships/hyperlink" Target="https://baseball-data.com/player/s/%E7%9F%B3%E5%8E%9F%E3%80%80%E5%8B%87%E8%BC%9D" TargetMode="External" /><Relationship Id="rId630" Type="http://schemas.openxmlformats.org/officeDocument/2006/relationships/hyperlink" Target="https://baseball-data.com/player/f/%E7%94%9F%E7%94%B0%E7%9B%AE%E3%80%80%E7%BF%BC" TargetMode="External" /><Relationship Id="rId672" Type="http://schemas.openxmlformats.org/officeDocument/2006/relationships/hyperlink" Target="https://baseball-data.com/player/f/%E8%97%A4%E6%A3%AE%E3%80%80%E6%B5%B7%E6%96%97" TargetMode="External" /><Relationship Id="rId728" Type="http://schemas.openxmlformats.org/officeDocument/2006/relationships/hyperlink" Target="https://baseball-data.com/player/bs/%E5%90%89%E7%94%B0%E3%80%80%E8%BC%9D%E6%98%9F" TargetMode="External" /><Relationship Id="rId935" Type="http://schemas.openxmlformats.org/officeDocument/2006/relationships/hyperlink" Target="https://baseball-data.com/player/l/%E5%86%A8%E5%A3%AB%E3%80%80%E5%A4%A7%E5%92%8C" TargetMode="External" /><Relationship Id="rId22" Type="http://schemas.openxmlformats.org/officeDocument/2006/relationships/hyperlink" Target="https://baseball-data.com/player/t/%E4%BC%8A%E8%97%A4%E3%80%80%E5%B0%86%E5%8F%B8" TargetMode="External" /><Relationship Id="rId64" Type="http://schemas.openxmlformats.org/officeDocument/2006/relationships/hyperlink" Target="https://baseball-data.com/player/t/%E5%B6%8B%E6%9D%91%E3%80%80%E9%BA%9F%E5%A3%AB%E6%9C%97" TargetMode="External" /><Relationship Id="rId118" Type="http://schemas.openxmlformats.org/officeDocument/2006/relationships/hyperlink" Target="https://baseball-data.com/player/yb/%E3%83%93%E3%83%89" TargetMode="External" /><Relationship Id="rId325" Type="http://schemas.openxmlformats.org/officeDocument/2006/relationships/hyperlink" Target="https://baseball-data.com/player/d/%E7%89%A7%E9%87%8E%E3%80%80%E6%86%B2%E4%BC%B8" TargetMode="External" /><Relationship Id="rId367" Type="http://schemas.openxmlformats.org/officeDocument/2006/relationships/hyperlink" Target="https://baseball-data.com/player/c/%E5%9D%82%E5%80%89%E3%80%80%E5%B0%86%E5%90%BE" TargetMode="External" /><Relationship Id="rId532" Type="http://schemas.openxmlformats.org/officeDocument/2006/relationships/hyperlink" Target="https://baseball-data.com/player/h/%E6%9F%B3%E7%94%BA%E3%80%80%E9%81%94" TargetMode="External" /><Relationship Id="rId574" Type="http://schemas.openxmlformats.org/officeDocument/2006/relationships/hyperlink" Target="https://baseball-data.com/player/h/%E8%97%A4%E9%87%8E%E3%80%80%E6%81%B5%E9%9F%B3" TargetMode="External" /><Relationship Id="rId977" Type="http://schemas.openxmlformats.org/officeDocument/2006/relationships/hyperlink" Target="https://baseball-data.com/player/m/%E8%97%A4%E5%8E%9F%E3%80%80%E6%81%AD%E5%A4%A7" TargetMode="External" /><Relationship Id="rId171" Type="http://schemas.openxmlformats.org/officeDocument/2006/relationships/hyperlink" Target="https://baseball-data.com/player/g/%E4%B8%B8%E3%80%80%E4%BD%B3%E6%B5%A9" TargetMode="External" /><Relationship Id="rId227" Type="http://schemas.openxmlformats.org/officeDocument/2006/relationships/hyperlink" Target="https://baseball-data.com/player/g/%E6%A3%AE%E7%94%B0%E3%80%80%E9%A7%BF%E5%93%89" TargetMode="External" /><Relationship Id="rId781" Type="http://schemas.openxmlformats.org/officeDocument/2006/relationships/hyperlink" Target="https://baseball-data.com/player/bs/%E5%B7%9D%E7%80%AC%E3%80%80%E5%A0%85%E6%96%97" TargetMode="External" /><Relationship Id="rId837" Type="http://schemas.openxmlformats.org/officeDocument/2006/relationships/hyperlink" Target="https://baseball-data.com/player/e/%E8%A5%BF%E5%9E%A3%E3%80%80%E9%9B%85%E7%9F%A2" TargetMode="External" /><Relationship Id="rId879" Type="http://schemas.openxmlformats.org/officeDocument/2006/relationships/hyperlink" Target="https://baseball-data.com/player/l/%E5%A4%96%E5%B4%8E%E3%80%80%E4%BF%AE%E6%B1%B0" TargetMode="External" /><Relationship Id="rId1022" Type="http://schemas.openxmlformats.org/officeDocument/2006/relationships/hyperlink" Target="https://baseball-data.com/player/m/%E5%B1%B1%E5%8F%A3%E3%80%80%E8%88%AA%E8%BC%9D" TargetMode="External" /><Relationship Id="rId269" Type="http://schemas.openxmlformats.org/officeDocument/2006/relationships/hyperlink" Target="https://baseball-data.com/player/d/%E3%82%AB%E3%83%AA%E3%82%B9%E3%83%86" TargetMode="External" /><Relationship Id="rId434" Type="http://schemas.openxmlformats.org/officeDocument/2006/relationships/hyperlink" Target="https://baseball-data.com/player/s/%E3%82%AD%E3%83%8F%E3%83%80" TargetMode="External" /><Relationship Id="rId476" Type="http://schemas.openxmlformats.org/officeDocument/2006/relationships/hyperlink" Target="https://baseball-data.com/player/s/%E5%A4%A7%E9%81%93%E3%80%80%E6%B8%A9%E8%B2%B4" TargetMode="External" /><Relationship Id="rId641" Type="http://schemas.openxmlformats.org/officeDocument/2006/relationships/hyperlink" Target="https://baseball-data.com/player/f/%E7%94%B0%E4%B8%AD%E3%80%80%E6%AD%A3%E7%BE%A9" TargetMode="External" /><Relationship Id="rId683" Type="http://schemas.openxmlformats.org/officeDocument/2006/relationships/hyperlink" Target="https://baseball-data.com/player/f/%E6%9D%BE%E5%B2%A1%E3%80%80%E6%B4%B8%E5%B8%8C" TargetMode="External" /><Relationship Id="rId739" Type="http://schemas.openxmlformats.org/officeDocument/2006/relationships/hyperlink" Target="https://baseball-data.com/player/bs/%E6%9D%91%E4%B8%8A%E3%80%80%E5%96%AC%E4%B8%80%E6%9C%97" TargetMode="External" /><Relationship Id="rId890" Type="http://schemas.openxmlformats.org/officeDocument/2006/relationships/hyperlink" Target="https://baseball-data.com/player/l/%E6%9D%BE%E6%9C%AC%E3%80%80%E8%88%AA" TargetMode="External" /><Relationship Id="rId904" Type="http://schemas.openxmlformats.org/officeDocument/2006/relationships/hyperlink" Target="https://baseball-data.com/player/l/%E5%8F%A4%E5%B7%9D%E3%80%80%E9%9B%84%E5%A4%A7" TargetMode="External" /><Relationship Id="rId33" Type="http://schemas.openxmlformats.org/officeDocument/2006/relationships/hyperlink" Target="https://baseball-data.com/player/t/%E6%A6%AE%E6%9E%9D%E3%80%80%E8%A3%95%E8%B2%B4" TargetMode="External" /><Relationship Id="rId129" Type="http://schemas.openxmlformats.org/officeDocument/2006/relationships/hyperlink" Target="https://baseball-data.com/player/yb/%E7%9F%B3%E7%94%B0%E3%80%80%E8%A3%95%E5%A4%AA%E9%83%8E" TargetMode="External" /><Relationship Id="rId280" Type="http://schemas.openxmlformats.org/officeDocument/2006/relationships/hyperlink" Target="https://baseball-data.com/player/d/%E6%B6%8C%E4%BA%95%E3%80%80%E7%A7%80%E7%AB%A0" TargetMode="External" /><Relationship Id="rId336" Type="http://schemas.openxmlformats.org/officeDocument/2006/relationships/hyperlink" Target="https://baseball-data.com/player/d/%E5%B1%B1%E6%B5%85%E3%80%80%E9%BE%8D%E4%B9%8B%E4%BB%8B" TargetMode="External" /><Relationship Id="rId501" Type="http://schemas.openxmlformats.org/officeDocument/2006/relationships/hyperlink" Target="https://baseball-data.com/player/s/%E9%9D%92%E6%9F%B3%E3%80%80%E6%99%83%E6%B4%8B" TargetMode="External" /><Relationship Id="rId543" Type="http://schemas.openxmlformats.org/officeDocument/2006/relationships/hyperlink" Target="https://baseball-data.com/player/h/%E8%B0%B7%E5%B7%9D%E5%8E%9F%E3%80%80%E5%81%A5%E5%A4%AA" TargetMode="External" /><Relationship Id="rId946" Type="http://schemas.openxmlformats.org/officeDocument/2006/relationships/hyperlink" Target="https://baseball-data.com/player/l/%E4%B8%8A%E9%96%93%E3%80%80%E6%B0%B8%E9%81%A0" TargetMode="External" /><Relationship Id="rId988" Type="http://schemas.openxmlformats.org/officeDocument/2006/relationships/hyperlink" Target="https://baseball-data.com/player/m/%E5%B0%8F%E5%B3%B6%E3%80%80%E5%92%8C%E5%93%89" TargetMode="External" /><Relationship Id="rId75" Type="http://schemas.openxmlformats.org/officeDocument/2006/relationships/hyperlink" Target="https://baseball-data.com/player/t/%E4%BC%8A%E8%97%A4%E3%80%80%E7%A8%9C" TargetMode="External" /><Relationship Id="rId140" Type="http://schemas.openxmlformats.org/officeDocument/2006/relationships/hyperlink" Target="https://baseball-data.com/player/yb/%E5%AE%AE%E5%9F%8E%E3%80%80%E6%BB%9D%E5%A4%AA" TargetMode="External" /><Relationship Id="rId182" Type="http://schemas.openxmlformats.org/officeDocument/2006/relationships/hyperlink" Target="https://baseball-data.com/player/g/%E5%8D%83%E8%91%89%E3%80%80%E9%9A%86%E5%BA%83" TargetMode="External" /><Relationship Id="rId378" Type="http://schemas.openxmlformats.org/officeDocument/2006/relationships/hyperlink" Target="https://baseball-data.com/player/c/%E5%B3%B6%E5%86%85%E3%80%80%E9%A2%AF%E5%A4%AA%E9%83%8E" TargetMode="External" /><Relationship Id="rId403" Type="http://schemas.openxmlformats.org/officeDocument/2006/relationships/hyperlink" Target="https://baseball-data.com/player/c/%E8%BE%B0%E8%A6%8B%E3%80%80%E9%B4%BB%E4%B9%8B%E4%BB%8B" TargetMode="External" /><Relationship Id="rId585" Type="http://schemas.openxmlformats.org/officeDocument/2006/relationships/hyperlink" Target="https://baseball-data.com/player/h/%E6%B1%A0%E7%94%B0%E3%80%80%E6%A0%9E%E5%A4%AA" TargetMode="External" /><Relationship Id="rId750" Type="http://schemas.openxmlformats.org/officeDocument/2006/relationships/hyperlink" Target="https://baseball-data.com/player/bs/%E8%8A%A6%E7%94%B0%E3%80%80%E4%B8%88%E9%A3%9B" TargetMode="External" /><Relationship Id="rId792" Type="http://schemas.openxmlformats.org/officeDocument/2006/relationships/hyperlink" Target="https://baseball-data.com/player/bs/%E5%89%8D%E3%80%80%E4%BD%91%E5%9B%B2%E6%96%97" TargetMode="External" /><Relationship Id="rId806" Type="http://schemas.openxmlformats.org/officeDocument/2006/relationships/hyperlink" Target="https://baseball-data.com/player/e/%E5%89%8D%E7%94%B0%E3%80%80%E5%81%A5%E5%A4%AA" TargetMode="External" /><Relationship Id="rId848" Type="http://schemas.openxmlformats.org/officeDocument/2006/relationships/hyperlink" Target="https://baseball-data.com/player/e/%E3%83%AF%E3%82%A9%E3%83%BC%E3%82%BF%E3%83%BC%E3%82%BA" TargetMode="External" /><Relationship Id="rId1033" Type="http://schemas.openxmlformats.org/officeDocument/2006/relationships/hyperlink" Target="https://baseball-data.com/player/m/%E5%9D%82%E4%BA%95%E3%80%80%E9%81%BC" TargetMode="External" /><Relationship Id="rId6" Type="http://schemas.openxmlformats.org/officeDocument/2006/relationships/hyperlink" Target="https://baseball-data.com/player/t/%E7%86%8A%E8%B0%B7%E3%80%80%E6%95%AC%E5%AE%A5" TargetMode="External" /><Relationship Id="rId238" Type="http://schemas.openxmlformats.org/officeDocument/2006/relationships/hyperlink" Target="https://baseball-data.com/player/g/%E5%AE%AE%E5%8E%9F%E3%80%80%E9%A7%BF%E4%BB%8B" TargetMode="External" /><Relationship Id="rId445" Type="http://schemas.openxmlformats.org/officeDocument/2006/relationships/hyperlink" Target="https://baseball-data.com/player/s/%E4%BD%90%E8%97%A4%E3%80%80%E7%90%A2%E7%A3%A8" TargetMode="External" /><Relationship Id="rId487" Type="http://schemas.openxmlformats.org/officeDocument/2006/relationships/hyperlink" Target="https://baseball-data.com/player/s/%E6%AD%A6%E5%B2%A1%E3%80%80%E9%BE%8D%E4%B8%96" TargetMode="External" /><Relationship Id="rId610" Type="http://schemas.openxmlformats.org/officeDocument/2006/relationships/hyperlink" Target="https://baseball-data.com/player/h/%E4%BD%90%E3%80%85%E6%9C%A8%E3%80%80%E6%98%8E%E9%83%BD" TargetMode="External" /><Relationship Id="rId652" Type="http://schemas.openxmlformats.org/officeDocument/2006/relationships/hyperlink" Target="https://baseball-data.com/player/f/%E5%8F%A4%E6%9E%97%E3%80%80%E7%9D%BF%E7%85%AC" TargetMode="External" /><Relationship Id="rId694" Type="http://schemas.openxmlformats.org/officeDocument/2006/relationships/hyperlink" Target="https://baseball-data.com/player/f/%E6%BE%81%E8%B0%B7%E3%80%80%E7%B4%94%E5%B8%8C" TargetMode="External" /><Relationship Id="rId708" Type="http://schemas.openxmlformats.org/officeDocument/2006/relationships/hyperlink" Target="https://baseball-data.com/player/bs/%E4%B8%AD%E8%A5%BF%E3%80%80%E5%89%B5%E5%A4%A7" TargetMode="External" /><Relationship Id="rId915" Type="http://schemas.openxmlformats.org/officeDocument/2006/relationships/hyperlink" Target="https://baseball-data.com/player/l/%E3%82%A6%E3%82%A3%E3%83%B3%E3%82%B2%E3%83%B3%E3%82%BF%E3%83%BC" TargetMode="External" /><Relationship Id="rId291" Type="http://schemas.openxmlformats.org/officeDocument/2006/relationships/hyperlink" Target="https://baseball-data.com/player/d/%E4%BC%8A%E8%97%A4%E3%80%80%E8%8C%89%E5%A4%AE" TargetMode="External" /><Relationship Id="rId305" Type="http://schemas.openxmlformats.org/officeDocument/2006/relationships/hyperlink" Target="https://baseball-data.com/player/d/%E9%98%BF%E9%83%A8%E3%80%80%E5%AF%BF%E6%A8%B9" TargetMode="External" /><Relationship Id="rId347" Type="http://schemas.openxmlformats.org/officeDocument/2006/relationships/hyperlink" Target="https://baseball-data.com/player/c/%E5%B0%8F%E5%9C%92%E3%80%80%E6%B5%B7%E6%96%97" TargetMode="External" /><Relationship Id="rId512" Type="http://schemas.openxmlformats.org/officeDocument/2006/relationships/hyperlink" Target="https://baseball-data.com/player/h/%E4%B8%8A%E6%B2%A2%E3%80%80%E7%9B%B4%E4%B9%8B" TargetMode="External" /><Relationship Id="rId957" Type="http://schemas.openxmlformats.org/officeDocument/2006/relationships/hyperlink" Target="https://baseball-data.com/player/l/%E5%B9%B3%E5%8F%A3%E3%80%80%E5%AF%9B%E4%BA%BA" TargetMode="External" /><Relationship Id="rId999" Type="http://schemas.openxmlformats.org/officeDocument/2006/relationships/hyperlink" Target="https://baseball-data.com/player/m/%E8%8F%8A%E5%9C%B0%E3%80%80%E5%90%8F%E7%8E%96" TargetMode="External" /><Relationship Id="rId44" Type="http://schemas.openxmlformats.org/officeDocument/2006/relationships/hyperlink" Target="https://baseball-data.com/player/t/%E5%AF%8C%E7%94%B0%E3%80%80%E8%93%AE" TargetMode="External" /><Relationship Id="rId86" Type="http://schemas.openxmlformats.org/officeDocument/2006/relationships/hyperlink" Target="https://baseball-data.com/player/yb/%E6%A3%AE%E3%80%80%E6%95%AC%E6%96%97" TargetMode="External" /><Relationship Id="rId151" Type="http://schemas.openxmlformats.org/officeDocument/2006/relationships/hyperlink" Target="https://baseball-data.com/player/yb/%E6%B8%85%E6%B0%B4%E3%80%80%E9%BA%BB%E6%88%90" TargetMode="External" /><Relationship Id="rId389" Type="http://schemas.openxmlformats.org/officeDocument/2006/relationships/hyperlink" Target="https://baseball-data.com/player/c/%E8%A5%BF%E5%B7%9D%E3%80%80%E7%AF%A4%E5%A4%A2" TargetMode="External" /><Relationship Id="rId554" Type="http://schemas.openxmlformats.org/officeDocument/2006/relationships/hyperlink" Target="https://baseball-data.com/player/h/%E9%AB%99%E6%A9%8B%E3%80%80%E9%9A%86%E6%85%B6" TargetMode="External" /><Relationship Id="rId596" Type="http://schemas.openxmlformats.org/officeDocument/2006/relationships/hyperlink" Target="https://baseball-data.com/player/h/%E6%9C%A8%E4%B8%8B%E3%80%80%E5%8B%87%E4%BA%BA" TargetMode="External" /><Relationship Id="rId761" Type="http://schemas.openxmlformats.org/officeDocument/2006/relationships/hyperlink" Target="https://baseball-data.com/player/bs/%E6%B8%85%E6%B0%B4%E3%80%80%E6%AD%A6%E8%94%B5" TargetMode="External" /><Relationship Id="rId817" Type="http://schemas.openxmlformats.org/officeDocument/2006/relationships/hyperlink" Target="https://baseball-data.com/player/e/%E9%85%92%E5%B1%85%E3%80%80%E7%9F%A5%E5%8F%B2" TargetMode="External" /><Relationship Id="rId859" Type="http://schemas.openxmlformats.org/officeDocument/2006/relationships/hyperlink" Target="https://baseball-data.com/player/e/%E7%9F%B3%E5%8E%9F%E3%80%80%E5%BD%AA" TargetMode="External" /><Relationship Id="rId1002" Type="http://schemas.openxmlformats.org/officeDocument/2006/relationships/hyperlink" Target="https://baseball-data.com/player/m/%E5%A4%A7%E8%B0%B7%E3%80%80%E8%BC%9D%E9%BE%8D" TargetMode="External" /><Relationship Id="rId193" Type="http://schemas.openxmlformats.org/officeDocument/2006/relationships/hyperlink" Target="https://baseball-data.com/player/g/%E7%94%B0%E6%9D%91%E3%80%80%E6%9C%8B%E8%BC%9D" TargetMode="External" /><Relationship Id="rId207" Type="http://schemas.openxmlformats.org/officeDocument/2006/relationships/hyperlink" Target="https://baseball-data.com/player/g/%E5%90%B9%E7%94%B0%E3%80%80%E5%BF%97%E9%81%93" TargetMode="External" /><Relationship Id="rId249" Type="http://schemas.openxmlformats.org/officeDocument/2006/relationships/hyperlink" Target="https://baseball-data.com/player/g/%E5%B1%B1%E7%80%AC%E3%80%80%E6%85%8E%E4%B9%8B%E5%8A%A9" TargetMode="External" /><Relationship Id="rId414" Type="http://schemas.openxmlformats.org/officeDocument/2006/relationships/hyperlink" Target="https://baseball-data.com/player/c/%E5%B0%8F%E8%88%B9%E3%80%80%E7%BF%BC" TargetMode="External" /><Relationship Id="rId456" Type="http://schemas.openxmlformats.org/officeDocument/2006/relationships/hyperlink" Target="https://baseball-data.com/player/s/%E4%B8%AD%E6%9D%91%E3%80%80%E6%82%A0%E5%B9%B3" TargetMode="External" /><Relationship Id="rId498" Type="http://schemas.openxmlformats.org/officeDocument/2006/relationships/hyperlink" Target="https://baseball-data.com/player/s/%E6%B2%BC%E7%94%B0%E3%80%80%E7%BF%94%E5%B9%B3" TargetMode="External" /><Relationship Id="rId621" Type="http://schemas.openxmlformats.org/officeDocument/2006/relationships/hyperlink" Target="https://baseball-data.com/player/f/%E9%83%A1%E5%8F%B8%E3%80%80%E8%A3%95%E4%B9%9F" TargetMode="External" /><Relationship Id="rId663" Type="http://schemas.openxmlformats.org/officeDocument/2006/relationships/hyperlink" Target="https://baseball-data.com/player/f/%E9%BD%8B%E8%97%A4%E3%80%80%E5%8F%8B%E8%B2%B4%E5%93%89" TargetMode="External" /><Relationship Id="rId870" Type="http://schemas.openxmlformats.org/officeDocument/2006/relationships/hyperlink" Target="https://baseball-data.com/player/e/%E5%A4%A7%E5%9D%AA%E3%80%80%E6%A2%93%E6%81%A9" TargetMode="External" /><Relationship Id="rId1044" Type="http://schemas.openxmlformats.org/officeDocument/2006/relationships/hyperlink" Target="https://baseball-data.com/player/m/%E3%82%BD%E3%83%88" TargetMode="External" /><Relationship Id="rId13" Type="http://schemas.openxmlformats.org/officeDocument/2006/relationships/hyperlink" Target="https://baseball-data.com/player/t/%E5%B2%A9%E8%B2%9E%E3%80%80%E7%A5%90%E5%A4%AA" TargetMode="External" /><Relationship Id="rId109" Type="http://schemas.openxmlformats.org/officeDocument/2006/relationships/hyperlink" Target="https://baseball-data.com/player/yb/%E6%AD%A6%E7%94%B0%E3%80%80%E9%99%B8%E7%8E%96" TargetMode="External" /><Relationship Id="rId260" Type="http://schemas.openxmlformats.org/officeDocument/2006/relationships/hyperlink" Target="https://baseball-data.com/player/g/%E4%BA%95%E4%B8%8A%E3%80%80%E6%B8%A9%E5%A4%A7" TargetMode="External" /><Relationship Id="rId316" Type="http://schemas.openxmlformats.org/officeDocument/2006/relationships/hyperlink" Target="https://baseball-data.com/player/d/%E9%BD%8B%E8%97%A4%E3%80%80%E7%B6%B1%E8%A8%98" TargetMode="External" /><Relationship Id="rId523" Type="http://schemas.openxmlformats.org/officeDocument/2006/relationships/hyperlink" Target="https://baseball-data.com/player/h/%E5%91%A8%E6%9D%B1%E3%80%80%E4%BD%91%E4%BA%AC" TargetMode="External" /><Relationship Id="rId719" Type="http://schemas.openxmlformats.org/officeDocument/2006/relationships/hyperlink" Target="https://baseball-data.com/player/bs/%E5%AF%BA%E8%A5%BF%E3%80%80%E6%88%90%E9%A8%8E" TargetMode="External" /><Relationship Id="rId926" Type="http://schemas.openxmlformats.org/officeDocument/2006/relationships/hyperlink" Target="https://baseball-data.com/player/l/%E4%B8%AD%E6%9D%91%E3%80%80%E7%A5%90%E5%A4%AA" TargetMode="External" /><Relationship Id="rId968" Type="http://schemas.openxmlformats.org/officeDocument/2006/relationships/hyperlink" Target="https://baseball-data.com/player/l/%E3%82%B3%E3%83%AB%E3%83%8B%E3%82%A8%E3%83%AB" TargetMode="External" /><Relationship Id="rId55" Type="http://schemas.openxmlformats.org/officeDocument/2006/relationships/hyperlink" Target="https://baseball-data.com/player/t/%E8%B1%8A%E7%94%B0%E3%80%80%E5%AF%9B" TargetMode="External" /><Relationship Id="rId97" Type="http://schemas.openxmlformats.org/officeDocument/2006/relationships/hyperlink" Target="https://baseball-data.com/player/yb/%E5%B0%8F%E5%9C%92%E3%80%80%E5%81%A5%E5%A4%AA" TargetMode="External" /><Relationship Id="rId120" Type="http://schemas.openxmlformats.org/officeDocument/2006/relationships/hyperlink" Target="https://baseball-data.com/player/yb/%E7%9F%B3%E4%B8%8A%E3%80%80%E6%B3%B0%E8%BC%9D" TargetMode="External" /><Relationship Id="rId358" Type="http://schemas.openxmlformats.org/officeDocument/2006/relationships/hyperlink" Target="https://baseball-data.com/player/c/%E6%A0%97%E6%9E%97%E3%80%80%E8%89%AF%E5%90%8F" TargetMode="External" /><Relationship Id="rId565" Type="http://schemas.openxmlformats.org/officeDocument/2006/relationships/hyperlink" Target="https://baseball-data.com/player/h/%E7%9F%B3%E8%A6%8B%E3%80%80%E9%A2%AF%E7%9C%9F" TargetMode="External" /><Relationship Id="rId730" Type="http://schemas.openxmlformats.org/officeDocument/2006/relationships/hyperlink" Target="https://baseball-data.com/player/bs/%E5%86%85%E8%97%A4%E3%80%80%E9%B5%AC" TargetMode="External" /><Relationship Id="rId772" Type="http://schemas.openxmlformats.org/officeDocument/2006/relationships/hyperlink" Target="https://baseball-data.com/player/bs/%E5%B9%B3%E6%B2%BC%E3%80%80%E7%BF%94%E5%A4%AA" TargetMode="External" /><Relationship Id="rId828" Type="http://schemas.openxmlformats.org/officeDocument/2006/relationships/hyperlink" Target="https://baseball-data.com/player/e/%E6%B1%9F%E5%8E%9F%E3%80%80%E9%9B%85%E8%A3%95" TargetMode="External" /><Relationship Id="rId1013" Type="http://schemas.openxmlformats.org/officeDocument/2006/relationships/hyperlink" Target="https://baseball-data.com/player/m/%E3%82%B8%E3%83%A3%E3%82%AF%E3%82%BD%E3%83%B3" TargetMode="External" /><Relationship Id="rId162" Type="http://schemas.openxmlformats.org/officeDocument/2006/relationships/hyperlink" Target="https://baseball-data.com/player/g/%E6%B9%AF%E6%B5%85%E3%80%80%E5%A4%A7" TargetMode="External" /><Relationship Id="rId218" Type="http://schemas.openxmlformats.org/officeDocument/2006/relationships/hyperlink" Target="https://baseball-data.com/player/g/%E9%BB%84%E3%80%80%E9%8C%A6%E8%B1%AA" TargetMode="External" /><Relationship Id="rId425" Type="http://schemas.openxmlformats.org/officeDocument/2006/relationships/hyperlink" Target="https://baseball-data.com/player/s/%E5%B1%B1%E7%94%B0%E3%80%80%E5%93%B2%E4%BA%BA" TargetMode="External" /><Relationship Id="rId467" Type="http://schemas.openxmlformats.org/officeDocument/2006/relationships/hyperlink" Target="https://baseball-data.com/player/s/%E5%B1%B1%E9%87%8E%E8%BE%BA%E3%80%80%E7%BF%94" TargetMode="External" /><Relationship Id="rId632" Type="http://schemas.openxmlformats.org/officeDocument/2006/relationships/hyperlink" Target="https://baseball-data.com/player/f/%E5%8C%97%E5%B1%B1%E3%80%80%E4%BA%98%E5%9F%BA" TargetMode="External" /><Relationship Id="rId1055" Type="http://schemas.openxmlformats.org/officeDocument/2006/relationships/hyperlink" Target="https://baseball-data.com/player/m/%E9%95%B7%E5%B3%B6%E3%80%80%E5%B9%B8%E4%BD%91" TargetMode="External" /><Relationship Id="rId271" Type="http://schemas.openxmlformats.org/officeDocument/2006/relationships/hyperlink" Target="https://baseball-data.com/player/d/%E7%A6%8F%E6%B0%B8%E3%80%80%E8%A3%95%E5%9F%BA" TargetMode="External" /><Relationship Id="rId674" Type="http://schemas.openxmlformats.org/officeDocument/2006/relationships/hyperlink" Target="https://baseball-data.com/player/f/%E5%90%89%E7%94%B0%E3%80%80%E8%B3%A2%E5%90%BE" TargetMode="External" /><Relationship Id="rId881" Type="http://schemas.openxmlformats.org/officeDocument/2006/relationships/hyperlink" Target="https://baseball-data.com/player/l/%E6%A1%91%E5%8E%9F%E3%80%80%E5%B0%86%E5%BF%97" TargetMode="External" /><Relationship Id="rId937" Type="http://schemas.openxmlformats.org/officeDocument/2006/relationships/hyperlink" Target="https://baseball-data.com/player/l/%E8%B1%86%E7%94%B0%E3%80%80%E6%B3%B0%E5%BF%97" TargetMode="External" /><Relationship Id="rId979" Type="http://schemas.openxmlformats.org/officeDocument/2006/relationships/hyperlink" Target="https://baseball-data.com/player/m/%E8%A7%92%E4%B8%AD%E3%80%80%E5%8B%9D%E4%B9%9F" TargetMode="External" /><Relationship Id="rId24" Type="http://schemas.openxmlformats.org/officeDocument/2006/relationships/hyperlink" Target="https://baseball-data.com/player/t/%E9%AB%99%E6%A9%8B%E3%80%80%E9%81%A5%E4%BA%BA" TargetMode="External" /><Relationship Id="rId66" Type="http://schemas.openxmlformats.org/officeDocument/2006/relationships/hyperlink" Target="https://baseball-data.com/player/t/%E3%82%AC%E3%83%AB%E3%82%B7%E3%82%A2" TargetMode="External" /><Relationship Id="rId131" Type="http://schemas.openxmlformats.org/officeDocument/2006/relationships/hyperlink" Target="https://baseball-data.com/player/yb/%E7%94%B0%E5%86%85%E3%80%80%E7%9C%9F%E7%BF%94" TargetMode="External" /><Relationship Id="rId327" Type="http://schemas.openxmlformats.org/officeDocument/2006/relationships/hyperlink" Target="https://baseball-data.com/player/d/%E8%BF%91%E8%97%A4%E3%80%80%E5%BB%89" TargetMode="External" /><Relationship Id="rId369" Type="http://schemas.openxmlformats.org/officeDocument/2006/relationships/hyperlink" Target="https://baseball-data.com/player/c/%E8%8F%8A%E6%B1%A0%E3%80%80%E6%B6%BC%E4%BB%8B" TargetMode="External" /><Relationship Id="rId534" Type="http://schemas.openxmlformats.org/officeDocument/2006/relationships/hyperlink" Target="https://baseball-data.com/player/h/%E3%82%A2%E3%83%AB%E3%83%A1%E3%83%B3%E3%82%BF" TargetMode="External" /><Relationship Id="rId576" Type="http://schemas.openxmlformats.org/officeDocument/2006/relationships/hyperlink" Target="https://baseball-data.com/player/h/%E6%A1%91%E5%8E%9F%E3%80%80%E7%A7%80%E4%BE%8D" TargetMode="External" /><Relationship Id="rId741" Type="http://schemas.openxmlformats.org/officeDocument/2006/relationships/hyperlink" Target="https://baseball-data.com/player/bs/%E6%A3%AE%E3%80%80%E9%99%BD%E6%A8%B9" TargetMode="External" /><Relationship Id="rId783" Type="http://schemas.openxmlformats.org/officeDocument/2006/relationships/hyperlink" Target="https://baseball-data.com/player/bs/%E9%AB%99%E5%B3%B6%E3%80%80%E6%B3%B0%E9%83%BD" TargetMode="External" /><Relationship Id="rId839" Type="http://schemas.openxmlformats.org/officeDocument/2006/relationships/hyperlink" Target="https://baseball-data.com/player/e/%E5%B0%8F%E9%83%B7%E3%80%80%E8%A3%95%E5%93%89" TargetMode="External" /><Relationship Id="rId990" Type="http://schemas.openxmlformats.org/officeDocument/2006/relationships/hyperlink" Target="https://baseball-data.com/player/m/%E7%A8%AE%E5%B8%82%E3%80%80%E7%AF%A4%E6%9A%89" TargetMode="External" /><Relationship Id="rId173" Type="http://schemas.openxmlformats.org/officeDocument/2006/relationships/hyperlink" Target="https://baseball-data.com/player/g/%E6%9D%BE%E6%9C%AC%E3%80%80%E5%89%9B" TargetMode="External" /><Relationship Id="rId229" Type="http://schemas.openxmlformats.org/officeDocument/2006/relationships/hyperlink" Target="https://baseball-data.com/player/g/%E3%83%95%E3%82%A7%E3%83%AA%E3%82%B9" TargetMode="External" /><Relationship Id="rId380" Type="http://schemas.openxmlformats.org/officeDocument/2006/relationships/hyperlink" Target="https://baseball-data.com/player/c/%E6%9D%BE%E6%9C%AC%E3%80%80%E7%AB%9C%E4%B9%9F" TargetMode="External" /><Relationship Id="rId436" Type="http://schemas.openxmlformats.org/officeDocument/2006/relationships/hyperlink" Target="https://baseball-data.com/player/s/%E3%82%AA%E3%82%B9%E3%83%8A" TargetMode="External" /><Relationship Id="rId601" Type="http://schemas.openxmlformats.org/officeDocument/2006/relationships/hyperlink" Target="https://baseball-data.com/player/h/%E5%A1%A9%E5%A3%AB%E3%80%80%E6%9A%96" TargetMode="External" /><Relationship Id="rId643" Type="http://schemas.openxmlformats.org/officeDocument/2006/relationships/hyperlink" Target="https://baseball-data.com/player/f/%E6%B2%B3%E9%87%8E%E3%80%80%E7%AB%9C%E7%94%9F" TargetMode="External" /><Relationship Id="rId1024" Type="http://schemas.openxmlformats.org/officeDocument/2006/relationships/hyperlink" Target="https://baseball-data.com/player/m/%E6%9C%A8%E6%9D%91%E3%80%80%E5%84%AA%E4%BA%BA" TargetMode="External" /><Relationship Id="rId240" Type="http://schemas.openxmlformats.org/officeDocument/2006/relationships/hyperlink" Target="https://baseball-data.com/player/g/%E9%88%B4%E6%9C%A8%E3%80%80%E5%A4%A7%E5%92%8C" TargetMode="External" /><Relationship Id="rId478" Type="http://schemas.openxmlformats.org/officeDocument/2006/relationships/hyperlink" Target="https://baseball-data.com/player/s/%E6%9F%BF%E6%B2%BC%E3%80%80%E5%8F%8B%E5%93%89" TargetMode="External" /><Relationship Id="rId685" Type="http://schemas.openxmlformats.org/officeDocument/2006/relationships/hyperlink" Target="https://baseball-data.com/player/f/%E5%B8%B8%E8%B0%B7%E3%80%80%E6%8B%93%E8%BC%9D" TargetMode="External" /><Relationship Id="rId850" Type="http://schemas.openxmlformats.org/officeDocument/2006/relationships/hyperlink" Target="https://baseball-data.com/player/e/%E6%9D%BE%E7%94%B0%E3%80%80%E5%95%84%E7%A3%A8" TargetMode="External" /><Relationship Id="rId892" Type="http://schemas.openxmlformats.org/officeDocument/2006/relationships/hyperlink" Target="https://baseball-data.com/player/l/%E5%B2%A9%E5%9F%8E%E3%80%80%E9%A2%AF%E7%A9%BA" TargetMode="External" /><Relationship Id="rId906" Type="http://schemas.openxmlformats.org/officeDocument/2006/relationships/hyperlink" Target="https://baseball-data.com/player/l/%E7%A7%8B%E5%B1%B1%E3%80%80%E4%BF%8A" TargetMode="External" /><Relationship Id="rId948" Type="http://schemas.openxmlformats.org/officeDocument/2006/relationships/hyperlink" Target="https://baseball-data.com/player/l/%E5%A5%A5%E6%9D%91%E3%80%80%E5%85%89%E4%B8%80" TargetMode="External" /><Relationship Id="rId35" Type="http://schemas.openxmlformats.org/officeDocument/2006/relationships/hyperlink" Target="https://baseball-data.com/player/t/%E6%9D%91%E4%B8%8A%E3%80%80%E9%A0%8C%E6%A8%B9" TargetMode="External" /><Relationship Id="rId77" Type="http://schemas.openxmlformats.org/officeDocument/2006/relationships/hyperlink" Target="https://baseball-data.com/player/t/%E5%B7%9D%EF%A8%91%E3%80%80%E4%BF%8A%E5%93%B2" TargetMode="External" /><Relationship Id="rId100" Type="http://schemas.openxmlformats.org/officeDocument/2006/relationships/hyperlink" Target="https://baseball-data.com/player/yb/%E5%85%A5%E6%B1%9F%E3%80%80%E5%A4%A7%E7%94%9F" TargetMode="External" /><Relationship Id="rId282" Type="http://schemas.openxmlformats.org/officeDocument/2006/relationships/hyperlink" Target="https://baseball-data.com/player/d/%E5%A4%A7%E9%87%8E%E3%80%80%E9%9B%84%E5%A4%A7" TargetMode="External" /><Relationship Id="rId338" Type="http://schemas.openxmlformats.org/officeDocument/2006/relationships/hyperlink" Target="https://baseball-data.com/player/d/%E7%A6%8F%E5%85%83%E3%80%80%E6%82%A0%E7%9C%9F" TargetMode="External" /><Relationship Id="rId503" Type="http://schemas.openxmlformats.org/officeDocument/2006/relationships/hyperlink" Target="https://baseball-data.com/player/h/%E6%B8%A1%E9%82%89%E3%80%80%E9%99%B8" TargetMode="External" /><Relationship Id="rId545" Type="http://schemas.openxmlformats.org/officeDocument/2006/relationships/hyperlink" Target="https://baseball-data.com/player/h/%E5%A4%A7%E9%96%A2%E3%80%80%E5%8F%8B%E4%B9%85" TargetMode="External" /><Relationship Id="rId587" Type="http://schemas.openxmlformats.org/officeDocument/2006/relationships/hyperlink" Target="https://baseball-data.com/player/h/%E6%B4%A5%E5%98%89%E5%B1%B1%E3%80%80%E6%86%B2%E5%BF%97%E9%83%8E" TargetMode="External" /><Relationship Id="rId710" Type="http://schemas.openxmlformats.org/officeDocument/2006/relationships/hyperlink" Target="https://baseball-data.com/player/bs/%E6%B8%A1%E9%82%89%E3%80%80%E4%B8%80%E7%94%9F" TargetMode="External" /><Relationship Id="rId752" Type="http://schemas.openxmlformats.org/officeDocument/2006/relationships/hyperlink" Target="https://baseball-data.com/player/bs/%E6%B2%B3%E9%87%8E%E3%80%80%E8%81%A1%E5%A4%AA" TargetMode="External" /><Relationship Id="rId808" Type="http://schemas.openxmlformats.org/officeDocument/2006/relationships/hyperlink" Target="https://baseball-data.com/player/e/%E4%BC%8A%E8%97%A4%E3%80%80%E6%A8%B9" TargetMode="External" /><Relationship Id="rId8" Type="http://schemas.openxmlformats.org/officeDocument/2006/relationships/hyperlink" Target="https://baseball-data.com/player/t/%E4%B8%AD%E9%87%8E%E3%80%80%E6%8B%93%E5%A4%A2" TargetMode="External" /><Relationship Id="rId142" Type="http://schemas.openxmlformats.org/officeDocument/2006/relationships/hyperlink" Target="https://baseball-data.com/player/yb/%E6%BF%B1%E3%80%80%E5%B0%86%E4%B9%83%E4%BB%8B" TargetMode="External" /><Relationship Id="rId184" Type="http://schemas.openxmlformats.org/officeDocument/2006/relationships/hyperlink" Target="https://baseball-data.com/player/g/%E6%9C%A8%E4%B8%8B%E3%80%80%E5%B9%B9%E4%B9%9F" TargetMode="External" /><Relationship Id="rId391" Type="http://schemas.openxmlformats.org/officeDocument/2006/relationships/hyperlink" Target="https://baseball-data.com/player/c/%E6%8C%81%E4%B8%B8%E3%80%80%E6%B3%B0%E8%BC%9D" TargetMode="External" /><Relationship Id="rId405" Type="http://schemas.openxmlformats.org/officeDocument/2006/relationships/hyperlink" Target="https://baseball-data.com/player/c/%E5%90%8D%E5%8E%9F%E3%80%80%E5%85%B8%E5%BD%A6" TargetMode="External" /><Relationship Id="rId447" Type="http://schemas.openxmlformats.org/officeDocument/2006/relationships/hyperlink" Target="https://baseball-data.com/player/s/%E6%9C%A8%E6%BE%A4%E3%80%80%E5%B0%9A%E6%96%87" TargetMode="External" /><Relationship Id="rId612" Type="http://schemas.openxmlformats.org/officeDocument/2006/relationships/hyperlink" Target="https://baseball-data.com/player/h/%E4%BD%90%E8%97%A4%E3%80%80%E8%88%AA%E5%A4%AA" TargetMode="External" /><Relationship Id="rId794" Type="http://schemas.openxmlformats.org/officeDocument/2006/relationships/hyperlink" Target="https://baseball-data.com/player/e/%E5%B0%8F%E6%B7%B1%E7%94%B0%E3%80%80%E5%A4%A7%E7%BF%94" TargetMode="External" /><Relationship Id="rId1035" Type="http://schemas.openxmlformats.org/officeDocument/2006/relationships/hyperlink" Target="https://baseball-data.com/player/m/%E5%BB%A3%E6%B1%A0%E3%80%80%E5%BA%B7%E5%BF%97%E9%83%8E" TargetMode="External" /><Relationship Id="rId251" Type="http://schemas.openxmlformats.org/officeDocument/2006/relationships/hyperlink" Target="https://baseball-data.com/player/g/%E5%AE%87%E9%83%BD%E5%AE%AE%E3%80%80%E8%91%B5%E6%98%9F" TargetMode="External" /><Relationship Id="rId489" Type="http://schemas.openxmlformats.org/officeDocument/2006/relationships/hyperlink" Target="https://baseball-data.com/player/s/%E3%83%AA%E3%83%A9%E3%83%B3%E3%82%BD" TargetMode="External" /><Relationship Id="rId654" Type="http://schemas.openxmlformats.org/officeDocument/2006/relationships/hyperlink" Target="https://baseball-data.com/player/f/%E6%9C%89%E8%96%97%E3%80%80%E7%9B%B4%E8%BC%9D" TargetMode="External" /><Relationship Id="rId696" Type="http://schemas.openxmlformats.org/officeDocument/2006/relationships/hyperlink" Target="https://baseball-data.com/player/f/%E8%97%A4%E7%94%B0%E3%80%80%E5%A4%A7%E6%B8%85" TargetMode="External" /><Relationship Id="rId861" Type="http://schemas.openxmlformats.org/officeDocument/2006/relationships/hyperlink" Target="https://baseball-data.com/player/e/%E5%A4%A7%E6%A0%84%E3%80%80%E5%88%A9%E5%93%89" TargetMode="External" /><Relationship Id="rId917" Type="http://schemas.openxmlformats.org/officeDocument/2006/relationships/hyperlink" Target="https://baseball-data.com/player/l/%E6%9D%89%E5%B1%B1%E3%80%80%E9%81%99%E5%B8%8C" TargetMode="External" /><Relationship Id="rId959" Type="http://schemas.openxmlformats.org/officeDocument/2006/relationships/hyperlink" Target="https://baseball-data.com/player/l/%E9%87%91%E5%AD%90%E3%80%80%E5%8A%9F%E5%85%90" TargetMode="External" /><Relationship Id="rId46" Type="http://schemas.openxmlformats.org/officeDocument/2006/relationships/hyperlink" Target="https://baseball-data.com/player/t/%E5%B1%B1%E7%94%B0%E3%80%80%E8%84%A9%E4%B9%9F" TargetMode="External" /><Relationship Id="rId293" Type="http://schemas.openxmlformats.org/officeDocument/2006/relationships/hyperlink" Target="https://baseball-data.com/player/d/%E7%A6%8F%E3%80%80%E6%95%AC%E7%99%BB" TargetMode="External" /><Relationship Id="rId307" Type="http://schemas.openxmlformats.org/officeDocument/2006/relationships/hyperlink" Target="https://baseball-data.com/player/d/%E6%B8%85%E6%B0%B4%E3%80%80%E9%81%94%E4%B9%9F" TargetMode="External" /><Relationship Id="rId349" Type="http://schemas.openxmlformats.org/officeDocument/2006/relationships/hyperlink" Target="https://baseball-data.com/player/c/%E7%A7%8B%E5%B1%B1%E3%80%80%E7%BF%94%E5%90%BE" TargetMode="External" /><Relationship Id="rId514" Type="http://schemas.openxmlformats.org/officeDocument/2006/relationships/hyperlink" Target="https://baseball-data.com/player/h/%E5%B6%BA%E4%BA%95%E3%80%80%E5%8D%9A%E5%B8%8C" TargetMode="External" /><Relationship Id="rId556" Type="http://schemas.openxmlformats.org/officeDocument/2006/relationships/hyperlink" Target="https://baseball-data.com/player/h/%E6%9C%A8%E6%9D%91%E3%80%80%E5%A4%A7%E6%88%90" TargetMode="External" /><Relationship Id="rId721" Type="http://schemas.openxmlformats.org/officeDocument/2006/relationships/hyperlink" Target="https://baseball-data.com/player/bs/%E5%B9%B3%E9%87%8E%E3%80%80%E4%BD%B3%E5%AF%BF" TargetMode="External" /><Relationship Id="rId763" Type="http://schemas.openxmlformats.org/officeDocument/2006/relationships/hyperlink" Target="https://baseball-data.com/player/bs/%E5%AE%9C%E4%BF%9D%E3%80%80%E7%BF%94" TargetMode="External" /><Relationship Id="rId88" Type="http://schemas.openxmlformats.org/officeDocument/2006/relationships/hyperlink" Target="https://baseball-data.com/player/yb/%E7%A5%9E%E9%87%8C%E3%80%80%E5%92%8C%E6%AF%85" TargetMode="External" /><Relationship Id="rId111" Type="http://schemas.openxmlformats.org/officeDocument/2006/relationships/hyperlink" Target="https://baseball-data.com/player/yb/%E6%A9%8B%E6%9C%AC%E3%80%80%E9%81%94%E5%BC%A5" TargetMode="External" /><Relationship Id="rId153" Type="http://schemas.openxmlformats.org/officeDocument/2006/relationships/hyperlink" Target="https://baseball-data.com/player/yb/%E5%90%89%E5%B2%A1%E3%80%80%E6%9A%96" TargetMode="External" /><Relationship Id="rId195" Type="http://schemas.openxmlformats.org/officeDocument/2006/relationships/hyperlink" Target="https://baseball-data.com/player/g/%E5%A4%A7%E5%9F%8E%E3%80%80%E5%8D%93%E4%B8%89" TargetMode="External" /><Relationship Id="rId209" Type="http://schemas.openxmlformats.org/officeDocument/2006/relationships/hyperlink" Target="https://baseball-data.com/player/g/%E6%B5%A6%E7%94%B0%E3%80%80%E4%BF%8A%E8%BC%94" TargetMode="External" /><Relationship Id="rId360" Type="http://schemas.openxmlformats.org/officeDocument/2006/relationships/hyperlink" Target="https://baseball-data.com/player/c/%E9%AB%99%E3%80%80%E5%A4%AA%E4%B8%80" TargetMode="External" /><Relationship Id="rId416" Type="http://schemas.openxmlformats.org/officeDocument/2006/relationships/hyperlink" Target="https://baseball-data.com/player/c/%E5%B2%B8%E6%9C%AC%E3%80%80%E5%A4%A7%E5%B8%8C" TargetMode="External" /><Relationship Id="rId598" Type="http://schemas.openxmlformats.org/officeDocument/2006/relationships/hyperlink" Target="https://baseball-data.com/player/h/%E7%86%8A%E8%B0%B7%E3%80%80%E5%A4%AA%E9%9B%85" TargetMode="External" /><Relationship Id="rId819" Type="http://schemas.openxmlformats.org/officeDocument/2006/relationships/hyperlink" Target="https://baseball-data.com/player/e/%E7%94%B0%E4%B8%AD%E3%80%80%E5%8D%83%E6%99%B4" TargetMode="External" /><Relationship Id="rId970" Type="http://schemas.openxmlformats.org/officeDocument/2006/relationships/hyperlink" Target="https://baseball-data.com/player/l/%E3%83%95%E3%83%AC%E3%83%83%E3%83%89" TargetMode="External" /><Relationship Id="rId1004" Type="http://schemas.openxmlformats.org/officeDocument/2006/relationships/hyperlink" Target="https://baseball-data.com/player/m/%E5%85%AB%E6%9C%A8%E3%80%80%E5%BD%AC" TargetMode="External" /><Relationship Id="rId1046" Type="http://schemas.openxmlformats.org/officeDocument/2006/relationships/hyperlink" Target="https://baseball-data.com/player/m/%E6%9C%AC%E5%89%8D%E3%80%80%E9%83%81%E4%B9%9F" TargetMode="External" /><Relationship Id="rId220" Type="http://schemas.openxmlformats.org/officeDocument/2006/relationships/hyperlink" Target="https://baseball-data.com/player/g/%E3%83%9E%E3%82%BF" TargetMode="External" /><Relationship Id="rId458" Type="http://schemas.openxmlformats.org/officeDocument/2006/relationships/hyperlink" Target="https://baseball-data.com/player/s/%E6%9D%BE%E6%9C%AC%E3%80%80%E5%81%A5%E5%90%BE" TargetMode="External" /><Relationship Id="rId623" Type="http://schemas.openxmlformats.org/officeDocument/2006/relationships/hyperlink" Target="https://baseball-data.com/player/f/%E9%87%8E%E6%9D%91%E3%80%80%E4%BD%91%E5%B8%8C" TargetMode="External" /><Relationship Id="rId665" Type="http://schemas.openxmlformats.org/officeDocument/2006/relationships/hyperlink" Target="https://baseball-data.com/player/f/%E4%BA%94%E5%8D%81%E5%B9%A1%E3%80%80%E4%BA%AE%E6%B1%B0" TargetMode="External" /><Relationship Id="rId830" Type="http://schemas.openxmlformats.org/officeDocument/2006/relationships/hyperlink" Target="https://baseball-data.com/player/e/%E9%98%AA%E4%B8%8A%E3%80%80%E7%BF%94%E4%B9%9F" TargetMode="External" /><Relationship Id="rId872" Type="http://schemas.openxmlformats.org/officeDocument/2006/relationships/hyperlink" Target="https://baseball-data.com/player/e/%E4%B8%AD%E6%B2%A2%E3%80%80%E5%8C%A0%E7%A3%A8" TargetMode="External" /><Relationship Id="rId928" Type="http://schemas.openxmlformats.org/officeDocument/2006/relationships/hyperlink" Target="https://baseball-data.com/player/l/%E4%B8%AD%E6%9D%91%E3%80%80%E5%89%9B%E4%B9%9F" TargetMode="External" /><Relationship Id="rId15" Type="http://schemas.openxmlformats.org/officeDocument/2006/relationships/hyperlink" Target="https://baseball-data.com/player/t/%E4%BC%8F%E8%A6%8B%E3%80%80%E5%AF%85%E5%A8%81" TargetMode="External" /><Relationship Id="rId57" Type="http://schemas.openxmlformats.org/officeDocument/2006/relationships/hyperlink" Target="https://baseball-data.com/player/t/%E7%9F%B3%E9%BB%92%E3%80%80%E4%BD%91%E5%BC%A5" TargetMode="External" /><Relationship Id="rId262" Type="http://schemas.openxmlformats.org/officeDocument/2006/relationships/hyperlink" Target="https://baseball-data.com/player/g/%E8%97%A4%E4%BA%95%E3%80%80%E5%81%A5%E7%BF%94" TargetMode="External" /><Relationship Id="rId318" Type="http://schemas.openxmlformats.org/officeDocument/2006/relationships/hyperlink" Target="https://baseball-data.com/player/d/%E9%AB%98%E6%A9%8B%E3%80%80%E5%B9%B8%E4%BD%91" TargetMode="External" /><Relationship Id="rId525" Type="http://schemas.openxmlformats.org/officeDocument/2006/relationships/hyperlink" Target="https://baseball-data.com/player/h/%E5%BA%84%E5%AD%90%E3%80%80%E9%9B%84%E5%A4%A7" TargetMode="External" /><Relationship Id="rId567" Type="http://schemas.openxmlformats.org/officeDocument/2006/relationships/hyperlink" Target="https://baseball-data.com/player/h/%E5%B2%A9%E5%B4%8E%E3%80%80%E5%B3%BB%E5%85%B8" TargetMode="External" /><Relationship Id="rId732" Type="http://schemas.openxmlformats.org/officeDocument/2006/relationships/hyperlink" Target="https://baseball-data.com/player/bs/%E5%AF%8C%E5%B1%B1%E3%80%80%E5%87%8C%E9%9B%85" TargetMode="External" /><Relationship Id="rId99" Type="http://schemas.openxmlformats.org/officeDocument/2006/relationships/hyperlink" Target="https://baseball-data.com/player/yb/%E5%9D%82%E6%9C%AC%E3%80%80%E8%A3%95%E5%93%89" TargetMode="External" /><Relationship Id="rId122" Type="http://schemas.openxmlformats.org/officeDocument/2006/relationships/hyperlink" Target="https://baseball-data.com/player/yb/%E5%9D%82%E5%8F%A3%E3%80%80%E7%BF%94%E9%A2%AF" TargetMode="External" /><Relationship Id="rId164" Type="http://schemas.openxmlformats.org/officeDocument/2006/relationships/hyperlink" Target="https://baseball-data.com/player/g/%E4%B8%AD%E7%94%B0%E3%80%80%E6%AD%A9%E5%A4%A2" TargetMode="External" /><Relationship Id="rId371" Type="http://schemas.openxmlformats.org/officeDocument/2006/relationships/hyperlink" Target="https://baseball-data.com/player/c/%E5%B7%A5%E8%97%A4%E3%80%80%E6%B3%B0%E5%B7%B1" TargetMode="External" /><Relationship Id="rId774" Type="http://schemas.openxmlformats.org/officeDocument/2006/relationships/hyperlink" Target="https://baseball-data.com/player/bs/%E5%AE%AE%E5%9C%8B%E3%80%80%E5%87%8C%E7%A9%BA" TargetMode="External" /><Relationship Id="rId981" Type="http://schemas.openxmlformats.org/officeDocument/2006/relationships/hyperlink" Target="https://baseball-data.com/player/m/%E5%AE%89%E7%94%B0%E3%80%80%E5%B0%9A%E6%86%B2" TargetMode="External" /><Relationship Id="rId1015" Type="http://schemas.openxmlformats.org/officeDocument/2006/relationships/hyperlink" Target="https://baseball-data.com/player/m/%E5%AE%AE%E5%B4%8E%E3%80%80%E7%AB%9C%E6%88%90" TargetMode="External" /><Relationship Id="rId1057" Type="http://schemas.openxmlformats.org/officeDocument/2006/relationships/hyperlink" Target="https://baseball-data.com/player/m/%E6%9D%BE%E7%9F%B3%E3%80%80%E4%BF%A1%E5%85%AB" TargetMode="External" /><Relationship Id="rId427" Type="http://schemas.openxmlformats.org/officeDocument/2006/relationships/hyperlink" Target="https://baseball-data.com/player/s/%E5%86%85%E5%B1%B1%E3%80%80%E5%A3%AE%E7%9C%9F" TargetMode="External" /><Relationship Id="rId469" Type="http://schemas.openxmlformats.org/officeDocument/2006/relationships/hyperlink" Target="https://baseball-data.com/player/s/%E6%9D%BE%E5%B7%9D%E3%80%80%E7%8E%B2%E5%A4%AE" TargetMode="External" /><Relationship Id="rId634" Type="http://schemas.openxmlformats.org/officeDocument/2006/relationships/hyperlink" Target="https://baseball-data.com/player/f/%E4%BC%8A%E8%97%A4%E3%80%80%E5%A4%A7%EF%A9%85" TargetMode="External" /><Relationship Id="rId676" Type="http://schemas.openxmlformats.org/officeDocument/2006/relationships/hyperlink" Target="https://baseball-data.com/player/f/%E6%B8%85%E6%B0%B4%E3%80%80%E5%A4%A7%E6%9A%89" TargetMode="External" /><Relationship Id="rId841" Type="http://schemas.openxmlformats.org/officeDocument/2006/relationships/hyperlink" Target="https://baseball-data.com/player/e/%E5%9D%82%E4%BA%95%E3%80%80%E9%99%BD%E7%BF%94" TargetMode="External" /><Relationship Id="rId883" Type="http://schemas.openxmlformats.org/officeDocument/2006/relationships/hyperlink" Target="https://baseball-data.com/player/l/%E8%9B%AD%E9%96%93%E3%80%80%E6%8B%93%E5%93%89" TargetMode="External" /><Relationship Id="rId26" Type="http://schemas.openxmlformats.org/officeDocument/2006/relationships/hyperlink" Target="https://baseball-data.com/player/t/%E6%BF%B1%E7%94%B0%E3%80%80%E5%A4%AA%E8%B2%B4" TargetMode="External" /><Relationship Id="rId231" Type="http://schemas.openxmlformats.org/officeDocument/2006/relationships/hyperlink" Target="https://baseball-data.com/player/g/%E3%83%86%E3%82%A3%E3%83%9E" TargetMode="External" /><Relationship Id="rId273" Type="http://schemas.openxmlformats.org/officeDocument/2006/relationships/hyperlink" Target="https://baseball-data.com/player/d/%E7%9F%B3%E4%BC%8A%E3%80%80%E9%9B%84%E5%A4%AA" TargetMode="External" /><Relationship Id="rId329" Type="http://schemas.openxmlformats.org/officeDocument/2006/relationships/hyperlink" Target="https://baseball-data.com/player/d/%E3%83%A1%E3%83%92%E3%82%A2" TargetMode="External" /><Relationship Id="rId480" Type="http://schemas.openxmlformats.org/officeDocument/2006/relationships/hyperlink" Target="https://baseball-data.com/player/s/%E5%8C%97%E6%9D%91%E3%80%80%E6%81%B5%E5%90%BE" TargetMode="External" /><Relationship Id="rId536" Type="http://schemas.openxmlformats.org/officeDocument/2006/relationships/hyperlink" Target="https://baseball-data.com/player/h/%E3%82%A4%E3%83%92%E3%83%8D%E3%80%80%E3%82%A4%E3%83%84%E3%82%A2" TargetMode="External" /><Relationship Id="rId701" Type="http://schemas.openxmlformats.org/officeDocument/2006/relationships/hyperlink" Target="https://baseball-data.com/player/f/%E6%98%9F%E9%87%8E%E3%80%80%E3%81%B2%E3%81%AE%E3%81%A7" TargetMode="External" /><Relationship Id="rId939" Type="http://schemas.openxmlformats.org/officeDocument/2006/relationships/hyperlink" Target="https://baseball-data.com/player/l/%E6%9E%97%E3%80%80%E5%AE%89%E5%8F%AF" TargetMode="External" /><Relationship Id="rId68" Type="http://schemas.openxmlformats.org/officeDocument/2006/relationships/hyperlink" Target="https://baseball-data.com/player/t/%E3%82%BB%E3%83%99%E3%83%AA%E3%83%BC%E3%83%8E" TargetMode="External" /><Relationship Id="rId133" Type="http://schemas.openxmlformats.org/officeDocument/2006/relationships/hyperlink" Target="https://baseball-data.com/player/yb/%E6%A2%B6%E5%8E%9F%E3%80%80%E6%98%82%E5%B8%8C" TargetMode="External" /><Relationship Id="rId175" Type="http://schemas.openxmlformats.org/officeDocument/2006/relationships/hyperlink" Target="https://baseball-data.com/player/g/%E7%94%B0%E4%B8%AD%E3%80%80%E5%B0%86%E5%A4%A7" TargetMode="External" /><Relationship Id="rId340" Type="http://schemas.openxmlformats.org/officeDocument/2006/relationships/hyperlink" Target="https://baseball-data.com/player/d/%E6%A3%AE%E5%B1%B1%E3%80%80%E6%9A%81%E7%94%9F" TargetMode="External" /><Relationship Id="rId578" Type="http://schemas.openxmlformats.org/officeDocument/2006/relationships/hyperlink" Target="https://baseball-data.com/player/h/%E5%AE%AE%E9%87%8C%E3%80%80%E5%84%AA%E5%90%BE" TargetMode="External" /><Relationship Id="rId743" Type="http://schemas.openxmlformats.org/officeDocument/2006/relationships/hyperlink" Target="https://baseball-data.com/player/bs/%E6%9D%A5%E7%94%B0%E3%80%80%E6%B6%BC%E6%96%97" TargetMode="External" /><Relationship Id="rId785" Type="http://schemas.openxmlformats.org/officeDocument/2006/relationships/hyperlink" Target="https://baseball-data.com/player/bs/%E6%9D%89%E6%9C%AC%E3%80%80%E8%A3%95%E5%A4%AA%E9%83%8E" TargetMode="External" /><Relationship Id="rId950" Type="http://schemas.openxmlformats.org/officeDocument/2006/relationships/hyperlink" Target="https://baseball-data.com/player/l/%E6%96%8E%E8%97%A4%E3%80%80%E4%BD%B3%E7%B4%B3" TargetMode="External" /><Relationship Id="rId992" Type="http://schemas.openxmlformats.org/officeDocument/2006/relationships/hyperlink" Target="https://baseball-data.com/player/m/%E5%94%90%E5%B7%9D%E3%80%80%E4%BE%91%E5%B7%B1" TargetMode="External" /><Relationship Id="rId1026" Type="http://schemas.openxmlformats.org/officeDocument/2006/relationships/hyperlink" Target="https://baseball-data.com/player/m/%E6%AB%BB%E4%BA%95%E3%80%80%E3%83%A6%E3%82%A6%E3%83%A4" TargetMode="External" /><Relationship Id="rId200" Type="http://schemas.openxmlformats.org/officeDocument/2006/relationships/hyperlink" Target="https://baseball-data.com/player/g/%E5%8C%97%E6%9D%91%E3%80%80%E6%B5%81%E9%9F%B3" TargetMode="External" /><Relationship Id="rId382" Type="http://schemas.openxmlformats.org/officeDocument/2006/relationships/hyperlink" Target="https://baseball-data.com/player/c/%E6%96%89%E8%97%A4%E3%80%80%E5%84%AA%E6%B1%B0" TargetMode="External" /><Relationship Id="rId438" Type="http://schemas.openxmlformats.org/officeDocument/2006/relationships/hyperlink" Target="https://baseball-data.com/player/s/%E8%A5%BF%E8%88%98%E3%80%80%E6%98%82%E6%B1%B0" TargetMode="External" /><Relationship Id="rId603" Type="http://schemas.openxmlformats.org/officeDocument/2006/relationships/hyperlink" Target="https://baseball-data.com/player/h/%E9%95%B7%EF%A8%91%E3%80%80%E8%93%AE%E6%B1%B0" TargetMode="External" /><Relationship Id="rId645" Type="http://schemas.openxmlformats.org/officeDocument/2006/relationships/hyperlink" Target="https://baseball-data.com/player/f/%E3%83%A9%E3%82%AA" TargetMode="External" /><Relationship Id="rId687" Type="http://schemas.openxmlformats.org/officeDocument/2006/relationships/hyperlink" Target="https://baseball-data.com/player/f/%E6%A2%85%E6%9E%97%E3%80%80%E5%84%AA%E8%B2%B4" TargetMode="External" /><Relationship Id="rId810" Type="http://schemas.openxmlformats.org/officeDocument/2006/relationships/hyperlink" Target="https://baseball-data.com/player/e/%E6%B0%B4%E4%B8%8A%E3%80%80%E6%A1%82" TargetMode="External" /><Relationship Id="rId852" Type="http://schemas.openxmlformats.org/officeDocument/2006/relationships/hyperlink" Target="https://baseball-data.com/player/e/%E5%85%A5%E6%B1%9F%E3%80%80%E5%A4%A7%E6%A8%B9" TargetMode="External" /><Relationship Id="rId908" Type="http://schemas.openxmlformats.org/officeDocument/2006/relationships/hyperlink" Target="https://baseball-data.com/player/l/%E6%9F%98%E6%A4%8D%E3%80%80%E4%B8%96%E9%82%A3" TargetMode="External" /><Relationship Id="rId242" Type="http://schemas.openxmlformats.org/officeDocument/2006/relationships/hyperlink" Target="https://baseball-data.com/player/g/%E5%A2%97%E7%94%B0%E3%80%80%E9%99%B8" TargetMode="External" /><Relationship Id="rId284" Type="http://schemas.openxmlformats.org/officeDocument/2006/relationships/hyperlink" Target="https://baseball-data.com/player/d/%E3%83%9C%E3%82%B9%E3%83%A9%E3%83%BC" TargetMode="External" /><Relationship Id="rId491" Type="http://schemas.openxmlformats.org/officeDocument/2006/relationships/hyperlink" Target="https://baseball-data.com/player/s/%E5%B2%A9%E7%94%B0%E3%80%80%E5%B9%B8%E5%AE%8F" TargetMode="External" /><Relationship Id="rId505" Type="http://schemas.openxmlformats.org/officeDocument/2006/relationships/hyperlink" Target="https://baseball-data.com/player/h/%E8%BF%91%E8%97%A4%E3%80%80%E5%81%A5%E4%BB%8B" TargetMode="External" /><Relationship Id="rId712" Type="http://schemas.openxmlformats.org/officeDocument/2006/relationships/hyperlink" Target="https://baseball-data.com/player/bs/%E5%AE%97%E3%80%80%E4%BD%91%E7%A3%A8" TargetMode="External" /><Relationship Id="rId894" Type="http://schemas.openxmlformats.org/officeDocument/2006/relationships/hyperlink" Target="https://baseball-data.com/player/l/%E5%8F%A4%E8%B3%80%E3%80%80%E6%82%A0%E6%96%97" TargetMode="External" /><Relationship Id="rId37" Type="http://schemas.openxmlformats.org/officeDocument/2006/relationships/hyperlink" Target="https://baseball-data.com/player/t/%E7%94%BA%E7%94%B0%E3%80%80%E9%9A%BC%E4%B9%99" TargetMode="External" /><Relationship Id="rId79" Type="http://schemas.openxmlformats.org/officeDocument/2006/relationships/hyperlink" Target="https://baseball-data.com/player/t/%E3%82%A2%E3%83%AB%E3%83%8A%E3%82%A8%E3%82%B9" TargetMode="External" /><Relationship Id="rId102" Type="http://schemas.openxmlformats.org/officeDocument/2006/relationships/hyperlink" Target="https://baseball-data.com/player/yb/%E7%AD%92%E9%A6%99%E3%80%80%E5%98%89%E6%99%BA" TargetMode="External" /><Relationship Id="rId144" Type="http://schemas.openxmlformats.org/officeDocument/2006/relationships/hyperlink" Target="https://baseball-data.com/player/yb/%E3%82%A8%E3%83%B3%E3%82%AB%E3%83%BC%E3%83%8A%E3%82%B7%E3%82%AA%E3%83%B3" TargetMode="External" /><Relationship Id="rId547" Type="http://schemas.openxmlformats.org/officeDocument/2006/relationships/hyperlink" Target="https://baseball-data.com/player/h/%E6%9D%BE%E6%9C%AC%E3%80%80%E6%99%B4" TargetMode="External" /><Relationship Id="rId589" Type="http://schemas.openxmlformats.org/officeDocument/2006/relationships/hyperlink" Target="https://baseball-data.com/player/h/%E4%BA%95%EF%A8%91%E3%80%80%E7%87%A6%E5%BF%97%E9%83%8E" TargetMode="External" /><Relationship Id="rId754" Type="http://schemas.openxmlformats.org/officeDocument/2006/relationships/hyperlink" Target="https://baseball-data.com/player/bs/%E6%9C%AC%E7%94%B0%E3%80%80%E4%BB%81%E6%B5%B7" TargetMode="External" /><Relationship Id="rId796" Type="http://schemas.openxmlformats.org/officeDocument/2006/relationships/hyperlink" Target="https://baseball-data.com/player/e/%E5%A4%AA%E7%94%B0%E3%80%80%E5%85%89" TargetMode="External" /><Relationship Id="rId961" Type="http://schemas.openxmlformats.org/officeDocument/2006/relationships/hyperlink" Target="https://baseball-data.com/player/l/%E3%83%A9%E3%83%9E%E3%83%AB" TargetMode="External" /><Relationship Id="rId90" Type="http://schemas.openxmlformats.org/officeDocument/2006/relationships/hyperlink" Target="https://baseball-data.com/player/yb/%E6%88%B8%E6%9F%B1%E3%80%80%E6%81%AD%E5%AD%9D" TargetMode="External" /><Relationship Id="rId186" Type="http://schemas.openxmlformats.org/officeDocument/2006/relationships/hyperlink" Target="https://baseball-data.com/player/g/%E5%9C%92%E7%94%B0%E3%80%80%E7%B4%94%E8%A6%8F" TargetMode="External" /><Relationship Id="rId351" Type="http://schemas.openxmlformats.org/officeDocument/2006/relationships/hyperlink" Target="https://baseball-data.com/player/c/%E9%BD%8A%E8%97%A4%E3%80%80%E6%B1%B0%E7%9B%B4" TargetMode="External" /><Relationship Id="rId393" Type="http://schemas.openxmlformats.org/officeDocument/2006/relationships/hyperlink" Target="https://baseball-data.com/player/c/%E5%A4%A7%E7%9B%9B%E3%80%80%E7%A9%82" TargetMode="External" /><Relationship Id="rId407" Type="http://schemas.openxmlformats.org/officeDocument/2006/relationships/hyperlink" Target="https://baseball-data.com/player/c/%E4%BD%90%E8%97%A4%E3%80%80%E5%95%93%E4%BB%8B" TargetMode="External" /><Relationship Id="rId449" Type="http://schemas.openxmlformats.org/officeDocument/2006/relationships/hyperlink" Target="https://baseball-data.com/player/s/%E6%9D%BE%E6%9C%AC%E3%80%80%E9%BE%8D%E4%B9%8B%E4%BB%8B" TargetMode="External" /><Relationship Id="rId614" Type="http://schemas.openxmlformats.org/officeDocument/2006/relationships/hyperlink" Target="https://baseball-data.com/player/h/%E8%A5%BF%E5%B0%BE%E3%80%80%E6%AD%A9%E7%9C%9F" TargetMode="External" /><Relationship Id="rId656" Type="http://schemas.openxmlformats.org/officeDocument/2006/relationships/hyperlink" Target="https://baseball-data.com/player/f/%E7%A6%8F%E8%B0%B7%E3%80%80%E6%B5%A9%E5%8F%B8" TargetMode="External" /><Relationship Id="rId821" Type="http://schemas.openxmlformats.org/officeDocument/2006/relationships/hyperlink" Target="https://baseball-data.com/player/e/%E6%B8%A1%E8%BE%BA%E3%80%80%E7%BF%94%E5%A4%AA" TargetMode="External" /><Relationship Id="rId863" Type="http://schemas.openxmlformats.org/officeDocument/2006/relationships/hyperlink" Target="https://baseball-data.com/player/e/%E9%99%BD%E3%80%80%E6%9F%8F%E7%BF%94" TargetMode="External" /><Relationship Id="rId1037" Type="http://schemas.openxmlformats.org/officeDocument/2006/relationships/hyperlink" Target="https://baseball-data.com/player/m/%E5%AE%AE%EF%A8%91%E3%80%80%E9%A2%AF" TargetMode="External" /><Relationship Id="rId211" Type="http://schemas.openxmlformats.org/officeDocument/2006/relationships/hyperlink" Target="https://baseball-data.com/player/g/%E6%A3%AE%E6%9C%AC%E3%80%80%E5%93%B2%E6%98%9F" TargetMode="External" /><Relationship Id="rId253" Type="http://schemas.openxmlformats.org/officeDocument/2006/relationships/hyperlink" Target="https://baseball-data.com/player/g/%E7%9F%B3%E7%94%B0%E3%80%80%E9%9A%BC%E9%83%BD" TargetMode="External" /><Relationship Id="rId295" Type="http://schemas.openxmlformats.org/officeDocument/2006/relationships/hyperlink" Target="https://baseball-data.com/player/d/%E7%A6%8F%E7%94%B0%E3%80%80%E5%B9%B8%E4%B9%8B%E4%BB%8B" TargetMode="External" /><Relationship Id="rId309" Type="http://schemas.openxmlformats.org/officeDocument/2006/relationships/hyperlink" Target="https://baseball-data.com/player/d/%E7%AF%A0%EF%A8%91%E3%80%80%E5%9B%BD%E5%BF%A0" TargetMode="External" /><Relationship Id="rId460" Type="http://schemas.openxmlformats.org/officeDocument/2006/relationships/hyperlink" Target="https://baseball-data.com/player/s/%E8%8D%98%E5%8F%B8%E3%80%80%E5%AE%8F%E5%A4%AA" TargetMode="External" /><Relationship Id="rId516" Type="http://schemas.openxmlformats.org/officeDocument/2006/relationships/hyperlink" Target="https://baseball-data.com/player/h/%E3%83%A9%E3%83%88%E3%83%AA%E3%83%83%E3%82%B8" TargetMode="External" /><Relationship Id="rId698" Type="http://schemas.openxmlformats.org/officeDocument/2006/relationships/hyperlink" Target="https://baseball-data.com/player/f/%E7%A6%8F%E7%94%B0%E3%80%80%E4%BF%8A" TargetMode="External" /><Relationship Id="rId919" Type="http://schemas.openxmlformats.org/officeDocument/2006/relationships/hyperlink" Target="https://baseball-data.com/player/l/%E8%A5%BF%E5%B7%9D%E3%80%80%E6%84%9B%E4%B9%9F" TargetMode="External" /><Relationship Id="rId48" Type="http://schemas.openxmlformats.org/officeDocument/2006/relationships/hyperlink" Target="https://baseball-data.com/player/t/%E6%9C%A8%E4%B8%8B%E3%80%80%E9%87%8C%E9%83%BD" TargetMode="External" /><Relationship Id="rId113" Type="http://schemas.openxmlformats.org/officeDocument/2006/relationships/hyperlink" Target="https://baseball-data.com/player/yb/%E5%8A%A0%E8%97%A4%E3%80%80%E9%9F%BF" TargetMode="External" /><Relationship Id="rId320" Type="http://schemas.openxmlformats.org/officeDocument/2006/relationships/hyperlink" Target="https://baseball-data.com/player/d/%E6%9D%BF%E5%B1%B1%E3%80%80%E7%A5%90%E5%A4%AA%E9%83%8E" TargetMode="External" /><Relationship Id="rId558" Type="http://schemas.openxmlformats.org/officeDocument/2006/relationships/hyperlink" Target="https://baseball-data.com/player/h/%E5%A4%A7%E9%87%8E%E3%80%80%E7%A8%BC%E9%A0%AD%E5%A4%AE" TargetMode="External" /><Relationship Id="rId723" Type="http://schemas.openxmlformats.org/officeDocument/2006/relationships/hyperlink" Target="https://baseball-data.com/player/bs/%E5%AE%AE%E5%9F%8E%E3%80%80%E5%A4%A7%E5%BC%A5" TargetMode="External" /><Relationship Id="rId765" Type="http://schemas.openxmlformats.org/officeDocument/2006/relationships/hyperlink" Target="https://baseball-data.com/player/bs/%E6%9D%B1%E5%B1%B1%E3%80%80%E7%8E%B2%E5%A3%AB" TargetMode="External" /><Relationship Id="rId930" Type="http://schemas.openxmlformats.org/officeDocument/2006/relationships/hyperlink" Target="https://baseball-data.com/player/l/%E6%BB%9D%E6%BE%A4%E3%80%80%E5%A4%8F%E5%A4%AE" TargetMode="External" /><Relationship Id="rId972" Type="http://schemas.openxmlformats.org/officeDocument/2006/relationships/hyperlink" Target="https://baseball-data.com/player/l/%E3%82%B4%E3%83%B3%E3%82%B6%E3%83%AC%E3%82%B9" TargetMode="External" /><Relationship Id="rId1006" Type="http://schemas.openxmlformats.org/officeDocument/2006/relationships/hyperlink" Target="https://baseball-data.com/player/m/%E7%94%B0%E4%B8%AD%E3%80%80%E6%99%B4%E4%B9%9F" TargetMode="External" /><Relationship Id="rId155" Type="http://schemas.openxmlformats.org/officeDocument/2006/relationships/hyperlink" Target="https://baseball-data.com/player/yb/%E4%B8%8A%E7%94%B2%E3%80%80%E5%87%8C%E5%A4%A7" TargetMode="External" /><Relationship Id="rId197" Type="http://schemas.openxmlformats.org/officeDocument/2006/relationships/hyperlink" Target="https://baseball-data.com/player/g/%E7%AB%B9%E4%B8%8B%E3%80%80%E5%BE%A0%E7%A9%BA" TargetMode="External" /><Relationship Id="rId362" Type="http://schemas.openxmlformats.org/officeDocument/2006/relationships/hyperlink" Target="https://baseball-data.com/player/c/%E7%9B%8A%E7%94%B0%E3%80%80%E6%AD%A6%E5%B0%9A" TargetMode="External" /><Relationship Id="rId418" Type="http://schemas.openxmlformats.org/officeDocument/2006/relationships/hyperlink" Target="https://baseball-data.com/player/c/%E6%B2%B3%E9%87%8E%E3%80%80%E4%BD%B3" TargetMode="External" /><Relationship Id="rId625" Type="http://schemas.openxmlformats.org/officeDocument/2006/relationships/hyperlink" Target="https://baseball-data.com/player/f/%E8%A5%BF%E5%B7%9D%E3%80%80%E9%81%A5%E8%BC%9D" TargetMode="External" /><Relationship Id="rId832" Type="http://schemas.openxmlformats.org/officeDocument/2006/relationships/hyperlink" Target="https://baseball-data.com/player/e/%E7%94%B0%E4%B8%AD%E3%80%80%E8%B2%B4%E4%B9%9F" TargetMode="External" /><Relationship Id="rId1048" Type="http://schemas.openxmlformats.org/officeDocument/2006/relationships/hyperlink" Target="https://baseball-data.com/player/m/%E4%B8%AD%E6%9D%91%E3%80%80%E4%BA%AE%E5%A4%AA" TargetMode="External" /><Relationship Id="rId222" Type="http://schemas.openxmlformats.org/officeDocument/2006/relationships/hyperlink" Target="https://baseball-data.com/player/g/%E5%89%87%E6%9C%AC%E3%80%80%E6%98%82%E5%A4%A7" TargetMode="External" /><Relationship Id="rId264" Type="http://schemas.openxmlformats.org/officeDocument/2006/relationships/hyperlink" Target="https://baseball-data.com/player/d/%E8%BE%BB%E6%9C%AC%E3%80%80%E5%80%AB%E5%A4%AA%E9%83%8E" TargetMode="External" /><Relationship Id="rId471" Type="http://schemas.openxmlformats.org/officeDocument/2006/relationships/hyperlink" Target="https://baseball-data.com/player/s/%E6%8B%93%E4%B9%9F" TargetMode="External" /><Relationship Id="rId667" Type="http://schemas.openxmlformats.org/officeDocument/2006/relationships/hyperlink" Target="https://baseball-data.com/player/f/%E6%B1%A0%E7%94%B0%E3%80%80%E9%9A%86%E8%8B%B1" TargetMode="External" /><Relationship Id="rId874" Type="http://schemas.openxmlformats.org/officeDocument/2006/relationships/hyperlink" Target="https://baseball-data.com/player/l/%E5%85%90%E7%8E%89%E3%80%80%E4%BA%AE%E6%B6%BC" TargetMode="External" /><Relationship Id="rId17" Type="http://schemas.openxmlformats.org/officeDocument/2006/relationships/hyperlink" Target="https://baseball-data.com/player/t/%E4%B8%8B%E6%9D%91%E3%80%80%E6%B5%B7%E7%BF%94" TargetMode="External" /><Relationship Id="rId59" Type="http://schemas.openxmlformats.org/officeDocument/2006/relationships/hyperlink" Target="https://baseball-data.com/player/t/%E6%B9%AF%E6%B5%85%E3%80%80%E4%BA%AC%E5%B7%B1" TargetMode="External" /><Relationship Id="rId124" Type="http://schemas.openxmlformats.org/officeDocument/2006/relationships/hyperlink" Target="https://baseball-data.com/player/yb/%E6%88%90%E7%80%AC%E3%80%80%E8%84%A9%E4%BA%BA" TargetMode="External" /><Relationship Id="rId527" Type="http://schemas.openxmlformats.org/officeDocument/2006/relationships/hyperlink" Target="https://baseball-data.com/player/h/%E5%B2%A9%E4%BA%95%E3%80%80%E4%BF%8A%E4%BB%8B" TargetMode="External" /><Relationship Id="rId569" Type="http://schemas.openxmlformats.org/officeDocument/2006/relationships/hyperlink" Target="https://baseball-data.com/player/h/%E3%83%AD%E3%83%89%E3%83%AA%E3%82%B2%E3%82%B9" TargetMode="External" /><Relationship Id="rId734" Type="http://schemas.openxmlformats.org/officeDocument/2006/relationships/hyperlink" Target="https://baseball-data.com/player/bs/%E5%BB%A3%E5%B2%A1%E3%80%80%E5%A4%A7%E5%BF%97" TargetMode="External" /><Relationship Id="rId776" Type="http://schemas.openxmlformats.org/officeDocument/2006/relationships/hyperlink" Target="https://baseball-data.com/player/bs/%E4%B8%AD%E5%B7%9D%E3%80%80%E5%9C%AD%E5%A4%AA" TargetMode="External" /><Relationship Id="rId941" Type="http://schemas.openxmlformats.org/officeDocument/2006/relationships/hyperlink" Target="https://baseball-data.com/player/l/%E6%B5%9C%E5%B1%8B%E3%80%80%E5%B0%86%E5%A4%AA" TargetMode="External" /><Relationship Id="rId983" Type="http://schemas.openxmlformats.org/officeDocument/2006/relationships/hyperlink" Target="https://baseball-data.com/player/m/%E8%97%A4%E5%B2%A1%E3%80%80%E8%A3%95%E5%A4%A7" TargetMode="External" /><Relationship Id="rId70" Type="http://schemas.openxmlformats.org/officeDocument/2006/relationships/hyperlink" Target="https://baseball-data.com/player/t/%E3%83%A2%E3%83%AC%E3%83%83%E3%82%BF" TargetMode="External" /><Relationship Id="rId166" Type="http://schemas.openxmlformats.org/officeDocument/2006/relationships/hyperlink" Target="https://baseball-data.com/player/g/%E6%9D%91%E5%B1%B1%E3%80%80%E6%BA%90" TargetMode="External" /><Relationship Id="rId331" Type="http://schemas.openxmlformats.org/officeDocument/2006/relationships/hyperlink" Target="https://baseball-data.com/player/d/%E3%83%AD%E3%83%89%E3%83%AA%E3%82%B2%E3%82%B9" TargetMode="External" /><Relationship Id="rId373" Type="http://schemas.openxmlformats.org/officeDocument/2006/relationships/hyperlink" Target="https://baseball-data.com/player/c/%E9%87%8E%E9%96%93%E3%80%80%E5%B3%BB%E7%A5%A5" TargetMode="External" /><Relationship Id="rId429" Type="http://schemas.openxmlformats.org/officeDocument/2006/relationships/hyperlink" Target="https://baseball-data.com/player/s/%E6%9D%BE%E4%B8%8B%E3%80%80%E6%AD%A9%E5%8F%B6" TargetMode="External" /><Relationship Id="rId580" Type="http://schemas.openxmlformats.org/officeDocument/2006/relationships/hyperlink" Target="https://baseball-data.com/player/h/%E6%B2%B3%E9%87%8E%E3%80%80%E4%BC%B8%E4%B8%80%E6%9C%97" TargetMode="External" /><Relationship Id="rId636" Type="http://schemas.openxmlformats.org/officeDocument/2006/relationships/hyperlink" Target="https://baseball-data.com/player/f/%E7%8E%89%E4%BA%95%E3%80%80%E5%A4%A7%E7%BF%94" TargetMode="External" /><Relationship Id="rId801" Type="http://schemas.openxmlformats.org/officeDocument/2006/relationships/hyperlink" Target="https://baseball-data.com/player/e/%E3%83%9C%E3%82%A4%E3%83%88" TargetMode="External" /><Relationship Id="rId1017" Type="http://schemas.openxmlformats.org/officeDocument/2006/relationships/hyperlink" Target="https://baseball-data.com/player/m/%E5%86%A8%E5%A3%AB%E3%80%80%E9%9A%BC%E6%96%97" TargetMode="External" /><Relationship Id="rId1059" Type="http://schemas.openxmlformats.org/officeDocument/2006/relationships/hyperlink" Target="https://baseball-data.com/player/m/%E8%97%A4%E7%94%B0%E3%80%80%E5%92%8C%E6%A8%B9" TargetMode="External" /><Relationship Id="rId1" Type="http://schemas.openxmlformats.org/officeDocument/2006/relationships/hyperlink" Target="https://baseball-data.com/player/t/%E6%9C%A8%E6%B5%AA%E3%80%80%E8%81%96%E4%B9%9F" TargetMode="External" /><Relationship Id="rId233" Type="http://schemas.openxmlformats.org/officeDocument/2006/relationships/hyperlink" Target="https://baseball-data.com/player/g/%E6%B5%85%E9%87%8E%E3%80%80%E7%BF%94%E5%90%BE" TargetMode="External" /><Relationship Id="rId440" Type="http://schemas.openxmlformats.org/officeDocument/2006/relationships/hyperlink" Target="https://baseball-data.com/player/s/%E4%B8%AD%E6%9D%91%E3%80%80%E5%84%AA%E6%96%97" TargetMode="External" /><Relationship Id="rId678" Type="http://schemas.openxmlformats.org/officeDocument/2006/relationships/hyperlink" Target="https://baseball-data.com/player/f/%E7%94%B0%E5%AE%AE%E3%80%80%E8%A3%95%E6%B6%BC" TargetMode="External" /><Relationship Id="rId843" Type="http://schemas.openxmlformats.org/officeDocument/2006/relationships/hyperlink" Target="https://baseball-data.com/player/e/YG%E5%AE%89%E7%94%B0" TargetMode="External" /><Relationship Id="rId885" Type="http://schemas.openxmlformats.org/officeDocument/2006/relationships/hyperlink" Target="https://baseball-data.com/player/l/%E4%B8%8A%E7%94%B0%E3%80%80%E5%A4%A7%E6%B2%B3" TargetMode="External" /><Relationship Id="rId28" Type="http://schemas.openxmlformats.org/officeDocument/2006/relationships/hyperlink" Target="https://baseball-data.com/player/t/%E5%B2%A1%E5%9F%8E%E3%80%80%E5%BF%AB%E7%94%9F" TargetMode="External" /><Relationship Id="rId275" Type="http://schemas.openxmlformats.org/officeDocument/2006/relationships/hyperlink" Target="https://baseball-data.com/player/d/%E6%A9%8B%E6%9C%AC%E3%80%80%E4%BE%91%E6%A8%B9" TargetMode="External" /><Relationship Id="rId300" Type="http://schemas.openxmlformats.org/officeDocument/2006/relationships/hyperlink" Target="https://baseball-data.com/player/d/%E5%91%B3%E8%B0%B7%E3%80%80%E5%A4%A7%E8%AA%A0" TargetMode="External" /><Relationship Id="rId482" Type="http://schemas.openxmlformats.org/officeDocument/2006/relationships/hyperlink" Target="https://baseball-data.com/player/s/%E9%95%B7%E8%B0%B7%E5%B7%9D%E3%80%80%E5%AE%99%E8%BC%9D" TargetMode="External" /><Relationship Id="rId538" Type="http://schemas.openxmlformats.org/officeDocument/2006/relationships/hyperlink" Target="https://baseball-data.com/player/h/%E6%9D%89%E5%B1%B1%E3%80%80%E4%B8%80%E6%A8%B9" TargetMode="External" /><Relationship Id="rId703" Type="http://schemas.openxmlformats.org/officeDocument/2006/relationships/hyperlink" Target="https://baseball-data.com/player/bs/%E6%B8%A1%E9%83%A8%E3%80%80%E9%81%BC%E4%BA%BA" TargetMode="External" /><Relationship Id="rId745" Type="http://schemas.openxmlformats.org/officeDocument/2006/relationships/hyperlink" Target="https://baseball-data.com/player/bs/%E5%B2%A9%E5%B5%9C%E3%80%80%E7%BF%94" TargetMode="External" /><Relationship Id="rId910" Type="http://schemas.openxmlformats.org/officeDocument/2006/relationships/hyperlink" Target="https://baseball-data.com/player/l/%E5%B9%B3%E6%B2%A2%E3%80%80%E5%A4%A7%E6%B2%B3" TargetMode="External" /><Relationship Id="rId952" Type="http://schemas.openxmlformats.org/officeDocument/2006/relationships/hyperlink" Target="https://baseball-data.com/player/l/%E9%87%8E%E6%9D%91%E3%80%80%E5%A4%A7%E6%A8%B9" TargetMode="External" /><Relationship Id="rId81" Type="http://schemas.openxmlformats.org/officeDocument/2006/relationships/hyperlink" Target="https://baseball-data.com/player/yb/%E6%9E%97%E3%80%80%E7%90%A2%E7%9C%9F" TargetMode="External" /><Relationship Id="rId135" Type="http://schemas.openxmlformats.org/officeDocument/2006/relationships/hyperlink" Target="https://baseball-data.com/player/yb/%E5%8F%A4%E5%B8%82%E3%80%80%E5%B0%8A" TargetMode="External" /><Relationship Id="rId177" Type="http://schemas.openxmlformats.org/officeDocument/2006/relationships/hyperlink" Target="https://baseball-data.com/player/g/%E6%9E%97%E3%80%80%E7%87%A6" TargetMode="External" /><Relationship Id="rId342" Type="http://schemas.openxmlformats.org/officeDocument/2006/relationships/hyperlink" Target="https://baseball-data.com/player/d/%E4%B8%89%E4%B8%8A%E3%80%80%E6%84%9B%E4%BB%8B" TargetMode="External" /><Relationship Id="rId384" Type="http://schemas.openxmlformats.org/officeDocument/2006/relationships/hyperlink" Target="https://baseball-data.com/player/c/%E6%B8%A1%E9%82%89%E3%80%80%E6%82%A0%E6%96%97" TargetMode="External" /><Relationship Id="rId591" Type="http://schemas.openxmlformats.org/officeDocument/2006/relationships/hyperlink" Target="https://baseball-data.com/player/h/%E6%BE%A4%E6%9F%B3%E3%80%80%E4%BA%AE%E5%A4%AA%E9%83%8E" TargetMode="External" /><Relationship Id="rId605" Type="http://schemas.openxmlformats.org/officeDocument/2006/relationships/hyperlink" Target="https://baseball-data.com/player/h/%E3%82%A8%E3%83%9F%E3%83%BC%E3%83%AB" TargetMode="External" /><Relationship Id="rId787" Type="http://schemas.openxmlformats.org/officeDocument/2006/relationships/hyperlink" Target="https://baseball-data.com/player/bs/%E5%AE%87%E7%94%B0%E5%B7%9D%E3%80%80%E5%84%AA%E5%B8%8C" TargetMode="External" /><Relationship Id="rId812" Type="http://schemas.openxmlformats.org/officeDocument/2006/relationships/hyperlink" Target="https://baseball-data.com/player/e/%E3%83%9E%E3%83%AB%E3%83%86" TargetMode="External" /><Relationship Id="rId994" Type="http://schemas.openxmlformats.org/officeDocument/2006/relationships/hyperlink" Target="https://baseball-data.com/player/m/%E3%83%9D%E3%83%A9%E3%83%B3%E3%82%B3" TargetMode="External" /><Relationship Id="rId1028" Type="http://schemas.openxmlformats.org/officeDocument/2006/relationships/hyperlink" Target="https://baseball-data.com/player/m/%E5%B0%8F%E5%B7%9D%E3%80%80%E9%BE%8D%E6%88%90" TargetMode="External" /><Relationship Id="rId202" Type="http://schemas.openxmlformats.org/officeDocument/2006/relationships/hyperlink" Target="https://baseball-data.com/player/g/%E5%AF%8C%E7%94%B0%E3%80%80%E9%BE%8D" TargetMode="External" /><Relationship Id="rId244" Type="http://schemas.openxmlformats.org/officeDocument/2006/relationships/hyperlink" Target="https://baseball-data.com/player/g/%E6%B3%89%E3%80%80%E5%9C%AD%E8%BC%94" TargetMode="External" /><Relationship Id="rId647" Type="http://schemas.openxmlformats.org/officeDocument/2006/relationships/hyperlink" Target="https://baseball-data.com/player/f/%E8%97%A4%E7%94%B0%E3%80%80%E7%90%89%E7%94%9F" TargetMode="External" /><Relationship Id="rId689" Type="http://schemas.openxmlformats.org/officeDocument/2006/relationships/hyperlink" Target="https://baseball-data.com/player/f/%E6%BF%B5%E7%94%B0%E3%80%80%E6%B3%B0%E5%B8%8C" TargetMode="External" /><Relationship Id="rId854" Type="http://schemas.openxmlformats.org/officeDocument/2006/relationships/hyperlink" Target="https://baseball-data.com/player/e/%E5%A0%80%E5%86%85%E3%80%80%E8%AC%99%E4%BC%8D" TargetMode="External" /><Relationship Id="rId896" Type="http://schemas.openxmlformats.org/officeDocument/2006/relationships/hyperlink" Target="https://baseball-data.com/player/l/%E3%82%AB%E3%83%8A%E3%83%AA%E3%82%AA" TargetMode="External" /><Relationship Id="rId39" Type="http://schemas.openxmlformats.org/officeDocument/2006/relationships/hyperlink" Target="https://baseball-data.com/player/t/%E4%BD%90%E9%87%8E%E3%80%80%E5%A4%A7%E9%99%BD" TargetMode="External" /><Relationship Id="rId286" Type="http://schemas.openxmlformats.org/officeDocument/2006/relationships/hyperlink" Target="https://baseball-data.com/player/d/%E4%BB%B2%E5%9C%B0%E3%80%80%E7%A4%BC%E4%BA%9C" TargetMode="External" /><Relationship Id="rId451" Type="http://schemas.openxmlformats.org/officeDocument/2006/relationships/hyperlink" Target="https://baseball-data.com/player/s/%E6%98%9F%E3%80%80%E7%9F%A5%E5%BC%A5" TargetMode="External" /><Relationship Id="rId493" Type="http://schemas.openxmlformats.org/officeDocument/2006/relationships/hyperlink" Target="https://baseball-data.com/player/s/%E9%98%AA%E5%8F%A3%E3%80%80%E7%9A%93%E4%BA%AE" TargetMode="External" /><Relationship Id="rId507" Type="http://schemas.openxmlformats.org/officeDocument/2006/relationships/hyperlink" Target="https://baseball-data.com/player/h/%E5%B1%B1%E5%B7%9D%E3%80%80%E7%A9%82%E9%AB%98" TargetMode="External" /><Relationship Id="rId549" Type="http://schemas.openxmlformats.org/officeDocument/2006/relationships/hyperlink" Target="https://baseball-data.com/player/h/%E5%89%8D%E7%94%B0%E3%80%80%E7%B4%94" TargetMode="External" /><Relationship Id="rId714" Type="http://schemas.openxmlformats.org/officeDocument/2006/relationships/hyperlink" Target="https://baseball-data.com/player/bs/%E9%BA%A6%E8%B0%B7%E3%80%80%E7%A5%90%E4%BB%8B" TargetMode="External" /><Relationship Id="rId756" Type="http://schemas.openxmlformats.org/officeDocument/2006/relationships/hyperlink" Target="https://baseball-data.com/player/bs/%E6%9D%B1%E6%9D%BE%E3%80%80%E5%BF%AB%E5%BE%81" TargetMode="External" /><Relationship Id="rId921" Type="http://schemas.openxmlformats.org/officeDocument/2006/relationships/hyperlink" Target="https://baseball-data.com/player/l/%E7%89%A7%E9%87%8E%E3%80%80%E7%BF%94%E7%9F%A2" TargetMode="External" /><Relationship Id="rId50" Type="http://schemas.openxmlformats.org/officeDocument/2006/relationships/hyperlink" Target="https://baseball-data.com/player/t/%E7%99%BE%EF%A8%91%E3%80%80%E8%92%BC%E7%94%9F" TargetMode="External" /><Relationship Id="rId104" Type="http://schemas.openxmlformats.org/officeDocument/2006/relationships/hyperlink" Target="https://baseball-data.com/player/yb/%E8%97%A4%E6%B5%AA%E3%80%80%E6%99%8B%E5%A4%AA%E9%83%8E" TargetMode="External" /><Relationship Id="rId146" Type="http://schemas.openxmlformats.org/officeDocument/2006/relationships/hyperlink" Target="https://baseball-data.com/player/yb/%E5%BA%84%E5%8F%B8%E3%80%80%E9%99%BD%E6%96%97" TargetMode="External" /><Relationship Id="rId188" Type="http://schemas.openxmlformats.org/officeDocument/2006/relationships/hyperlink" Target="https://baseball-data.com/player/g/%E6%88%B8%E9%83%B7%E3%80%80%E7%BF%94%E5%BE%81" TargetMode="External" /><Relationship Id="rId311" Type="http://schemas.openxmlformats.org/officeDocument/2006/relationships/hyperlink" Target="https://baseball-data.com/player/d/%E8%97%A4%E5%B6%8B%E3%80%80%E5%81%A5%E4%BA%BA" TargetMode="External" /><Relationship Id="rId353" Type="http://schemas.openxmlformats.org/officeDocument/2006/relationships/hyperlink" Target="https://baseball-data.com/player/c/%E5%A4%A7%E7%80%AC%E8%89%AF%E3%80%80%E5%A4%A7%E5%9C%B0" TargetMode="External" /><Relationship Id="rId395" Type="http://schemas.openxmlformats.org/officeDocument/2006/relationships/hyperlink" Target="https://baseball-data.com/player/c/%E3%83%95%E3%82%A1%E3%83%93%E3%82%A2%E3%83%B3" TargetMode="External" /><Relationship Id="rId409" Type="http://schemas.openxmlformats.org/officeDocument/2006/relationships/hyperlink" Target="https://baseball-data.com/player/c/%E4%B8%AD%E6%9D%91%E3%80%80%E5%A5%A8%E6%88%90" TargetMode="External" /><Relationship Id="rId560" Type="http://schemas.openxmlformats.org/officeDocument/2006/relationships/hyperlink" Target="https://baseball-data.com/player/h/%E6%B5%B7%E9%87%8E%E3%80%80%E9%9A%86%E5%8F%B8" TargetMode="External" /><Relationship Id="rId798" Type="http://schemas.openxmlformats.org/officeDocument/2006/relationships/hyperlink" Target="https://baseball-data.com/player/e/%E6%9D%91%E6%9E%97%E3%80%80%E4%B8%80%E8%BC%9D" TargetMode="External" /><Relationship Id="rId963" Type="http://schemas.openxmlformats.org/officeDocument/2006/relationships/hyperlink" Target="https://baseball-data.com/player/l/%E5%AE%89%E8%97%A4%E3%80%80%E9%8A%80%E6%9D%9C" TargetMode="External" /><Relationship Id="rId1039" Type="http://schemas.openxmlformats.org/officeDocument/2006/relationships/hyperlink" Target="https://baseball-data.com/player/m/%E5%B2%A1%E6%9D%91%E3%80%80%E4%BA%86%E6%A8%B9" TargetMode="External" /><Relationship Id="rId92" Type="http://schemas.openxmlformats.org/officeDocument/2006/relationships/hyperlink" Target="https://baseball-data.com/player/yb/%E7%AB%B9%E7%94%B0%E3%80%80%E7%A5%90" TargetMode="External" /><Relationship Id="rId213" Type="http://schemas.openxmlformats.org/officeDocument/2006/relationships/hyperlink" Target="https://baseball-data.com/player/g/%E5%B1%B1%E5%9F%8E%E3%80%80%E4%BA%AC%E5%B9%B3" TargetMode="External" /><Relationship Id="rId420" Type="http://schemas.openxmlformats.org/officeDocument/2006/relationships/hyperlink" Target="https://baseball-data.com/player/c/%E3%83%A9%E3%83%9F%E3%83%AC%E3%82%B9" TargetMode="External" /><Relationship Id="rId616" Type="http://schemas.openxmlformats.org/officeDocument/2006/relationships/hyperlink" Target="https://baseball-data.com/player/h/%E3%82%AA%E3%82%B9%E3%83%BC%E3%83%8A" TargetMode="External" /><Relationship Id="rId658" Type="http://schemas.openxmlformats.org/officeDocument/2006/relationships/hyperlink" Target="https://baseball-data.com/player/f/%E6%B0%B4%E9%87%8E%E3%80%80%E9%81%94%E7%A8%80" TargetMode="External" /><Relationship Id="rId823" Type="http://schemas.openxmlformats.org/officeDocument/2006/relationships/hyperlink" Target="https://baseball-data.com/player/e/%E3%83%9E%E3%83%83%E3%82%AB%E3%82%B9%E3%82%AB%E3%83%BC" TargetMode="External" /><Relationship Id="rId865" Type="http://schemas.openxmlformats.org/officeDocument/2006/relationships/hyperlink" Target="https://baseball-data.com/player/e/%E4%BC%8A%E8%97%A4%E3%80%80%E5%A4%A7%E6%99%9F" TargetMode="External" /><Relationship Id="rId1050" Type="http://schemas.openxmlformats.org/officeDocument/2006/relationships/hyperlink" Target="https://baseball-data.com/player/m/%E4%B8%AD%E5%B1%B1%E3%80%80%E5%84%AA%E4%BA%BA" TargetMode="External" /><Relationship Id="rId255" Type="http://schemas.openxmlformats.org/officeDocument/2006/relationships/hyperlink" Target="https://baseball-data.com/player/g/%E5%A0%80%E7%94%B0%E3%80%80%E8%B3%A2%E6%85%8E" TargetMode="External" /><Relationship Id="rId297" Type="http://schemas.openxmlformats.org/officeDocument/2006/relationships/hyperlink" Target="https://baseball-data.com/player/d/%E5%AE%87%E4%BD%90%E8%A6%8B%E3%80%80%E7%9C%9F%E5%90%BE" TargetMode="External" /><Relationship Id="rId462" Type="http://schemas.openxmlformats.org/officeDocument/2006/relationships/hyperlink" Target="https://baseball-data.com/player/s/%E6%9D%BE%E6%9C%AC%E3%80%80%E7%9B%B4%E6%A8%B9" TargetMode="External" /><Relationship Id="rId518" Type="http://schemas.openxmlformats.org/officeDocument/2006/relationships/hyperlink" Target="https://baseball-data.com/player/h/%E5%BC%B5%E3%80%80%E5%B3%BB%E7%91%8B" TargetMode="External" /><Relationship Id="rId725" Type="http://schemas.openxmlformats.org/officeDocument/2006/relationships/hyperlink" Target="https://baseball-data.com/player/bs/%E9%98%BF%E9%83%A8%E3%80%80%E7%BF%94%E5%A4%AA" TargetMode="External" /><Relationship Id="rId932" Type="http://schemas.openxmlformats.org/officeDocument/2006/relationships/hyperlink" Target="https://baseball-data.com/player/l/%E9%BE%8D%E5%B1%B1%E3%80%80%E6%9A%96" TargetMode="External" /><Relationship Id="rId115" Type="http://schemas.openxmlformats.org/officeDocument/2006/relationships/hyperlink" Target="https://baseball-data.com/player/yb/%E8%8B%A5%E6%9D%BE%E3%80%80%E5%B0%9A%E8%BC%9D" TargetMode="External" /><Relationship Id="rId157" Type="http://schemas.openxmlformats.org/officeDocument/2006/relationships/hyperlink" Target="https://baseball-data.com/player/yb/%E8%BF%91%E8%97%A4%E3%80%80%E5%A4%A7%E9%9B%85" TargetMode="External" /><Relationship Id="rId322" Type="http://schemas.openxmlformats.org/officeDocument/2006/relationships/hyperlink" Target="https://baseball-data.com/player/d/%E7%9F%A5%E9%87%8E%E3%80%80%E7%9B%B4%E4%BA%BA" TargetMode="External" /><Relationship Id="rId364" Type="http://schemas.openxmlformats.org/officeDocument/2006/relationships/hyperlink" Target="https://baseball-data.com/player/c/%E4%BD%90%E8%97%A4%E3%80%80%E6%9F%B3%E4%B9%8B%E4%BB%8B" TargetMode="External" /><Relationship Id="rId767" Type="http://schemas.openxmlformats.org/officeDocument/2006/relationships/hyperlink" Target="https://baseball-data.com/player/bs/%E4%B9%BE%E3%80%80%E5%81%A5%E6%96%97" TargetMode="External" /><Relationship Id="rId974" Type="http://schemas.openxmlformats.org/officeDocument/2006/relationships/hyperlink" Target="https://baseball-data.com/player/l/%E3%83%A2%E3%83%BC%E3%83%AC" TargetMode="External" /><Relationship Id="rId1008" Type="http://schemas.openxmlformats.org/officeDocument/2006/relationships/hyperlink" Target="https://baseball-data.com/player/m/%E5%B0%8F%E9%87%8E%E3%80%80%E9%83%81" TargetMode="External" /><Relationship Id="rId61" Type="http://schemas.openxmlformats.org/officeDocument/2006/relationships/hyperlink" Target="https://baseball-data.com/player/t/%E9%AB%99%E5%AF%BA%E3%80%80%E6%9C%9B%E5%A4%A2" TargetMode="External" /><Relationship Id="rId199" Type="http://schemas.openxmlformats.org/officeDocument/2006/relationships/hyperlink" Target="https://baseball-data.com/player/g/%E5%90%89%E6%9D%91%E3%80%80%E5%84%AA%E8%81%96%E6%AD%A9" TargetMode="External" /><Relationship Id="rId571" Type="http://schemas.openxmlformats.org/officeDocument/2006/relationships/hyperlink" Target="https://baseball-data.com/player/h/%E9%87%8E%E6%9D%91%E3%80%80%E5%8B%87" TargetMode="External" /><Relationship Id="rId627" Type="http://schemas.openxmlformats.org/officeDocument/2006/relationships/hyperlink" Target="https://baseball-data.com/player/f/%E4%B8%AD%E5%B3%B6%E3%80%80%E5%8D%93%E4%B9%9F" TargetMode="External" /><Relationship Id="rId669" Type="http://schemas.openxmlformats.org/officeDocument/2006/relationships/hyperlink" Target="https://baseball-data.com/player/f/%E5%B1%B1%E7%B8%A3%E3%80%80%E7%A7%80" TargetMode="External" /><Relationship Id="rId834" Type="http://schemas.openxmlformats.org/officeDocument/2006/relationships/hyperlink" Target="https://baseball-data.com/player/e/%E8%97%A4%E5%B9%B3%E3%80%80%E5%B0%9A%E7%9C%9F" TargetMode="External" /><Relationship Id="rId876" Type="http://schemas.openxmlformats.org/officeDocument/2006/relationships/hyperlink" Target="https://baseball-data.com/player/l/%E6%A0%97%E5%B1%B1%E3%80%80%E5%B7%A7" TargetMode="External" /><Relationship Id="rId19" Type="http://schemas.openxmlformats.org/officeDocument/2006/relationships/hyperlink" Target="https://baseball-data.com/player/t/%E3%83%87%E3%82%A3%E3%83%99%E3%82%A4%E3%83%8B%E3%83%BC" TargetMode="External" /><Relationship Id="rId224" Type="http://schemas.openxmlformats.org/officeDocument/2006/relationships/hyperlink" Target="https://baseball-data.com/player/g/%E7%94%B0%E4%B8%AD%E3%80%80%E7%91%9B%E6%96%97" TargetMode="External" /><Relationship Id="rId266" Type="http://schemas.openxmlformats.org/officeDocument/2006/relationships/hyperlink" Target="https://baseball-data.com/player/d/%E5%B2%A1%E6%9E%97%E3%80%80%E5%8B%87%E5%B8%8C" TargetMode="External" /><Relationship Id="rId431" Type="http://schemas.openxmlformats.org/officeDocument/2006/relationships/hyperlink" Target="https://baseball-data.com/player/s/%E8%8C%82%E6%9C%A8%E3%80%80%E6%A0%84%E4%BA%94%E9%83%8E" TargetMode="External" /><Relationship Id="rId473" Type="http://schemas.openxmlformats.org/officeDocument/2006/relationships/hyperlink" Target="https://baseball-data.com/player/s/%E5%A2%97%E5%B1%85%E3%80%80%E7%BF%94%E5%A4%AA" TargetMode="External" /><Relationship Id="rId529" Type="http://schemas.openxmlformats.org/officeDocument/2006/relationships/hyperlink" Target="https://baseball-data.com/player/h/%E5%A4%A7%E6%B1%9F%E3%80%80%E7%AB%9C%E8%81%96" TargetMode="External" /><Relationship Id="rId680" Type="http://schemas.openxmlformats.org/officeDocument/2006/relationships/hyperlink" Target="https://baseball-data.com/player/f/%E4%B8%87%E6%B3%A2%E3%80%80%E4%B8%AD%E6%AD%A3" TargetMode="External" /><Relationship Id="rId736" Type="http://schemas.openxmlformats.org/officeDocument/2006/relationships/hyperlink" Target="https://baseball-data.com/player/bs/%E7%A6%8F%E6%B0%B8%E3%80%80%E5%A5%A8" TargetMode="External" /><Relationship Id="rId901" Type="http://schemas.openxmlformats.org/officeDocument/2006/relationships/hyperlink" Target="https://baseball-data.com/player/l/%E3%83%AF%E3%82%A4%E3%83%8A%E3%83%B3%E3%82%B9" TargetMode="External" /><Relationship Id="rId1061" Type="http://schemas.openxmlformats.org/officeDocument/2006/relationships/hyperlink" Target="https://baseball-data.com/player/m/%E3%83%A9%E3%83%89%E3%83%8B%E3%83%BC" TargetMode="External" /><Relationship Id="rId30" Type="http://schemas.openxmlformats.org/officeDocument/2006/relationships/hyperlink" Target="https://baseball-data.com/player/t/%E7%95%A0%E3%80%80%E4%B8%96%E5%91%A8" TargetMode="External" /><Relationship Id="rId126" Type="http://schemas.openxmlformats.org/officeDocument/2006/relationships/hyperlink" Target="https://baseball-data.com/player/yb/%E5%AE%AE%EF%A8%91%E3%80%80%E6%95%8F%E9%83%8E" TargetMode="External" /><Relationship Id="rId168" Type="http://schemas.openxmlformats.org/officeDocument/2006/relationships/hyperlink" Target="https://baseball-data.com/player/g/%E7%94%B0%E4%B8%8A%E3%80%80%E5%84%AA%E5%BC%A5" TargetMode="External" /><Relationship Id="rId333" Type="http://schemas.openxmlformats.org/officeDocument/2006/relationships/hyperlink" Target="https://baseball-data.com/player/d/%E4%B8%AD%E6%9D%91%E3%80%80%E5%A5%88%E4%B8%80%E8%BC%9D" TargetMode="External" /><Relationship Id="rId540" Type="http://schemas.openxmlformats.org/officeDocument/2006/relationships/hyperlink" Target="https://baseball-data.com/player/h/%E4%BC%8A%E8%97%A4%E3%80%80%E5%84%AA%E8%BC%94" TargetMode="External" /><Relationship Id="rId778" Type="http://schemas.openxmlformats.org/officeDocument/2006/relationships/hyperlink" Target="https://baseball-data.com/player/bs/%E3%82%B8%E3%82%A7%E3%83%AA%E3%83%BC" TargetMode="External" /><Relationship Id="rId943" Type="http://schemas.openxmlformats.org/officeDocument/2006/relationships/hyperlink" Target="https://baseball-data.com/player/l/%E6%96%B0%E4%BA%95%E3%80%80%E5%94%AF%E6%96%97" TargetMode="External" /><Relationship Id="rId985" Type="http://schemas.openxmlformats.org/officeDocument/2006/relationships/hyperlink" Target="https://baseball-data.com/player/m/%E4%B8%8A%E7%94%B0%E3%80%80%E5%B8%8C%E7%94%B1%E7%BF%94" TargetMode="External" /><Relationship Id="rId1019" Type="http://schemas.openxmlformats.org/officeDocument/2006/relationships/hyperlink" Target="https://baseball-data.com/player/m/%E3%83%AB%E3%82%B1%E3%83%BC%E3%82%B7%E3%83%BC" TargetMode="External" /><Relationship Id="rId72" Type="http://schemas.openxmlformats.org/officeDocument/2006/relationships/hyperlink" Target="https://baseball-data.com/player/t/%E6%88%B8%E4%BA%95%E3%80%80%E9%9B%B6%E5%A3%AB" TargetMode="External" /><Relationship Id="rId375" Type="http://schemas.openxmlformats.org/officeDocument/2006/relationships/hyperlink" Target="https://baseball-data.com/player/c/%E9%95%B7%E8%B0%B7%E9%83%A8%E3%80%80%E9%8A%80%E6%AC%A1" TargetMode="External" /><Relationship Id="rId582" Type="http://schemas.openxmlformats.org/officeDocument/2006/relationships/hyperlink" Target="https://baseball-data.com/player/h/%E7%89%A7%E5%8E%9F%E3%80%80%E5%B7%A7%E6%B1%B0" TargetMode="External" /><Relationship Id="rId638" Type="http://schemas.openxmlformats.org/officeDocument/2006/relationships/hyperlink" Target="https://baseball-data.com/player/f/%E6%B8%85%E5%AE%AE%E3%80%80%E5%B9%B8%E5%A4%AA%E9%83%8E" TargetMode="External" /><Relationship Id="rId803" Type="http://schemas.openxmlformats.org/officeDocument/2006/relationships/hyperlink" Target="https://baseball-data.com/player/e/%E8%97%A4%E5%8E%9F%E3%80%80%E8%81%A1%E5%A4%A7" TargetMode="External" /><Relationship Id="rId845" Type="http://schemas.openxmlformats.org/officeDocument/2006/relationships/hyperlink" Target="https://baseball-data.com/player/e/%E7%80%A7%E4%B8%AD%E3%80%80%E7%9E%AD%E5%A4%AA" TargetMode="External" /><Relationship Id="rId1030" Type="http://schemas.openxmlformats.org/officeDocument/2006/relationships/hyperlink" Target="https://baseball-data.com/player/m/%E6%97%A9%E5%9D%82%E3%80%80%E9%9F%BF" TargetMode="External" /><Relationship Id="rId3" Type="http://schemas.openxmlformats.org/officeDocument/2006/relationships/hyperlink" Target="https://baseball-data.com/player/t/%E6%A3%AE%E4%B8%8B%E3%80%80%E7%BF%94%E5%A4%AA" TargetMode="External" /><Relationship Id="rId235" Type="http://schemas.openxmlformats.org/officeDocument/2006/relationships/hyperlink" Target="https://baseball-data.com/player/g/%E9%AB%98%E6%A2%A8%E3%80%80%E9%9B%84%E5%B9%B3" TargetMode="External" /><Relationship Id="rId277" Type="http://schemas.openxmlformats.org/officeDocument/2006/relationships/hyperlink" Target="https://baseball-data.com/player/d/%E6%AB%BB%E4%BA%95%E3%80%80%E9%A0%BC%E4%B9%8B%E4%BB%8B" TargetMode="External" /><Relationship Id="rId400" Type="http://schemas.openxmlformats.org/officeDocument/2006/relationships/hyperlink" Target="https://baseball-data.com/player/c/%E9%81%A0%E8%97%A4%E3%80%80%E6%B7%B3%E5%BF%97" TargetMode="External" /><Relationship Id="rId442" Type="http://schemas.openxmlformats.org/officeDocument/2006/relationships/hyperlink" Target="https://baseball-data.com/player/s/%E6%B8%85%E6%B0%B4%E3%80%80%E6%98%87" TargetMode="External" /><Relationship Id="rId484" Type="http://schemas.openxmlformats.org/officeDocument/2006/relationships/hyperlink" Target="https://baseball-data.com/player/s/%E5%9D%82%E6%9C%AC%E3%80%80%E6%8B%93%E5%B7%B1" TargetMode="External" /><Relationship Id="rId705" Type="http://schemas.openxmlformats.org/officeDocument/2006/relationships/hyperlink" Target="https://baseball-data.com/player/bs/%E4%B8%89%E6%96%B9%E3%80%80%E9%99%BD%E7%99%BB" TargetMode="External" /><Relationship Id="rId887" Type="http://schemas.openxmlformats.org/officeDocument/2006/relationships/hyperlink" Target="https://baseball-data.com/player/l/%E9%AB%99%E6%A9%8B%E3%80%80%E5%85%89%E6%88%90" TargetMode="External" /><Relationship Id="rId137" Type="http://schemas.openxmlformats.org/officeDocument/2006/relationships/hyperlink" Target="https://baseball-data.com/player/yb/%E3%83%AC%E3%82%A4%E3%83%8E%E3%83%AB%E3%82%BA" TargetMode="External" /><Relationship Id="rId302" Type="http://schemas.openxmlformats.org/officeDocument/2006/relationships/hyperlink" Target="https://baseball-data.com/player/d/%E5%9C%9F%E7%94%B0%E3%80%80%E9%BE%8D%E7%A9%BA" TargetMode="External" /><Relationship Id="rId344" Type="http://schemas.openxmlformats.org/officeDocument/2006/relationships/hyperlink" Target="https://baseball-data.com/player/d/%E3%83%9E%E3%83%AB%E3%83%86%E3%82%A3%E3%83%8D%E3%82%B9" TargetMode="External" /><Relationship Id="rId691" Type="http://schemas.openxmlformats.org/officeDocument/2006/relationships/hyperlink" Target="https://baseball-data.com/player/f/%E6%9D%BE%E6%9C%AC%E3%80%80%E9%81%BC%E5%A4%A7" TargetMode="External" /><Relationship Id="rId747" Type="http://schemas.openxmlformats.org/officeDocument/2006/relationships/hyperlink" Target="https://baseball-data.com/player/bs/%E4%BD%90%E8%97%A4%E3%80%80%E9%BE%8D%E6%9C%88" TargetMode="External" /><Relationship Id="rId789" Type="http://schemas.openxmlformats.org/officeDocument/2006/relationships/hyperlink" Target="https://baseball-data.com/player/bs/%E9%81%A0%E8%97%A4%E3%80%80%E6%88%90" TargetMode="External" /><Relationship Id="rId912" Type="http://schemas.openxmlformats.org/officeDocument/2006/relationships/hyperlink" Target="https://baseball-data.com/player/l/%E6%88%90%E7%94%B0%E3%80%80%E6%99%B4%E9%A2%A8" TargetMode="External" /><Relationship Id="rId954" Type="http://schemas.openxmlformats.org/officeDocument/2006/relationships/hyperlink" Target="https://baseball-data.com/player/l/%E6%BF%B1%E5%B2%A1%E3%80%80%E8%92%BC%E5%A4%AA" TargetMode="External" /><Relationship Id="rId996" Type="http://schemas.openxmlformats.org/officeDocument/2006/relationships/hyperlink" Target="https://baseball-data.com/player/m/%E6%9D%B1%E5%A6%BB%E3%80%80%E5%8B%87%E8%BC%94" TargetMode="External" /><Relationship Id="rId41" Type="http://schemas.openxmlformats.org/officeDocument/2006/relationships/hyperlink" Target="https://baseball-data.com/player/t/%E6%A1%90%E6%95%B7%E3%80%80%E6%8B%93%E9%A6%AC" TargetMode="External" /><Relationship Id="rId83" Type="http://schemas.openxmlformats.org/officeDocument/2006/relationships/hyperlink" Target="https://baseball-data.com/player/yb/%E5%B0%8F%E7%94%B0%E3%80%80%E5%BA%B7%E4%B8%80%E9%83%8E" TargetMode="External" /><Relationship Id="rId179" Type="http://schemas.openxmlformats.org/officeDocument/2006/relationships/hyperlink" Target="https://baseball-data.com/player/g/%E3%82%AD%E3%83%A3%E3%83%99%E3%83%83%E3%82%B8" TargetMode="External" /><Relationship Id="rId386" Type="http://schemas.openxmlformats.org/officeDocument/2006/relationships/hyperlink" Target="https://baseball-data.com/player/c/%E5%B9%B3%E5%B7%9D%E3%80%80%E8%93%AE" TargetMode="External" /><Relationship Id="rId551" Type="http://schemas.openxmlformats.org/officeDocument/2006/relationships/hyperlink" Target="https://baseball-data.com/player/h/%E5%A4%A7%E5%B1%B1%E3%80%80%E5%87%8C" TargetMode="External" /><Relationship Id="rId593" Type="http://schemas.openxmlformats.org/officeDocument/2006/relationships/hyperlink" Target="https://baseball-data.com/player/h/%E6%B1%9F%E5%B4%8E%E3%80%80%E6%AD%A9" TargetMode="External" /><Relationship Id="rId607" Type="http://schemas.openxmlformats.org/officeDocument/2006/relationships/hyperlink" Target="https://baseball-data.com/player/h/%E9%95%B7%E6%B0%B4%E3%80%80%E5%95%93%E7%9C%9E" TargetMode="External" /><Relationship Id="rId649" Type="http://schemas.openxmlformats.org/officeDocument/2006/relationships/hyperlink" Target="https://baseball-data.com/player/f/%E5%A0%80%E3%80%80%E7%91%9E%E8%BC%9D" TargetMode="External" /><Relationship Id="rId814" Type="http://schemas.openxmlformats.org/officeDocument/2006/relationships/hyperlink" Target="https://baseball-data.com/player/e/%E7%94%B0%E4%B8%AD%E3%80%80%E5%92%8C%E5%9F%BA" TargetMode="External" /><Relationship Id="rId856" Type="http://schemas.openxmlformats.org/officeDocument/2006/relationships/hyperlink" Target="https://baseball-data.com/player/e/%E5%A4%A7%E5%86%85%E3%80%80%E8%AA%A0%E5%BC%A5" TargetMode="External" /><Relationship Id="rId190" Type="http://schemas.openxmlformats.org/officeDocument/2006/relationships/hyperlink" Target="https://baseball-data.com/player/g/%E7%AB%B9%E4%B8%B8%E3%80%80%E5%92%8C%E5%B9%B8" TargetMode="External" /><Relationship Id="rId204" Type="http://schemas.openxmlformats.org/officeDocument/2006/relationships/hyperlink" Target="https://baseball-data.com/player/g/%E8%A5%BF%E5%B7%9D%E3%80%80%E6%AD%A9" TargetMode="External" /><Relationship Id="rId246" Type="http://schemas.openxmlformats.org/officeDocument/2006/relationships/hyperlink" Target="https://baseball-data.com/player/g/%E5%B1%B1%E7%94%B0%E3%80%80%E9%BE%8D%E8%81%96" TargetMode="External" /><Relationship Id="rId288" Type="http://schemas.openxmlformats.org/officeDocument/2006/relationships/hyperlink" Target="https://baseball-data.com/player/d/%E6%9D%BE%E6%9C%A8%E5%B9%B3%E3%80%80%E5%84%AA%E5%A4%AA" TargetMode="External" /><Relationship Id="rId411" Type="http://schemas.openxmlformats.org/officeDocument/2006/relationships/hyperlink" Target="https://baseball-data.com/player/c/%E8%BE%BB%E3%80%80%E5%A4%A7%E9%9B%85" TargetMode="External" /><Relationship Id="rId453" Type="http://schemas.openxmlformats.org/officeDocument/2006/relationships/hyperlink" Target="https://baseball-data.com/player/s/%E3%82%B5%E3%83%B3%E3%82%BF%E3%83%8A" TargetMode="External" /><Relationship Id="rId509" Type="http://schemas.openxmlformats.org/officeDocument/2006/relationships/hyperlink" Target="https://baseball-data.com/player/h/%E4%B8%AD%E6%9D%91%E3%80%80%E6%99%83" TargetMode="External" /><Relationship Id="rId660" Type="http://schemas.openxmlformats.org/officeDocument/2006/relationships/hyperlink" Target="https://baseball-data.com/player/f/%E7%A6%8F%E5%B3%B6%E3%80%80%E8%93%AE" TargetMode="External" /><Relationship Id="rId898" Type="http://schemas.openxmlformats.org/officeDocument/2006/relationships/hyperlink" Target="https://baseball-data.com/player/l/%E7%82%AD%E8%B0%B7%E3%80%80%E9%8A%80%E4%BB%81%EF%A4%A9" TargetMode="External" /><Relationship Id="rId1041" Type="http://schemas.openxmlformats.org/officeDocument/2006/relationships/hyperlink" Target="https://baseball-data.com/player/m/%E5%90%89%E5%B7%9D%E3%80%80%E6%82%A0%E6%96%97" TargetMode="External" /><Relationship Id="rId106" Type="http://schemas.openxmlformats.org/officeDocument/2006/relationships/hyperlink" Target="https://baseball-data.com/player/yb/%E7%AF%A0%E6%9C%A8%E3%80%80%E5%81%A5%E5%A4%AA%E9%83%8E" TargetMode="External" /><Relationship Id="rId313" Type="http://schemas.openxmlformats.org/officeDocument/2006/relationships/hyperlink" Target="https://baseball-data.com/player/d/%E6%96%B0%E4%BF%9D%E3%80%80%E8%8C%89%E8%89%AF" TargetMode="External" /><Relationship Id="rId495" Type="http://schemas.openxmlformats.org/officeDocument/2006/relationships/hyperlink" Target="https://baseball-data.com/player/s/%E4%B8%B8%E5%B1%B1%E3%80%80%E7%BF%94%E5%A4%A7" TargetMode="External" /><Relationship Id="rId716" Type="http://schemas.openxmlformats.org/officeDocument/2006/relationships/hyperlink" Target="https://baseball-data.com/player/bs/%E5%A4%A7%E5%9F%8E%E3%80%80%E6%BB%89%E4%BA%8C" TargetMode="External" /><Relationship Id="rId758" Type="http://schemas.openxmlformats.org/officeDocument/2006/relationships/hyperlink" Target="https://baseball-data.com/player/bs/%E5%B1%B1%E4%B8%AD%E3%80%80%E7%A8%9C%E7%9C%9F" TargetMode="External" /><Relationship Id="rId923" Type="http://schemas.openxmlformats.org/officeDocument/2006/relationships/hyperlink" Target="https://baseball-data.com/player/l/%E4%BB%B2%E4%B8%89%E3%80%80%E5%84%AA%E5%A4%AA" TargetMode="External" /><Relationship Id="rId965" Type="http://schemas.openxmlformats.org/officeDocument/2006/relationships/hyperlink" Target="https://baseball-data.com/player/l/%E6%BE%A4%E7%94%B0%E3%80%80%E9%81%A5%E6%96%97" TargetMode="External" /><Relationship Id="rId10" Type="http://schemas.openxmlformats.org/officeDocument/2006/relationships/hyperlink" Target="https://baseball-data.com/player/t/%E7%AB%8B%E7%9F%B3%E3%80%80%E6%AD%A3%E5%BA%83" TargetMode="External" /><Relationship Id="rId52" Type="http://schemas.openxmlformats.org/officeDocument/2006/relationships/hyperlink" Target="https://baseball-data.com/player/t/%E5%89%8D%E5%B7%9D%E3%80%80%E5%8F%B3%E4%BA%AC" TargetMode="External" /><Relationship Id="rId94" Type="http://schemas.openxmlformats.org/officeDocument/2006/relationships/hyperlink" Target="https://baseball-data.com/player/yb/%E7%9F%B3%E7%94%B0%E3%80%80%E5%81%A5%E5%A4%A7" TargetMode="External" /><Relationship Id="rId148" Type="http://schemas.openxmlformats.org/officeDocument/2006/relationships/hyperlink" Target="https://baseball-data.com/player/yb/%E9%A6%AC%E5%A0%B4%E3%80%80%E7%9A%90%E8%BC%94" TargetMode="External" /><Relationship Id="rId355" Type="http://schemas.openxmlformats.org/officeDocument/2006/relationships/hyperlink" Target="https://baseball-data.com/player/c/%E5%B8%B8%E5%BB%A3%E3%80%80%E7%BE%BD%E4%B9%9F%E6%96%97" TargetMode="External" /><Relationship Id="rId397" Type="http://schemas.openxmlformats.org/officeDocument/2006/relationships/hyperlink" Target="https://baseball-data.com/player/c/%E5%86%85%E7%94%B0%E3%80%80%E6%B9%98%E5%A4%A7" TargetMode="External" /><Relationship Id="rId520" Type="http://schemas.openxmlformats.org/officeDocument/2006/relationships/hyperlink" Target="https://baseball-data.com/player/h/%E5%A4%A7%E6%B4%A5%E3%80%80%E4%BA%AE%E4%BB%8B" TargetMode="External" /><Relationship Id="rId562" Type="http://schemas.openxmlformats.org/officeDocument/2006/relationships/hyperlink" Target="https://baseball-data.com/player/h/%E4%B8%8A%E8%8C%B6%E8%B0%B7%E3%80%80%E5%A4%A7%E6%B2%B3" TargetMode="External" /><Relationship Id="rId618" Type="http://schemas.openxmlformats.org/officeDocument/2006/relationships/hyperlink" Target="https://baseball-data.com/player/h/%E3%82%A2%E3%83%AB%E3%83%A2%E3%83%B3%E3%83%86" TargetMode="External" /><Relationship Id="rId825" Type="http://schemas.openxmlformats.org/officeDocument/2006/relationships/hyperlink" Target="https://baseball-data.com/player/e/%E5%90%89%E7%B4%8D%E3%80%80%E7%BF%BC" TargetMode="External" /><Relationship Id="rId215" Type="http://schemas.openxmlformats.org/officeDocument/2006/relationships/hyperlink" Target="https://baseball-data.com/player/g/%E5%B2%A1%E7%94%B0%E3%80%80%E6%82%A0%E5%B8%8C" TargetMode="External" /><Relationship Id="rId257" Type="http://schemas.openxmlformats.org/officeDocument/2006/relationships/hyperlink" Target="https://baseball-data.com/player/g/%E7%9F%A5%E5%BF%B5%E3%80%80%E5%A4%A7%E6%88%90" TargetMode="External" /><Relationship Id="rId422" Type="http://schemas.openxmlformats.org/officeDocument/2006/relationships/hyperlink" Target="https://baseball-data.com/player/c/%E3%82%A2%E3%83%AA%E3%82%A2" TargetMode="External" /><Relationship Id="rId464" Type="http://schemas.openxmlformats.org/officeDocument/2006/relationships/hyperlink" Target="https://baseball-data.com/player/s/%E7%94%B0%E5%8F%A3%E3%80%80%E9%BA%97%E6%96%97" TargetMode="External" /><Relationship Id="rId867" Type="http://schemas.openxmlformats.org/officeDocument/2006/relationships/hyperlink" Target="https://baseball-data.com/player/e/%E9%87%91%E5%AD%90%E3%80%80%E4%BA%AC%E4%BB%8B" TargetMode="External" /><Relationship Id="rId1010" Type="http://schemas.openxmlformats.org/officeDocument/2006/relationships/hyperlink" Target="https://baseball-data.com/player/m/%E4%BA%95%E4%B8%8A%E3%80%80%E5%BA%83%E5%A4%A7" TargetMode="External" /><Relationship Id="rId1052" Type="http://schemas.openxmlformats.org/officeDocument/2006/relationships/hyperlink" Target="https://baseball-data.com/player/m/%E5%8B%9D%E5%8F%88%E3%80%80%E7%90%89%E5%81%89" TargetMode="External" /><Relationship Id="rId299" Type="http://schemas.openxmlformats.org/officeDocument/2006/relationships/hyperlink" Target="https://baseball-data.com/player/d/%E3%83%96%E3%83%A9%E3%82%A4%E3%83%88%E3%80%80%E5%81%A5%E5%A4%AA" TargetMode="External" /><Relationship Id="rId727" Type="http://schemas.openxmlformats.org/officeDocument/2006/relationships/hyperlink" Target="https://baseball-data.com/player/bs/%E4%B9%9D%E9%87%8C%E3%80%80%E4%BA%9C%E8%93%AE" TargetMode="External" /><Relationship Id="rId934" Type="http://schemas.openxmlformats.org/officeDocument/2006/relationships/hyperlink" Target="https://baseball-data.com/player/l/%E5%B7%9D%E7%94%B0%E3%80%80%E6%82%A0%E6%85%8E" TargetMode="External" /><Relationship Id="rId63" Type="http://schemas.openxmlformats.org/officeDocument/2006/relationships/hyperlink" Target="https://baseball-data.com/player/t/%E7%9F%B3%E4%BA%95%E3%80%80%E5%A4%A7%E6%99%BA" TargetMode="External" /><Relationship Id="rId159" Type="http://schemas.openxmlformats.org/officeDocument/2006/relationships/hyperlink" Target="https://baseball-data.com/player/yb/%E6%A3%AE%E4%B8%8B%E3%80%80%E7%91%A0%E5%A4%A7" TargetMode="External" /><Relationship Id="rId366" Type="http://schemas.openxmlformats.org/officeDocument/2006/relationships/hyperlink" Target="https://baseball-data.com/player/c/%E6%BB%9D%E7%94%B0%E3%80%80%E4%B8%80%E5%B8%8C" TargetMode="External" /><Relationship Id="rId573" Type="http://schemas.openxmlformats.org/officeDocument/2006/relationships/hyperlink" Target="https://baseball-data.com/player/h/%E3%82%B6%E3%82%A4%E3%83%AC%E3%83%B3" TargetMode="External" /><Relationship Id="rId780" Type="http://schemas.openxmlformats.org/officeDocument/2006/relationships/hyperlink" Target="https://baseball-data.com/player/bs/%E4%BD%90%E8%97%A4%E3%80%80%E4%B8%80%E7%A3%A8" TargetMode="External" /><Relationship Id="rId226" Type="http://schemas.openxmlformats.org/officeDocument/2006/relationships/hyperlink" Target="https://baseball-data.com/player/g/%E6%B2%B3%E9%87%8E%E3%80%80%E5%84%AA%E4%BD%9C" TargetMode="External" /><Relationship Id="rId433" Type="http://schemas.openxmlformats.org/officeDocument/2006/relationships/hyperlink" Target="https://baseball-data.com/player/s/%E5%AE%AE%E6%9C%AC%E3%80%80%E4%B8%88" TargetMode="External" /><Relationship Id="rId878" Type="http://schemas.openxmlformats.org/officeDocument/2006/relationships/hyperlink" Target="https://baseball-data.com/player/l/%E7%9F%B3%E4%BA%95%E3%80%80%E4%B8%80%E6%88%90" TargetMode="External" /><Relationship Id="rId640" Type="http://schemas.openxmlformats.org/officeDocument/2006/relationships/hyperlink" Target="https://baseball-data.com/player/f/%E5%AE%AE%E8%A5%BF%E3%80%80%E5%B0%9A%E7%94%9F" TargetMode="External" /><Relationship Id="rId738" Type="http://schemas.openxmlformats.org/officeDocument/2006/relationships/hyperlink" Target="https://baseball-data.com/player/bs/%E6%A8%AA%E5%B1%B1%E3%80%80%E8%81%96%E5%93%89" TargetMode="External" /><Relationship Id="rId945" Type="http://schemas.openxmlformats.org/officeDocument/2006/relationships/hyperlink" Target="https://baseball-data.com/player/l/%E9%87%8E%E7%94%B0%E3%80%80%E6%B5%B7%E4%BA%BA" TargetMode="External" /><Relationship Id="rId74" Type="http://schemas.openxmlformats.org/officeDocument/2006/relationships/hyperlink" Target="https://baseball-data.com/player/t/%E6%9D%BE%E5%8E%9F%E3%80%80%E5%BF%AB" TargetMode="External" /><Relationship Id="rId377" Type="http://schemas.openxmlformats.org/officeDocument/2006/relationships/hyperlink" Target="https://baseball-data.com/player/c/%E3%82%BF%E3%83%BC%E3%83%8E%E3%83%83%E3%82%AF" TargetMode="External" /><Relationship Id="rId500" Type="http://schemas.openxmlformats.org/officeDocument/2006/relationships/hyperlink" Target="https://baseball-data.com/player/s/%E3%82%BB%E3%83%87%E3%83%BC%E3%83%8B%E3%83%A7" TargetMode="External" /><Relationship Id="rId584" Type="http://schemas.openxmlformats.org/officeDocument/2006/relationships/hyperlink" Target="https://baseball-data.com/player/h/%E5%B7%9D%E5%8F%A3%E3%80%80%E5%86%AC%E5%BC%A5" TargetMode="External" /><Relationship Id="rId805" Type="http://schemas.openxmlformats.org/officeDocument/2006/relationships/hyperlink" Target="https://baseball-data.com/player/e/%E5%8F%A4%E8%AC%9D%E3%80%80%E6%A8%B9" TargetMode="External" /><Relationship Id="rId5" Type="http://schemas.openxmlformats.org/officeDocument/2006/relationships/hyperlink" Target="https://baseball-data.com/player/t/%E5%A4%A7%E5%B1%B1%E3%80%80%E6%82%A0%E8%BC%94" TargetMode="External" /><Relationship Id="rId237" Type="http://schemas.openxmlformats.org/officeDocument/2006/relationships/hyperlink" Target="https://baseball-data.com/player/g/%E5%8C%97%E6%B5%A6%E3%80%80%E7%AB%9C%E6%AC%A1" TargetMode="External" /><Relationship Id="rId791" Type="http://schemas.openxmlformats.org/officeDocument/2006/relationships/hyperlink" Target="https://baseball-data.com/player/bs/%E5%85%83%E3%80%80%E8%AC%99%E5%A4%AA" TargetMode="External" /><Relationship Id="rId889" Type="http://schemas.openxmlformats.org/officeDocument/2006/relationships/hyperlink" Target="https://baseball-data.com/player/l/%E9%9A%85%E7%94%B0%E3%80%80%E7%9F%A5%E4%B8%80%E9%83%8E" TargetMode="External" /><Relationship Id="rId444" Type="http://schemas.openxmlformats.org/officeDocument/2006/relationships/hyperlink" Target="https://baseball-data.com/player/s/%E5%A5%A5%E5%B7%9D%E3%80%80%E6%81%AD%E4%BC%B8" TargetMode="External" /><Relationship Id="rId651" Type="http://schemas.openxmlformats.org/officeDocument/2006/relationships/hyperlink" Target="https://baseball-data.com/player/f/%E5%AE%AE%E5%B4%8E%E3%80%80%E4%B8%80%E6%A8%B9" TargetMode="External" /><Relationship Id="rId749" Type="http://schemas.openxmlformats.org/officeDocument/2006/relationships/hyperlink" Target="https://baseball-data.com/player/bs/%E9%AB%99%E8%B0%B7%E3%80%80%E8%88%9F" TargetMode="External" /><Relationship Id="rId290" Type="http://schemas.openxmlformats.org/officeDocument/2006/relationships/hyperlink" Target="https://baseball-data.com/player/d/%E6%A3%AE%E3%80%80%E9%A7%BF%E5%A4%AA" TargetMode="External" /><Relationship Id="rId304" Type="http://schemas.openxmlformats.org/officeDocument/2006/relationships/hyperlink" Target="https://baseball-data.com/player/d/%E5%90%89%E7%94%B0%E3%80%80%E8%81%96%E5%BC%A5" TargetMode="External" /><Relationship Id="rId388" Type="http://schemas.openxmlformats.org/officeDocument/2006/relationships/hyperlink" Target="https://baseball-data.com/player/c/%E5%B2%A1%E6%9C%AC%E3%80%80%E9%A7%BF" TargetMode="External" /><Relationship Id="rId511" Type="http://schemas.openxmlformats.org/officeDocument/2006/relationships/hyperlink" Target="https://baseball-data.com/player/h/%E6%9F%B3%E7%94%B0%E3%80%80%E6%82%A0%E5%B2%90" TargetMode="External" /><Relationship Id="rId609" Type="http://schemas.openxmlformats.org/officeDocument/2006/relationships/hyperlink" Target="https://baseball-data.com/player/h/%E5%B2%A1%E6%A4%8D%E3%80%80%E7%B4%94%E5%B9%B3" TargetMode="External" /><Relationship Id="rId956" Type="http://schemas.openxmlformats.org/officeDocument/2006/relationships/hyperlink" Target="https://baseball-data.com/player/l/%E8%B0%B7%E5%8F%A3%E3%80%80%E6%9C%9D%E9%99%BD" TargetMode="External" /><Relationship Id="rId85" Type="http://schemas.openxmlformats.org/officeDocument/2006/relationships/hyperlink" Target="https://baseball-data.com/player/yb/%E6%9D%BE%E5%B0%BE%E3%80%80%E6%B1%90%E6%81%A9" TargetMode="External" /><Relationship Id="rId150" Type="http://schemas.openxmlformats.org/officeDocument/2006/relationships/hyperlink" Target="https://baseball-data.com/player/yb/%E3%83%92%E3%83%A5%E3%83%B3%E3%83%A1%E3%83%AB" TargetMode="External" /><Relationship Id="rId595" Type="http://schemas.openxmlformats.org/officeDocument/2006/relationships/hyperlink" Target="https://baseball-data.com/player/h/%E5%A4%A7%E7%9F%A2%E3%80%80%E7%90%89%E6%99%9F" TargetMode="External" /><Relationship Id="rId816" Type="http://schemas.openxmlformats.org/officeDocument/2006/relationships/hyperlink" Target="https://baseball-data.com/player/e/%E4%BC%8A%E8%97%A4%E3%80%80%E5%85%89" TargetMode="External" /><Relationship Id="rId1001" Type="http://schemas.openxmlformats.org/officeDocument/2006/relationships/hyperlink" Target="https://baseball-data.com/player/m/%E5%BB%A3%E7%95%91%E3%80%80%E6%95%A6%E4%B9%9F" TargetMode="External" /><Relationship Id="rId248" Type="http://schemas.openxmlformats.org/officeDocument/2006/relationships/hyperlink" Target="https://baseball-data.com/player/g/%E5%B9%B3%E5%86%85%E3%80%80%E9%BE%8D%E5%A4%AA" TargetMode="External" /><Relationship Id="rId455" Type="http://schemas.openxmlformats.org/officeDocument/2006/relationships/hyperlink" Target="https://baseball-data.com/player/s/%E5%B1%B1%E9%87%8E%E3%80%80%E5%A4%AA%E4%B8%80" TargetMode="External" /><Relationship Id="rId662" Type="http://schemas.openxmlformats.org/officeDocument/2006/relationships/hyperlink" Target="https://baseball-data.com/player/f/%E6%9F%B3%E5%B7%9D%E3%80%80%E5%A4%A7%E6%99%9F" TargetMode="External" /><Relationship Id="rId12" Type="http://schemas.openxmlformats.org/officeDocument/2006/relationships/hyperlink" Target="https://baseball-data.com/player/t/%E5%B2%A9%E5%B4%8E%E3%80%80%E5%84%AA" TargetMode="External" /><Relationship Id="rId108" Type="http://schemas.openxmlformats.org/officeDocument/2006/relationships/hyperlink" Target="https://baseball-data.com/player/yb/%E7%9B%8A%E5%AD%90%E3%80%80%E4%BA%AC%E5%8F%B3" TargetMode="External" /><Relationship Id="rId315" Type="http://schemas.openxmlformats.org/officeDocument/2006/relationships/hyperlink" Target="https://baseball-data.com/player/d/%E7%9F%B3%E6%A9%8B%E3%80%80%E5%BA%B7%E5%A4%AA" TargetMode="External" /><Relationship Id="rId522" Type="http://schemas.openxmlformats.org/officeDocument/2006/relationships/hyperlink" Target="https://baseball-data.com/player/h/%E8%97%A4%E5%8E%9F%E3%80%80%E5%A4%A7%E7%BF%94" TargetMode="External" /><Relationship Id="rId967" Type="http://schemas.openxmlformats.org/officeDocument/2006/relationships/hyperlink" Target="https://baseball-data.com/player/l/%E3%82%AA%E3%82%B1%E3%83%A0" TargetMode="External" /><Relationship Id="rId96" Type="http://schemas.openxmlformats.org/officeDocument/2006/relationships/hyperlink" Target="https://baseball-data.com/player/yb/%E5%A4%A7%E8%B2%AB%E3%80%80%E6%99%8B%E4%B8%80" TargetMode="External" /><Relationship Id="rId161" Type="http://schemas.openxmlformats.org/officeDocument/2006/relationships/hyperlink" Target="https://baseball-data.com/player/yb/%E5%B0%8F%E9%87%9D%E3%80%80%E5%A4%A7%E8%BC%9D" TargetMode="External" /><Relationship Id="rId399" Type="http://schemas.openxmlformats.org/officeDocument/2006/relationships/hyperlink" Target="https://baseball-data.com/player/c/%E7%8E%89%E6%9D%91%E3%80%80%E6%98%87%E6%82%9F" TargetMode="External" /><Relationship Id="rId827" Type="http://schemas.openxmlformats.org/officeDocument/2006/relationships/hyperlink" Target="https://baseball-data.com/player/e/%E4%BC%8A%E8%97%A4%E3%80%80%E8%A3%95%E5%AD%A3%E4%B9%9F" TargetMode="External" /><Relationship Id="rId1012" Type="http://schemas.openxmlformats.org/officeDocument/2006/relationships/hyperlink" Target="https://baseball-data.com/player/m/%E4%B8%80%E6%A2%9D%E3%80%80%E5%8A%9B%E7%9C%9F" TargetMode="External" /><Relationship Id="rId259" Type="http://schemas.openxmlformats.org/officeDocument/2006/relationships/hyperlink" Target="https://baseball-data.com/player/g/%E4%B8%89%E5%A1%9A%E3%80%80%E7%90%89%E7%94%9F" TargetMode="External" /><Relationship Id="rId466" Type="http://schemas.openxmlformats.org/officeDocument/2006/relationships/hyperlink" Target="https://baseball-data.com/player/s/%E8%A5%BF%E6%9D%91%E3%80%80%E7%91%A0%E4%BC%8A%E6%96%97" TargetMode="External" /><Relationship Id="rId673" Type="http://schemas.openxmlformats.org/officeDocument/2006/relationships/hyperlink" Target="https://baseball-data.com/player/f/%E5%A5%88%E8%89%AF%E9%96%93%E3%80%80%E5%A4%A7%E5%B7%B1" TargetMode="External" /><Relationship Id="rId880" Type="http://schemas.openxmlformats.org/officeDocument/2006/relationships/hyperlink" Target="https://baseball-data.com/player/l/%E6%BA%90%E7%94%B0%E3%80%80%E5%A3%AE%E4%BA%AE" TargetMode="External" /><Relationship Id="rId23" Type="http://schemas.openxmlformats.org/officeDocument/2006/relationships/hyperlink" Target="https://baseball-data.com/player/t/%E4%BB%8A%E6%9C%9D%E4%B8%B8%E3%80%80%E8%A3%95%E5%96%9C" TargetMode="External" /><Relationship Id="rId119" Type="http://schemas.openxmlformats.org/officeDocument/2006/relationships/hyperlink" Target="https://baseball-data.com/player/yb/%E6%B7%B1%E6%B2%A2%E3%80%80%E9%B3%B3%E4%BB%8B" TargetMode="External" /><Relationship Id="rId326" Type="http://schemas.openxmlformats.org/officeDocument/2006/relationships/hyperlink" Target="https://baseball-data.com/player/d/%E4%B8%89%E6%B5%A6%E3%80%80%E7%91%9E%E6%A8%B9" TargetMode="External" /><Relationship Id="rId533" Type="http://schemas.openxmlformats.org/officeDocument/2006/relationships/hyperlink" Target="https://baseball-data.com/player/h/%E5%BB%A3%E7%80%A8%E3%80%80%E9%9A%86%E5%A4%AA" TargetMode="External" /><Relationship Id="rId978" Type="http://schemas.openxmlformats.org/officeDocument/2006/relationships/hyperlink" Target="https://baseball-data.com/player/m/%E6%9D%BE%E5%B7%9D%E3%80%80%E8%99%8E%E7%94%9F" TargetMode="External" /><Relationship Id="rId740" Type="http://schemas.openxmlformats.org/officeDocument/2006/relationships/hyperlink" Target="https://baseball-data.com/player/bs/%E5%8F%A4%E7%94%B0%E5%B3%B6%E3%80%80%E6%88%90%E9%BE%8D" TargetMode="External" /><Relationship Id="rId838" Type="http://schemas.openxmlformats.org/officeDocument/2006/relationships/hyperlink" Target="https://baseball-data.com/player/e/%E6%AD%A6%E8%97%A4%E3%80%80%E6%95%A6%E8%B2%B4" TargetMode="External" /><Relationship Id="rId1023" Type="http://schemas.openxmlformats.org/officeDocument/2006/relationships/hyperlink" Target="https://baseball-data.com/player/m/%E7%9B%8A%E7%94%B0%E3%80%80%E7%9B%B4%E4%B9%9F" TargetMode="External" /><Relationship Id="rId172" Type="http://schemas.openxmlformats.org/officeDocument/2006/relationships/hyperlink" Target="https://baseball-data.com/player/g/%E7%9B%B8%E6%BE%A4%E3%80%80%E7%99%BD%E8%99%8E" TargetMode="External" /><Relationship Id="rId477" Type="http://schemas.openxmlformats.org/officeDocument/2006/relationships/hyperlink" Target="https://baseball-data.com/player/s/%E9%AB%98%E6%A9%8B%E3%80%80%E5%A5%8E%E4%BA%8C" TargetMode="External" /><Relationship Id="rId600" Type="http://schemas.openxmlformats.org/officeDocument/2006/relationships/hyperlink" Target="https://baseball-data.com/player/h/%E9%88%B4%E6%9C%A8%E3%80%80%E8%B2%B4%E5%A4%A7" TargetMode="External" /><Relationship Id="rId684" Type="http://schemas.openxmlformats.org/officeDocument/2006/relationships/hyperlink" Target="https://baseball-data.com/player/f/%E6%B8%85%E5%AE%AE%E3%80%80%E8%99%8E%E5%A4%9A%E6%9C%97" TargetMode="External" /><Relationship Id="rId337" Type="http://schemas.openxmlformats.org/officeDocument/2006/relationships/hyperlink" Target="https://baseball-data.com/player/d/%E6%B4%A5%E7%94%B0%E3%80%80%E5%95%93%E5%8F%B2" TargetMode="External" /><Relationship Id="rId891" Type="http://schemas.openxmlformats.org/officeDocument/2006/relationships/hyperlink" Target="https://baseball-data.com/player/l/%E4%BD%90%E8%97%A4%E3%80%80%E9%9A%BC%E8%BC%94" TargetMode="External" /><Relationship Id="rId905" Type="http://schemas.openxmlformats.org/officeDocument/2006/relationships/hyperlink" Target="https://baseball-data.com/player/l/%E7%94%B2%E6%96%90%E9%87%8E%E3%80%80%E5%A4%AE" TargetMode="External" /><Relationship Id="rId989" Type="http://schemas.openxmlformats.org/officeDocument/2006/relationships/hyperlink" Target="https://baseball-data.com/player/m/%E6%A8%AA%E5%B1%B1%E3%80%80%E9%99%B8%E4%BA%BA" TargetMode="External" /><Relationship Id="rId34" Type="http://schemas.openxmlformats.org/officeDocument/2006/relationships/hyperlink" Target="https://baseball-data.com/player/t/%E4%BA%95%E5%9D%AA%E3%80%80%E9%99%BD%E7%94%9F" TargetMode="External" /><Relationship Id="rId544" Type="http://schemas.openxmlformats.org/officeDocument/2006/relationships/hyperlink" Target="https://baseball-data.com/player/h/%E5%AE%87%E9%87%8E%E3%80%80%E7%9C%9F%E4%BB%81%E6%9C%97" TargetMode="External" /><Relationship Id="rId751" Type="http://schemas.openxmlformats.org/officeDocument/2006/relationships/hyperlink" Target="https://baseball-data.com/player/bs/%E9%A0%93%E5%AE%AE%E3%80%80%E8%A3%95%E7%9C%9F" TargetMode="External" /><Relationship Id="rId849" Type="http://schemas.openxmlformats.org/officeDocument/2006/relationships/hyperlink" Target="https://baseball-data.com/player/e/%E5%8F%A4%E8%B3%80%E3%80%80%E5%BA%B7%E8%AA%A0" TargetMode="External" /><Relationship Id="rId183" Type="http://schemas.openxmlformats.org/officeDocument/2006/relationships/hyperlink" Target="https://baseball-data.com/player/g/%E8%A5%BF%E8%88%98%E3%80%80%E5%8B%87%E9%99%BD" TargetMode="External" /><Relationship Id="rId390" Type="http://schemas.openxmlformats.org/officeDocument/2006/relationships/hyperlink" Target="https://baseball-data.com/player/c/%E4%B9%85%E4%BF%9D%E3%80%80%E4%BF%AE" TargetMode="External" /><Relationship Id="rId404" Type="http://schemas.openxmlformats.org/officeDocument/2006/relationships/hyperlink" Target="https://baseball-data.com/player/c/%E6%97%A5%E9%AB%99%E3%80%80%E6%9A%96%E5%B7%B1" TargetMode="External" /><Relationship Id="rId611" Type="http://schemas.openxmlformats.org/officeDocument/2006/relationships/hyperlink" Target="https://baseball-data.com/player/h/%E9%87%8D%E6%9D%BE%E3%80%80%E5%87%B1%E4%BA%BA" TargetMode="External" /><Relationship Id="rId1034" Type="http://schemas.openxmlformats.org/officeDocument/2006/relationships/hyperlink" Target="https://baseball-data.com/player/m/%E5%92%8C%E7%94%B0%E3%80%80%E5%BA%B7%E5%A3%AB%E6%9C%97" TargetMode="External" /><Relationship Id="rId250" Type="http://schemas.openxmlformats.org/officeDocument/2006/relationships/hyperlink" Target="https://baseball-data.com/player/g/%E5%B7%9D%E5%8E%9F%E7%94%B0%E3%80%80%E7%B4%94%E5%B9%B3" TargetMode="External" /><Relationship Id="rId488" Type="http://schemas.openxmlformats.org/officeDocument/2006/relationships/hyperlink" Target="https://baseball-data.com/player/s/%E9%A3%AF%E7%94%B0%E3%80%80%E7%90%89%E6%96%97" TargetMode="External" /><Relationship Id="rId695" Type="http://schemas.openxmlformats.org/officeDocument/2006/relationships/hyperlink" Target="https://baseball-data.com/player/f/%E6%A8%AA%E5%B1%B1%E3%80%80%E6%B0%B8%E9%81%A0" TargetMode="External" /><Relationship Id="rId709" Type="http://schemas.openxmlformats.org/officeDocument/2006/relationships/hyperlink" Target="https://baseball-data.com/player/bs/%E6%A3%AE%E3%80%80%E5%8F%8B%E5%93%89" TargetMode="External" /><Relationship Id="rId916" Type="http://schemas.openxmlformats.org/officeDocument/2006/relationships/hyperlink" Target="https://baseball-data.com/player/l/%E7%8B%A9%E7%94%9F%E3%80%80%E8%81%96%E7%9C%9F" TargetMode="External" /><Relationship Id="rId45" Type="http://schemas.openxmlformats.org/officeDocument/2006/relationships/hyperlink" Target="https://baseball-data.com/player/t/%E6%97%A9%E5%B7%9D%E3%80%80%E5%A4%AA%E8%B2%B4" TargetMode="External" /><Relationship Id="rId110" Type="http://schemas.openxmlformats.org/officeDocument/2006/relationships/hyperlink" Target="https://baseball-data.com/player/yb/%E5%AE%AE%E4%B8%8B%E3%80%80%E6%9C%9D%E9%99%BD" TargetMode="External" /><Relationship Id="rId348" Type="http://schemas.openxmlformats.org/officeDocument/2006/relationships/hyperlink" Target="https://baseball-data.com/player/c/%E5%A0%82%E6%9E%97%E3%80%80%E7%BF%94%E5%A4%AA" TargetMode="External" /><Relationship Id="rId555" Type="http://schemas.openxmlformats.org/officeDocument/2006/relationships/hyperlink" Target="https://baseball-data.com/player/h/%E7%B7%92%E6%96%B9%E3%80%80%E7%90%86%E8%B2%A2" TargetMode="External" /><Relationship Id="rId762" Type="http://schemas.openxmlformats.org/officeDocument/2006/relationships/hyperlink" Target="https://baseball-data.com/player/bs/%E4%B8%8A%E5%8E%9F%E3%80%80%E5%A0%86%E6%88%91" TargetMode="External" /><Relationship Id="rId194" Type="http://schemas.openxmlformats.org/officeDocument/2006/relationships/hyperlink" Target="https://baseball-data.com/player/g/%E7%9F%B3%E5%A1%9A%E3%80%80%E8%A3%95%E6%83%BA" TargetMode="External" /><Relationship Id="rId208" Type="http://schemas.openxmlformats.org/officeDocument/2006/relationships/hyperlink" Target="https://baseball-data.com/player/g/%E8%B5%A4%E6%98%9F%E3%80%80%E5%84%AA%E5%BF%97" TargetMode="External" /><Relationship Id="rId415" Type="http://schemas.openxmlformats.org/officeDocument/2006/relationships/hyperlink" Target="https://baseball-data.com/player/c/%E5%B0%8F%E6%9E%97%E3%80%80%E7%B5%90%E5%A4%AA" TargetMode="External" /><Relationship Id="rId622" Type="http://schemas.openxmlformats.org/officeDocument/2006/relationships/hyperlink" Target="https://baseball-data.com/player/f/%E4%B8%8A%E5%B7%9D%E7%95%91%E3%80%80%E5%A4%A7%E6%82%9F" TargetMode="External" /><Relationship Id="rId1045" Type="http://schemas.openxmlformats.org/officeDocument/2006/relationships/hyperlink" Target="https://baseball-data.com/player/m/%E9%87%91%E7%94%B0%E3%80%80%E5%84%AA%E5%A4%AA" TargetMode="External" /><Relationship Id="rId261" Type="http://schemas.openxmlformats.org/officeDocument/2006/relationships/hyperlink" Target="https://baseball-data.com/player/g/%E5%B0%8F%E7%AC%A0%E5%8E%9F%E3%80%80%E6%85%8E%E4%B9%8B%E4%BB%8B" TargetMode="External" /><Relationship Id="rId499" Type="http://schemas.openxmlformats.org/officeDocument/2006/relationships/hyperlink" Target="https://baseball-data.com/player/s/%E3%83%A2%E3%83%B3%E3%83%86%E3%83%AB" TargetMode="External" /><Relationship Id="rId927" Type="http://schemas.openxmlformats.org/officeDocument/2006/relationships/hyperlink" Target="https://baseball-data.com/player/l/%E6%A8%AA%E7%94%B0%E3%80%80%E8%92%BC%E5%92%8C" TargetMode="External" /><Relationship Id="rId56" Type="http://schemas.openxmlformats.org/officeDocument/2006/relationships/hyperlink" Target="https://baseball-data.com/player/t/%E6%A4%8D%E7%94%B0%E3%80%80%E6%B5%B7" TargetMode="External" /><Relationship Id="rId359" Type="http://schemas.openxmlformats.org/officeDocument/2006/relationships/hyperlink" Target="https://baseball-data.com/player/c/%E4%B8%AD%EF%A8%91%E3%80%80%E7%BF%94%E5%A4%AA" TargetMode="External" /><Relationship Id="rId566" Type="http://schemas.openxmlformats.org/officeDocument/2006/relationships/hyperlink" Target="https://baseball-data.com/player/h/%E6%9C%A8%E6%9D%91%E3%80%80%E5%85%89" TargetMode="External" /><Relationship Id="rId773" Type="http://schemas.openxmlformats.org/officeDocument/2006/relationships/hyperlink" Target="https://baseball-data.com/player/bs/%E5%A0%80%E3%80%80%E6%9F%8A%E9%82%A3" TargetMode="External" /><Relationship Id="rId121" Type="http://schemas.openxmlformats.org/officeDocument/2006/relationships/hyperlink" Target="https://baseball-data.com/player/yb/%E6%A3%AE%E5%8E%9F%E3%80%80%E5%BA%B7%E5%B9%B3" TargetMode="External" /><Relationship Id="rId219" Type="http://schemas.openxmlformats.org/officeDocument/2006/relationships/hyperlink" Target="https://baseball-data.com/player/g/%E4%B8%AD%E5%B7%9D%E3%80%80%E7%9A%93%E5%A4%AA" TargetMode="External" /><Relationship Id="rId426" Type="http://schemas.openxmlformats.org/officeDocument/2006/relationships/hyperlink" Target="https://baseball-data.com/player/s/%E5%8F%A4%E8%B3%80%E3%80%80%E5%84%AA%E5%A4%A7" TargetMode="External" /><Relationship Id="rId633" Type="http://schemas.openxmlformats.org/officeDocument/2006/relationships/hyperlink" Target="https://baseball-data.com/player/f/%E9%81%94%E3%80%80%E5%AD%9D%E5%A4%AA" TargetMode="External" /><Relationship Id="rId980" Type="http://schemas.openxmlformats.org/officeDocument/2006/relationships/hyperlink" Target="https://baseball-data.com/player/m/%E5%8F%8B%E6%9D%89%E3%80%80%E7%AF%A4%E8%BC%9D" TargetMode="External" /><Relationship Id="rId1056" Type="http://schemas.openxmlformats.org/officeDocument/2006/relationships/hyperlink" Target="https://baseball-data.com/player/m/%E6%AD%A6%E5%86%85%E3%80%80%E6%B6%BC%E5%A4%AA" TargetMode="External" /><Relationship Id="rId840" Type="http://schemas.openxmlformats.org/officeDocument/2006/relationships/hyperlink" Target="https://baseball-data.com/player/e/%E6%B4%A5%E7%95%99%EF%A8%91%E3%80%80%E5%A4%A7%E6%88%90" TargetMode="External" /><Relationship Id="rId938" Type="http://schemas.openxmlformats.org/officeDocument/2006/relationships/hyperlink" Target="https://baseball-data.com/player/l/%E8%8F%85%E4%BA%95%E3%80%80%E4%BF%A1%E4%B9%9F" TargetMode="External" /><Relationship Id="rId67" Type="http://schemas.openxmlformats.org/officeDocument/2006/relationships/hyperlink" Target="https://baseball-data.com/player/t/%E7%A5%9E%E5%AE%AE%E3%80%80%E5%83%9A%E4%BB%8B" TargetMode="External" /><Relationship Id="rId272" Type="http://schemas.openxmlformats.org/officeDocument/2006/relationships/hyperlink" Target="https://baseball-data.com/player/d/%E5%A4%A7%E5%B3%B6%E3%80%80%E6%B4%8B%E5%B9%B3" TargetMode="External" /><Relationship Id="rId577" Type="http://schemas.openxmlformats.org/officeDocument/2006/relationships/hyperlink" Target="https://baseball-data.com/player/h/%E5%A4%A7%E5%8F%8B%E3%80%80%E5%AE%97" TargetMode="External" /><Relationship Id="rId700" Type="http://schemas.openxmlformats.org/officeDocument/2006/relationships/hyperlink" Target="https://baseball-data.com/player/f/%E6%A0%B9%E6%9C%AC%E3%80%80%E6%82%A0%E6%A5%93" TargetMode="External" /><Relationship Id="rId132" Type="http://schemas.openxmlformats.org/officeDocument/2006/relationships/hyperlink" Target="https://baseball-data.com/player/yb/%E6%9D%B1%E5%A6%BB%E3%80%80%E7%B4%94%E5%B9%B3" TargetMode="External" /><Relationship Id="rId784" Type="http://schemas.openxmlformats.org/officeDocument/2006/relationships/hyperlink" Target="https://baseball-data.com/player/bs/%E6%A8%A9%E7%94%B0%E3%80%80%E7%90%89%E6%88%90" TargetMode="External" /><Relationship Id="rId991" Type="http://schemas.openxmlformats.org/officeDocument/2006/relationships/hyperlink" Target="https://baseball-data.com/player/m/%E7%9F%B3%E5%9E%A3%E3%80%80%E5%85%83%E6%B0%97" TargetMode="External" /><Relationship Id="rId437" Type="http://schemas.openxmlformats.org/officeDocument/2006/relationships/hyperlink" Target="https://baseball-data.com/player/s/%E7%AB%B9%E5%B1%B1%E3%80%80%E6%97%A5%E5%90%91" TargetMode="External" /><Relationship Id="rId644" Type="http://schemas.openxmlformats.org/officeDocument/2006/relationships/hyperlink" Target="https://baseball-data.com/player/f/%E7%B4%B0%E9%87%8E%E3%80%80%E6%99%B4%E5%B8%8C" TargetMode="External" /><Relationship Id="rId851" Type="http://schemas.openxmlformats.org/officeDocument/2006/relationships/hyperlink" Target="https://baseball-data.com/player/e/%E8%A5%BF%E5%8F%A3%E3%80%80%E7%9B%B4%E4%BA%BA" TargetMode="External" /><Relationship Id="rId283" Type="http://schemas.openxmlformats.org/officeDocument/2006/relationships/hyperlink" Target="https://baseball-data.com/player/d/%E3%82%B5%E3%83%8E%E3%83%BC" TargetMode="External" /><Relationship Id="rId490" Type="http://schemas.openxmlformats.org/officeDocument/2006/relationships/hyperlink" Target="https://baseball-data.com/player/s/%E5%A2%97%E7%94%B0%E3%80%80%E7%8F%A0" TargetMode="External" /><Relationship Id="rId504" Type="http://schemas.openxmlformats.org/officeDocument/2006/relationships/hyperlink" Target="https://baseball-data.com/player/h/%E3%82%B9%E3%83%81%E3%83%A5%E3%83%AF%E3%83%BC%E3%83%88%E3%83%BB%E3%82%B8%E3%83%A5%E3%83%8B%E3%82%A2" TargetMode="External" /><Relationship Id="rId711" Type="http://schemas.openxmlformats.org/officeDocument/2006/relationships/hyperlink" Target="https://baseball-data.com/player/bs/%E8%A5%BF%E9%87%8E%E3%80%80%E7%9C%9F%E5%BC%98" TargetMode="External" /><Relationship Id="rId949" Type="http://schemas.openxmlformats.org/officeDocument/2006/relationships/hyperlink" Target="https://baseball-data.com/player/l/%E5%AE%AE%E6%BE%A4%E3%80%80%E5%A4%AA%E6%88%90" TargetMode="External" /><Relationship Id="rId78" Type="http://schemas.openxmlformats.org/officeDocument/2006/relationships/hyperlink" Target="https://baseball-data.com/player/t/%E3%83%9E%E3%83%AB%E3%83%86%E3%82%A3%E3%83%8D%E3%82%B9" TargetMode="External" /><Relationship Id="rId143" Type="http://schemas.openxmlformats.org/officeDocument/2006/relationships/hyperlink" Target="https://baseball-data.com/player/yb/%E5%B2%A9%E7%94%B0%E3%80%80%E5%B0%86%E8%B2%B4" TargetMode="External" /><Relationship Id="rId350" Type="http://schemas.openxmlformats.org/officeDocument/2006/relationships/hyperlink" Target="https://baseball-data.com/player/c/%E4%BD%90%E3%80%85%E6%9C%A8%E3%80%80%E6%B3%B0" TargetMode="External" /><Relationship Id="rId588" Type="http://schemas.openxmlformats.org/officeDocument/2006/relationships/hyperlink" Target="https://baseball-data.com/player/h/%E7%9B%B8%E5%8E%9F%E3%80%80%E9%9B%84%E5%A4%AA" TargetMode="External" /><Relationship Id="rId795" Type="http://schemas.openxmlformats.org/officeDocument/2006/relationships/hyperlink" Target="https://baseball-data.com/player/e/%E5%AE%97%E5%B1%B1%E3%80%80%E5%A1%81" TargetMode="External" /><Relationship Id="rId809" Type="http://schemas.openxmlformats.org/officeDocument/2006/relationships/hyperlink" Target="https://baseball-data.com/player/e/%E6%97%A9%E5%B7%9D%E3%80%80%E9%9A%86%E4%B9%85" TargetMode="External" /><Relationship Id="rId9" Type="http://schemas.openxmlformats.org/officeDocument/2006/relationships/hyperlink" Target="https://baseball-data.com/player/t/%E4%BD%90%E8%97%A4%E3%80%80%E8%BC%9D%E6%98%8E" TargetMode="External" /><Relationship Id="rId210" Type="http://schemas.openxmlformats.org/officeDocument/2006/relationships/hyperlink" Target="https://baseball-data.com/player/g/%E5%B0%8F%E6%BF%B1%E3%80%80%E4%BD%91%E6%96%97" TargetMode="External" /><Relationship Id="rId448" Type="http://schemas.openxmlformats.org/officeDocument/2006/relationships/hyperlink" Target="https://baseball-data.com/player/s/%E5%90%89%E6%9D%91%E3%80%80%E8%B2%A2%E5%8F%B8%E9%83%8E" TargetMode="External" /><Relationship Id="rId655" Type="http://schemas.openxmlformats.org/officeDocument/2006/relationships/hyperlink" Target="https://baseball-data.com/player/f/%E5%B3%B6%E6%9C%AC%E3%80%80%E6%B5%A9%E4%B9%9F" TargetMode="External" /><Relationship Id="rId862" Type="http://schemas.openxmlformats.org/officeDocument/2006/relationships/hyperlink" Target="https://baseball-data.com/player/e/%E5%B0%8F%E6%A3%AE%E3%80%80%E8%88%AA%E5%A4%A7%E9%83%8E" TargetMode="External" /><Relationship Id="rId294" Type="http://schemas.openxmlformats.org/officeDocument/2006/relationships/hyperlink" Target="https://baseball-data.com/player/d/%E6%9C%A8%E4%B8%8B%E3%80%80%E6%8B%93%E5%93%89" TargetMode="External" /><Relationship Id="rId308" Type="http://schemas.openxmlformats.org/officeDocument/2006/relationships/hyperlink" Target="https://baseball-data.com/player/d/%E4%B8%8A%E6%9E%97%E3%80%80%E8%AA%A0%E7%9F%A5" TargetMode="External" /><Relationship Id="rId515" Type="http://schemas.openxmlformats.org/officeDocument/2006/relationships/hyperlink" Target="https://baseball-data.com/player/h/%E7%A8%B2%E5%B7%9D%E3%80%80%E7%AB%9C%E6%B1%B0" TargetMode="External" /><Relationship Id="rId722" Type="http://schemas.openxmlformats.org/officeDocument/2006/relationships/hyperlink" Target="https://baseball-data.com/player/bs/%E6%9B%BD%E8%B0%B7%E3%80%80%E9%BE%8D%E5%B9%B3" TargetMode="External" /><Relationship Id="rId89" Type="http://schemas.openxmlformats.org/officeDocument/2006/relationships/hyperlink" Target="https://baseball-data.com/player/yb/%E4%BA%AC%E7%94%B0%E3%80%80%E9%99%BD%E5%A4%AA" TargetMode="External" /><Relationship Id="rId154" Type="http://schemas.openxmlformats.org/officeDocument/2006/relationships/hyperlink" Target="https://baseball-data.com/player/yb/%E5%B0%8F%E7%AC%A0%E5%8E%9F%E3%80%80%E8%92%BC" TargetMode="External" /><Relationship Id="rId361" Type="http://schemas.openxmlformats.org/officeDocument/2006/relationships/hyperlink" Target="https://baseball-data.com/player/c/%E9%BB%92%E5%8E%9F%E3%80%80%E6%8B%93%E6%9C%AA" TargetMode="External" /><Relationship Id="rId599" Type="http://schemas.openxmlformats.org/officeDocument/2006/relationships/hyperlink" Target="https://baseball-data.com/player/h/%E5%A4%A7%E6%A9%8B%E3%80%80%E4%BB%A4%E5%92%8C" TargetMode="External" /><Relationship Id="rId1005" Type="http://schemas.openxmlformats.org/officeDocument/2006/relationships/hyperlink" Target="https://baseball-data.com/player/m/%E9%AB%98%E9%87%8E%E3%80%80%E8%84%A9%E6%B1%B0" TargetMode="External" /><Relationship Id="rId459" Type="http://schemas.openxmlformats.org/officeDocument/2006/relationships/hyperlink" Target="https://baseball-data.com/player/s/%E5%B0%8F%E5%B7%9D%E3%80%80%E6%B3%B0%E5%BC%98" TargetMode="External" /><Relationship Id="rId666" Type="http://schemas.openxmlformats.org/officeDocument/2006/relationships/hyperlink" Target="https://baseball-data.com/player/f/%E5%8D%8A%E7%94%B0%E3%80%80%E5%8D%97%E5%8D%81" TargetMode="External" /><Relationship Id="rId873" Type="http://schemas.openxmlformats.org/officeDocument/2006/relationships/hyperlink" Target="https://baseball-data.com/player/e/%E8%95%AD%E3%80%80%E9%BD%8A" TargetMode="External" /><Relationship Id="rId16" Type="http://schemas.openxmlformats.org/officeDocument/2006/relationships/hyperlink" Target="https://baseball-data.com/player/t/%E4%BC%8A%E5%8E%9F%E3%80%80%E9%99%B5%E4%BA%BA" TargetMode="External" /><Relationship Id="rId221" Type="http://schemas.openxmlformats.org/officeDocument/2006/relationships/hyperlink" Target="https://baseball-data.com/player/g/%E3%82%B0%E3%82%BA%E3%83%9E%E3%83%B3" TargetMode="External" /><Relationship Id="rId319" Type="http://schemas.openxmlformats.org/officeDocument/2006/relationships/hyperlink" Target="https://baseball-data.com/player/d/%E6%A3%AE%E3%80%80%E5%8D%9A%E4%BA%BA" TargetMode="External" /><Relationship Id="rId526" Type="http://schemas.openxmlformats.org/officeDocument/2006/relationships/hyperlink" Target="https://baseball-data.com/player/h/%E9%88%B4%E6%9C%A8%E3%80%80%E8%B1%AA%E5%A4%AA" TargetMode="External" /><Relationship Id="rId733" Type="http://schemas.openxmlformats.org/officeDocument/2006/relationships/hyperlink" Target="https://baseball-data.com/player/bs/%E7%94%B0%E5%B6%8B%E3%80%80%E5%A4%A7%E6%A8%B9" TargetMode="External" /><Relationship Id="rId940" Type="http://schemas.openxmlformats.org/officeDocument/2006/relationships/hyperlink" Target="https://baseball-data.com/player/l/%E4%BD%90%E8%97%A4%E3%80%80%E7%88%BD" TargetMode="External" /><Relationship Id="rId1016" Type="http://schemas.openxmlformats.org/officeDocument/2006/relationships/hyperlink" Target="https://baseball-data.com/player/m/%E6%A4%8D%E7%94%B0%E3%80%80%E5%B0%86%E5%A4%AA" TargetMode="External" /><Relationship Id="rId165" Type="http://schemas.openxmlformats.org/officeDocument/2006/relationships/hyperlink" Target="https://baseball-data.com/player/g/%E5%90%89%E5%B7%9D%E3%80%80%E5%B0%9A%E8%BC%9D" TargetMode="External" /><Relationship Id="rId372" Type="http://schemas.openxmlformats.org/officeDocument/2006/relationships/hyperlink" Target="https://baseball-data.com/player/c/%E5%A1%B9%E6%B1%9F%E3%80%80%E6%95%A6%E5%93%89" TargetMode="External" /><Relationship Id="rId677" Type="http://schemas.openxmlformats.org/officeDocument/2006/relationships/hyperlink" Target="https://baseball-data.com/player/f/%E5%B1%B1%E5%9F%8E%E3%80%80%E8%88%AA%E5%A4%AA%E9%83%8E" TargetMode="External" /><Relationship Id="rId800" Type="http://schemas.openxmlformats.org/officeDocument/2006/relationships/hyperlink" Target="https://baseball-data.com/player/e/%E8%BE%B0%E5%B7%B1%E3%80%80%E6%B6%BC%E4%BB%8B" TargetMode="External" /><Relationship Id="rId232" Type="http://schemas.openxmlformats.org/officeDocument/2006/relationships/hyperlink" Target="https://baseball-data.com/player/g/%E6%9D%BF%E6%9D%B1%E3%80%80%E6%B9%A7%E6%A2%A7" TargetMode="External" /><Relationship Id="rId884" Type="http://schemas.openxmlformats.org/officeDocument/2006/relationships/hyperlink" Target="https://baseball-data.com/player/l/%E5%B0%8F%E5%B3%B6%E3%80%80%E5%A4%A7%E6%B2%B3" TargetMode="External" /><Relationship Id="rId27" Type="http://schemas.openxmlformats.org/officeDocument/2006/relationships/hyperlink" Target="https://baseball-data.com/player/t/%E7%B3%B8%E5%8E%9F%E3%80%80%E5%81%A5%E6%96%97" TargetMode="External" /><Relationship Id="rId537" Type="http://schemas.openxmlformats.org/officeDocument/2006/relationships/hyperlink" Target="https://baseball-data.com/player/h/%E5%B1%B1%E6%9C%AC%E3%80%80%E7%A5%90%E5%A4%A7" TargetMode="External" /><Relationship Id="rId744" Type="http://schemas.openxmlformats.org/officeDocument/2006/relationships/hyperlink" Target="https://baseball-data.com/player/bs/%E6%B1%A0%E7%94%B0%E3%80%80%E9%99%B5%E7%9C%9F" TargetMode="External" /><Relationship Id="rId951" Type="http://schemas.openxmlformats.org/officeDocument/2006/relationships/hyperlink" Target="https://baseball-data.com/player/l/%E5%8F%A4%E8%B3%80%E3%80%80%E8%BC%9D%E5%B8%8C" TargetMode="External" /><Relationship Id="rId80" Type="http://schemas.openxmlformats.org/officeDocument/2006/relationships/hyperlink" Target="https://baseball-data.com/player/t/%E3%82%B3%E3%83%B3%E3%82%B9%E3%82%A8%E3%82%B0%E3%83%A9" TargetMode="External" /><Relationship Id="rId176" Type="http://schemas.openxmlformats.org/officeDocument/2006/relationships/hyperlink" Target="https://baseball-data.com/player/g/%E5%86%A8%E9%87%8D%E3%80%80%E8%8B%B1%E4%BA%8C%E9%83%8E" TargetMode="External" /><Relationship Id="rId383" Type="http://schemas.openxmlformats.org/officeDocument/2006/relationships/hyperlink" Target="https://baseball-data.com/player/c/%E3%82%A2%E3%83%89%E3%82%A5%E3%83%AF%E3%80%80%E8%AA%A0" TargetMode="External" /><Relationship Id="rId590" Type="http://schemas.openxmlformats.org/officeDocument/2006/relationships/hyperlink" Target="https://baseball-data.com/player/h/%E5%B2%A1%E7%94%B0%E3%80%80%E7%9A%93%E4%B8%80%E6%9C%97" TargetMode="External" /><Relationship Id="rId604" Type="http://schemas.openxmlformats.org/officeDocument/2006/relationships/hyperlink" Target="https://baseball-data.com/player/h/%E7%94%B0%E4%B8%8A%E3%80%80%E5%A5%8F%E5%A4%A7" TargetMode="External" /><Relationship Id="rId811" Type="http://schemas.openxmlformats.org/officeDocument/2006/relationships/hyperlink" Target="https://baseball-data.com/player/e/%E3%82%A6%E3%83%AC%E3%83%BC%E3%83%8B%E3%83%A3" TargetMode="External" /><Relationship Id="rId1027" Type="http://schemas.openxmlformats.org/officeDocument/2006/relationships/hyperlink" Target="https://baseball-data.com/player/m/%E4%B8%AD%E6%A3%AE%E3%80%80%E4%BF%8A%E4%BB%8B" TargetMode="External" /><Relationship Id="rId243" Type="http://schemas.openxmlformats.org/officeDocument/2006/relationships/hyperlink" Target="https://baseball-data.com/player/g/%E6%A8%AA%E5%B7%9D%E3%80%80%E5%87%B1" TargetMode="External" /><Relationship Id="rId450" Type="http://schemas.openxmlformats.org/officeDocument/2006/relationships/hyperlink" Target="https://baseball-data.com/player/s/%E6%BE%A4%E9%87%8E%E3%80%80%E8%81%96%E6%82%A0" TargetMode="External" /><Relationship Id="rId688" Type="http://schemas.openxmlformats.org/officeDocument/2006/relationships/hyperlink" Target="https://baseball-data.com/player/f/%E3%83%AC%E3%82%A4%E3%82%A8%E3%82%B9" TargetMode="External" /><Relationship Id="rId895" Type="http://schemas.openxmlformats.org/officeDocument/2006/relationships/hyperlink" Target="https://baseball-data.com/player/l/%E7%B3%B8%E5%B7%9D%E3%80%80%E4%BA%AE%E5%A4%AA" TargetMode="External" /><Relationship Id="rId909" Type="http://schemas.openxmlformats.org/officeDocument/2006/relationships/hyperlink" Target="https://baseball-data.com/player/l/%E4%BD%90%E8%97%A4%E3%80%80%E5%A4%AA%E9%99%BD" TargetMode="External" /><Relationship Id="rId38" Type="http://schemas.openxmlformats.org/officeDocument/2006/relationships/hyperlink" Target="https://baseball-data.com/player/t/%E6%97%A9%E7%80%AC%E3%80%80%E6%9C%94" TargetMode="External" /><Relationship Id="rId103" Type="http://schemas.openxmlformats.org/officeDocument/2006/relationships/hyperlink" Target="https://baseball-data.com/player/yb/%E4%B8%89%E6%A3%AE%E3%80%80%E5%A4%A7%E8%B2%B4" TargetMode="External" /><Relationship Id="rId310" Type="http://schemas.openxmlformats.org/officeDocument/2006/relationships/hyperlink" Target="https://baseball-data.com/player/d/%E5%AE%AE%E5%86%85%E3%80%80%E6%98%A5%E8%BC%9D" TargetMode="External" /><Relationship Id="rId548" Type="http://schemas.openxmlformats.org/officeDocument/2006/relationships/hyperlink" Target="https://baseball-data.com/player/h/%E7%9B%B8%E8%89%AF%E3%80%80%E9%9B%85%E6%96%97" TargetMode="External" /><Relationship Id="rId755" Type="http://schemas.openxmlformats.org/officeDocument/2006/relationships/hyperlink" Target="https://baseball-data.com/player/bs/%E5%B1%B1%E5%8F%A3%E3%80%80%E5%BB%89%E7%8E%8B" TargetMode="External" /><Relationship Id="rId962" Type="http://schemas.openxmlformats.org/officeDocument/2006/relationships/hyperlink" Target="https://baseball-data.com/player/l/%E6%AD%A3%E6%9C%A8%E3%80%80%E6%82%A0%E9%A6%AC" TargetMode="External" /><Relationship Id="rId91" Type="http://schemas.openxmlformats.org/officeDocument/2006/relationships/hyperlink" Target="https://baseball-data.com/player/yb/%E6%9D%B1%E3%80%80%E5%85%8B%E6%A8%B9" TargetMode="External" /><Relationship Id="rId187" Type="http://schemas.openxmlformats.org/officeDocument/2006/relationships/hyperlink" Target="https://baseball-data.com/player/g/%E5%96%9C%E5%A4%9A%E3%80%80%E9%9A%86%E4%BB%8B" TargetMode="External" /><Relationship Id="rId394" Type="http://schemas.openxmlformats.org/officeDocument/2006/relationships/hyperlink" Target="https://baseball-data.com/player/c/%E7%94%B0%E6%9D%91%E3%80%80%E4%BF%8A%E4%BB%8B" TargetMode="External" /><Relationship Id="rId408" Type="http://schemas.openxmlformats.org/officeDocument/2006/relationships/hyperlink" Target="https://baseball-data.com/player/c/%E3%83%A2%E3%83%B3%E3%83%86%E3%83%AD" TargetMode="External" /><Relationship Id="rId615" Type="http://schemas.openxmlformats.org/officeDocument/2006/relationships/hyperlink" Target="https://baseball-data.com/player/h/%E7%9B%9B%E5%B3%B6%E3%80%80%E7%A8%9C%E5%A4%A7" TargetMode="External" /><Relationship Id="rId822" Type="http://schemas.openxmlformats.org/officeDocument/2006/relationships/hyperlink" Target="https://baseball-data.com/player/e/%E4%B8%AD%E5%B3%B6%E3%80%80%E5%A4%A7%E8%BC%94" TargetMode="External" /><Relationship Id="rId1038" Type="http://schemas.openxmlformats.org/officeDocument/2006/relationships/hyperlink" Target="https://baseball-data.com/player/m/%E8%8C%B6%E8%B0%B7%E3%80%80%E5%81%A5%E5%A4%AA" TargetMode="External" /><Relationship Id="rId254" Type="http://schemas.openxmlformats.org/officeDocument/2006/relationships/hyperlink" Target="https://baseball-data.com/player/g/%E7%9F%B3%E7%94%B0%E3%80%80%E5%85%85%E5%86%B4" TargetMode="External" /><Relationship Id="rId699" Type="http://schemas.openxmlformats.org/officeDocument/2006/relationships/hyperlink" Target="https://baseball-data.com/player/f/%E5%AE%89%E8%A5%BF%E3%80%80%E5%8F%B6%E7%BF%94" TargetMode="External" /><Relationship Id="rId49" Type="http://schemas.openxmlformats.org/officeDocument/2006/relationships/hyperlink" Target="https://baseball-data.com/player/t/%E8%83%BD%E7%99%BB%E3%80%80%E5%B5%A9%E9%83%BD" TargetMode="External" /><Relationship Id="rId114" Type="http://schemas.openxmlformats.org/officeDocument/2006/relationships/hyperlink" Target="https://baseball-data.com/player/yb/%E6%9D%BE%E6%9C%AC%E3%80%80%E5%87%8C%E4%BA%BA" TargetMode="External" /><Relationship Id="rId461" Type="http://schemas.openxmlformats.org/officeDocument/2006/relationships/hyperlink" Target="https://baseball-data.com/player/s/%E3%83%A2%E3%82%A4%E3%82%BB%E3%82%A8%E3%83%95%E3%80%80%E3%83%8B%E3%82%AD%E3%83%BC%E3%82%BF" TargetMode="External" /><Relationship Id="rId559" Type="http://schemas.openxmlformats.org/officeDocument/2006/relationships/hyperlink" Target="https://baseball-data.com/player/h/%E5%B7%9D%E6%9D%91%E3%80%80%E5%8F%8B%E6%96%97" TargetMode="External" /><Relationship Id="rId766" Type="http://schemas.openxmlformats.org/officeDocument/2006/relationships/hyperlink" Target="https://baseball-data.com/player/bs/%E7%94%B0%E5%B3%B6%E3%80%80%E5%85%89%E7%A5%90" TargetMode="External" /><Relationship Id="rId198" Type="http://schemas.openxmlformats.org/officeDocument/2006/relationships/hyperlink" Target="https://baseball-data.com/player/g/%E3%82%A6%E3%82%A3%E3%83%83%E3%83%88%E3%83%AA%E3%83%BC" TargetMode="External" /><Relationship Id="rId321" Type="http://schemas.openxmlformats.org/officeDocument/2006/relationships/hyperlink" Target="https://baseball-data.com/player/d/%E6%9C%89%E9%A6%AC%E3%80%80%E6%83%A0%E5%8F%B6" TargetMode="External" /><Relationship Id="rId419" Type="http://schemas.openxmlformats.org/officeDocument/2006/relationships/hyperlink" Target="https://baseball-data.com/player/c/%E6%9D%89%E5%8E%9F%E3%80%80%E6%9C%9B%E6%9D%A5" TargetMode="External" /><Relationship Id="rId626" Type="http://schemas.openxmlformats.org/officeDocument/2006/relationships/hyperlink" Target="https://baseball-data.com/player/f/%E6%B7%BA%E9%96%93%E3%80%80%E5%A4%A7%E5%9F%BA" TargetMode="External" /><Relationship Id="rId973" Type="http://schemas.openxmlformats.org/officeDocument/2006/relationships/hyperlink" Target="https://baseball-data.com/player/l/%E3%82%AA%E3%83%AA%E3%83%90%E3%83%BC" TargetMode="External" /><Relationship Id="rId1049" Type="http://schemas.openxmlformats.org/officeDocument/2006/relationships/hyperlink" Target="https://baseball-data.com/player/m/%E6%B0%B8%E5%B3%B6%E7%94%B0%E3%80%80%E8%BC%9D%E6%96%97" TargetMode="External" /><Relationship Id="rId833" Type="http://schemas.openxmlformats.org/officeDocument/2006/relationships/hyperlink" Target="https://baseball-data.com/player/e/%E4%B9%9D%E8%B0%B7%E3%80%80%E7%91%A0" TargetMode="External" /><Relationship Id="rId265" Type="http://schemas.openxmlformats.org/officeDocument/2006/relationships/hyperlink" Target="https://baseball-data.com/player/d/%E5%B0%BE%E7%94%B0%E3%80%80%E5%89%9B%E6%A8%B9" TargetMode="External" /><Relationship Id="rId472" Type="http://schemas.openxmlformats.org/officeDocument/2006/relationships/hyperlink" Target="https://baseball-data.com/player/s/%E6%BE%A4%E4%BA%95%E3%80%80%E5%BB%89" TargetMode="External" /><Relationship Id="rId900" Type="http://schemas.openxmlformats.org/officeDocument/2006/relationships/hyperlink" Target="https://baseball-data.com/player/l/%E9%9D%92%E5%B1%B1%E3%80%80%E7%BE%8E%E5%A4%8F%E4%BA%BA" TargetMode="External" 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e/%E8%97%A4%E4%BA%95%E3%80%80%E8%81%96" TargetMode="External" /><Relationship Id="rId299" Type="http://schemas.openxmlformats.org/officeDocument/2006/relationships/hyperlink" Target="https://baseball-data.com/player/l/%E7%BE%BD%E7%94%B0%E3%80%80%E6%85%8E%E4%B9%8B%E4%BB%8B" TargetMode="External" /><Relationship Id="rId21" Type="http://schemas.openxmlformats.org/officeDocument/2006/relationships/hyperlink" Target="https://baseball-data.com/player/l/%E6%AD%A6%E5%86%85%E3%80%80%E5%A4%8F%E6%9A%89" TargetMode="External" /><Relationship Id="rId42" Type="http://schemas.openxmlformats.org/officeDocument/2006/relationships/hyperlink" Target="https://baseball-data.com/player/s/%E6%9D%BE%E6%9C%AC%E3%80%80%E5%81%A5%E5%90%BE" TargetMode="External" /><Relationship Id="rId63" Type="http://schemas.openxmlformats.org/officeDocument/2006/relationships/hyperlink" Target="https://baseball-data.com/player/m/%E3%83%AD%E3%83%B3%E3%82%B0" TargetMode="External" /><Relationship Id="rId84" Type="http://schemas.openxmlformats.org/officeDocument/2006/relationships/hyperlink" Target="https://baseball-data.com/player/h/%E6%9D%BE%E6%9C%AC%E3%80%80%E8%A3%95%E6%A8%B9" TargetMode="External" /><Relationship Id="rId138" Type="http://schemas.openxmlformats.org/officeDocument/2006/relationships/hyperlink" Target="https://baseball-data.com/player/g/%E6%A3%AE%E7%94%B0%E3%80%80%E9%A7%BF%E5%93%89" TargetMode="External" /><Relationship Id="rId159" Type="http://schemas.openxmlformats.org/officeDocument/2006/relationships/hyperlink" Target="https://baseball-data.com/player/g/%E8%88%B9%E8%BF%AB%E3%80%80%E5%A4%A7%E9%9B%85" TargetMode="External" /><Relationship Id="rId324" Type="http://schemas.openxmlformats.org/officeDocument/2006/relationships/hyperlink" Target="https://baseball-data.com/player/h/%E5%B2%A9%E4%BA%95%E3%80%80%E4%BF%8A%E4%BB%8B" TargetMode="External" /><Relationship Id="rId345" Type="http://schemas.openxmlformats.org/officeDocument/2006/relationships/hyperlink" Target="https://baseball-data.com/player/m/%E8%8F%8A%E5%9C%B0%E3%80%80%E5%90%8F%E7%8E%96" TargetMode="External" /><Relationship Id="rId366" Type="http://schemas.openxmlformats.org/officeDocument/2006/relationships/hyperlink" Target="https://baseball-data.com/player/g/%E3%83%90%E3%83%AB%E3%83%89%E3%83%8A%E3%83%BC%E3%83%89" TargetMode="External" /><Relationship Id="rId170" Type="http://schemas.openxmlformats.org/officeDocument/2006/relationships/hyperlink" Target="https://baseball-data.com/player/g/%E5%B1%B1%EF%A8%91%E3%80%80%E4%BC%8A%E7%B9%94" TargetMode="External" /><Relationship Id="rId191" Type="http://schemas.openxmlformats.org/officeDocument/2006/relationships/hyperlink" Target="https://baseball-data.com/player/g/%E4%BB%A3%E6%9C%A8%E3%80%80%E5%A4%A7%E5%92%8C" TargetMode="External" /><Relationship Id="rId205" Type="http://schemas.openxmlformats.org/officeDocument/2006/relationships/hyperlink" Target="https://baseball-data.com/player/t/%E3%82%BB%E3%83%99%E3%83%AA%E3%83%BC%E3%83%8E" TargetMode="External" /><Relationship Id="rId226" Type="http://schemas.openxmlformats.org/officeDocument/2006/relationships/hyperlink" Target="https://baseball-data.com/player/d/%E7%89%A7%E9%87%8E%E3%80%80%E6%86%B2%E4%BC%B8" TargetMode="External" /><Relationship Id="rId247" Type="http://schemas.openxmlformats.org/officeDocument/2006/relationships/hyperlink" Target="https://baseball-data.com/player/bs/%E5%B7%9D%E7%80%AC%E3%80%80%E5%A0%85%E6%96%97" TargetMode="External" /><Relationship Id="rId107" Type="http://schemas.openxmlformats.org/officeDocument/2006/relationships/hyperlink" Target="https://baseball-data.com/player/yb/%E4%BC%8A%E5%8B%A2%E3%80%80%E5%A4%A7%E5%A4%A2" TargetMode="External" /><Relationship Id="rId268" Type="http://schemas.openxmlformats.org/officeDocument/2006/relationships/hyperlink" Target="https://baseball-data.com/player/t/%E7%9F%B3%E4%BA%95%E3%80%80%E5%A4%A7%E6%99%BA" TargetMode="External" /><Relationship Id="rId289" Type="http://schemas.openxmlformats.org/officeDocument/2006/relationships/hyperlink" Target="https://baseball-data.com/player/yb/%E4%B8%AD%E5%B7%9D%E3%80%80%E9%A2%AF" TargetMode="External" /><Relationship Id="rId11" Type="http://schemas.openxmlformats.org/officeDocument/2006/relationships/hyperlink" Target="https://baseball-data.com/player/t/%E6%89%8D%E6%9C%A8%E3%80%80%E6%B5%A9%E4%BA%BA" TargetMode="External" /><Relationship Id="rId32" Type="http://schemas.openxmlformats.org/officeDocument/2006/relationships/hyperlink" Target="https://baseball-data.com/player/yb/%E7%9F%B3%E7%94%B0%E3%80%80%E8%A3%95%E5%A4%AA%E9%83%8E" TargetMode="External" /><Relationship Id="rId53" Type="http://schemas.openxmlformats.org/officeDocument/2006/relationships/hyperlink" Target="https://baseball-data.com/player/e/%E5%89%8D%E7%94%B0%E3%80%80%E5%81%A5%E5%A4%AA" TargetMode="External" /><Relationship Id="rId74" Type="http://schemas.openxmlformats.org/officeDocument/2006/relationships/hyperlink" Target="https://baseball-data.com/player/c/%E6%A3%AE%E6%B5%A6%E3%80%80%E5%A4%A7%E8%BC%94" TargetMode="External" /><Relationship Id="rId128" Type="http://schemas.openxmlformats.org/officeDocument/2006/relationships/hyperlink" Target="https://baseball-data.com/player/d/%E6%9D%BE%E5%B1%B1%E3%80%80%E6%99%8B%E4%B9%9F" TargetMode="External" /><Relationship Id="rId149" Type="http://schemas.openxmlformats.org/officeDocument/2006/relationships/hyperlink" Target="https://baseball-data.com/player/d/%E4%B8%AD%E8%A5%BF%E3%80%80%E8%81%96%E8%BC%9D" TargetMode="External" /><Relationship Id="rId314" Type="http://schemas.openxmlformats.org/officeDocument/2006/relationships/hyperlink" Target="https://baseball-data.com/player/t/%E6%A4%8E%E8%91%89%E3%80%80%E5%89%9B" TargetMode="External" /><Relationship Id="rId335" Type="http://schemas.openxmlformats.org/officeDocument/2006/relationships/hyperlink" Target="https://baseball-data.com/player/l/%E6%9D%89%E5%B1%B1%E3%80%80%E9%81%99%E5%B8%8C" TargetMode="External" /><Relationship Id="rId356" Type="http://schemas.openxmlformats.org/officeDocument/2006/relationships/hyperlink" Target="https://baseball-data.com/player/l/%E6%88%90%E7%94%B0%E3%80%80%E6%99%B4%E9%A2%A8" TargetMode="External" /><Relationship Id="rId377" Type="http://schemas.openxmlformats.org/officeDocument/2006/relationships/hyperlink" Target="https://baseball-data.com/player/s/%E7%9F%B3%E5%B7%9D%E3%80%80%E9%9B%85%E8%A6%8F" TargetMode="External" /><Relationship Id="rId5" Type="http://schemas.openxmlformats.org/officeDocument/2006/relationships/hyperlink" Target="https://baseball-data.com/player/s/%E5%B1%B1%E9%87%8E%E3%80%80%E5%A4%AA%E4%B8%80" TargetMode="External" /><Relationship Id="rId95" Type="http://schemas.openxmlformats.org/officeDocument/2006/relationships/hyperlink" Target="https://baseball-data.com/player/m/%E9%88%B4%E6%9C%A8%E3%80%80%E6%98%AD%E6%B1%B0" TargetMode="External" /><Relationship Id="rId160" Type="http://schemas.openxmlformats.org/officeDocument/2006/relationships/hyperlink" Target="https://baseball-data.com/player/c/%E3%83%8F%E3%83%BC%E3%83%B3" TargetMode="External" /><Relationship Id="rId181" Type="http://schemas.openxmlformats.org/officeDocument/2006/relationships/hyperlink" Target="https://baseball-data.com/player/yb/%E5%85%A5%E6%B1%9F%E3%80%80%E5%A4%A7%E7%94%9F" TargetMode="External" /><Relationship Id="rId216" Type="http://schemas.openxmlformats.org/officeDocument/2006/relationships/hyperlink" Target="https://baseball-data.com/player/e/%E7%94%B0%E4%B8%AD%E3%80%80%E5%8D%83%E6%99%B4" TargetMode="External" /><Relationship Id="rId237" Type="http://schemas.openxmlformats.org/officeDocument/2006/relationships/hyperlink" Target="https://baseball-data.com/player/g/%E5%8F%88%E6%9C%A8%E3%80%80%E9%89%84%E5%B9%B3" TargetMode="External" /><Relationship Id="rId258" Type="http://schemas.openxmlformats.org/officeDocument/2006/relationships/hyperlink" Target="https://baseball-data.com/player/e/%E3%82%B3%E3%83%B3%E3%83%88%E3%83%AC%E3%83%A9%E3%82%B9" TargetMode="External" /><Relationship Id="rId279" Type="http://schemas.openxmlformats.org/officeDocument/2006/relationships/hyperlink" Target="https://baseball-data.com/player/l/%E6%9D%BE%E6%9C%AC%E3%80%80%E8%88%AA" TargetMode="External" /><Relationship Id="rId22" Type="http://schemas.openxmlformats.org/officeDocument/2006/relationships/hyperlink" Target="https://baseball-data.com/player/d/%E5%A4%A7%E9%87%8E%E3%80%80%E9%9B%84%E5%A4%A7" TargetMode="External" /><Relationship Id="rId43" Type="http://schemas.openxmlformats.org/officeDocument/2006/relationships/hyperlink" Target="https://baseball-data.com/player/f/%E6%9C%89%E5%8E%9F%E3%80%80%E8%88%AA%E5%B9%B3" TargetMode="External" /><Relationship Id="rId64" Type="http://schemas.openxmlformats.org/officeDocument/2006/relationships/hyperlink" Target="https://baseball-data.com/player/c/%E9%88%B4%E6%9C%A8%E3%80%80%E5%81%A5%E7%9F%A2" TargetMode="External" /><Relationship Id="rId118" Type="http://schemas.openxmlformats.org/officeDocument/2006/relationships/hyperlink" Target="https://baseball-data.com/player/m/%E5%B0%8F%E9%87%8E%E3%80%80%E9%83%81" TargetMode="External" /><Relationship Id="rId139" Type="http://schemas.openxmlformats.org/officeDocument/2006/relationships/hyperlink" Target="https://baseball-data.com/player/d/%E8%97%A4%E5%B6%8B%E3%80%80%E5%81%A5%E4%BA%BA" TargetMode="External" /><Relationship Id="rId290" Type="http://schemas.openxmlformats.org/officeDocument/2006/relationships/hyperlink" Target="https://baseball-data.com/player/bs/%E5%8F%A4%E7%94%B0%E5%B3%B6%E3%80%80%E6%88%90%E9%BE%8D" TargetMode="External" /><Relationship Id="rId304" Type="http://schemas.openxmlformats.org/officeDocument/2006/relationships/hyperlink" Target="https://baseball-data.com/player/yb/%E5%A0%80%E5%B2%A1%E3%80%80%E9%9A%BC%E4%BA%BA" TargetMode="External" /><Relationship Id="rId325" Type="http://schemas.openxmlformats.org/officeDocument/2006/relationships/hyperlink" Target="https://baseball-data.com/player/e/%E6%97%A5%E7%95%B6%E3%80%80%E7%9B%B4%E5%96%9C" TargetMode="External" /><Relationship Id="rId346" Type="http://schemas.openxmlformats.org/officeDocument/2006/relationships/hyperlink" Target="https://baseball-data.com/player/g/%E5%B1%B1%E7%94%B0%E3%80%80%E9%BE%8D%E8%81%96" TargetMode="External" /><Relationship Id="rId367" Type="http://schemas.openxmlformats.org/officeDocument/2006/relationships/hyperlink" Target="https://baseball-data.com/player/f/%E6%9D%BE%E5%B2%A1%E3%80%80%E6%B4%B8%E5%B8%8C" TargetMode="External" /><Relationship Id="rId85" Type="http://schemas.openxmlformats.org/officeDocument/2006/relationships/hyperlink" Target="https://baseball-data.com/player/c/%E3%82%BF%E3%83%BC%E3%83%8E%E3%83%83%E3%82%AF" TargetMode="External" /><Relationship Id="rId150" Type="http://schemas.openxmlformats.org/officeDocument/2006/relationships/hyperlink" Target="https://baseball-data.com/player/s/%E3%82%AD%E3%83%8F%E3%83%80" TargetMode="External" /><Relationship Id="rId171" Type="http://schemas.openxmlformats.org/officeDocument/2006/relationships/hyperlink" Target="https://baseball-data.com/player/c/%E8%BE%BB%E3%80%80%E5%A4%A7%E9%9B%85" TargetMode="External" /><Relationship Id="rId192" Type="http://schemas.openxmlformats.org/officeDocument/2006/relationships/hyperlink" Target="https://baseball-data.com/player/s/%E8%8D%98%E5%8F%B8%E3%80%80%E5%AE%8F%E5%A4%AA" TargetMode="External" /><Relationship Id="rId206" Type="http://schemas.openxmlformats.org/officeDocument/2006/relationships/hyperlink" Target="https://baseball-data.com/player/c/%E5%A4%A7%E7%80%AC%E8%89%AF%E3%80%80%E5%A4%A7%E5%9C%B0" TargetMode="External" /><Relationship Id="rId227" Type="http://schemas.openxmlformats.org/officeDocument/2006/relationships/hyperlink" Target="https://baseball-data.com/player/c/%E8%B5%A4%E6%9C%A8%E3%80%80%E6%99%B4%E5%93%89" TargetMode="External" /><Relationship Id="rId248" Type="http://schemas.openxmlformats.org/officeDocument/2006/relationships/hyperlink" Target="https://baseball-data.com/player/m/%E5%90%89%E5%B7%9D%E3%80%80%E6%82%A0%E6%96%97" TargetMode="External" /><Relationship Id="rId269" Type="http://schemas.openxmlformats.org/officeDocument/2006/relationships/hyperlink" Target="https://baseball-data.com/player/l/%E7%B3%B8%E5%B7%9D%E3%80%80%E4%BA%AE%E5%A4%AA" TargetMode="External" /><Relationship Id="rId12" Type="http://schemas.openxmlformats.org/officeDocument/2006/relationships/hyperlink" Target="https://baseball-data.com/player/e/%E6%97%A9%E5%B7%9D%E3%80%80%E9%9A%86%E4%B9%85" TargetMode="External" /><Relationship Id="rId33" Type="http://schemas.openxmlformats.org/officeDocument/2006/relationships/hyperlink" Target="https://baseball-data.com/player/d/%E3%83%9E%E3%83%A9%E3%83%BC" TargetMode="External" /><Relationship Id="rId108" Type="http://schemas.openxmlformats.org/officeDocument/2006/relationships/hyperlink" Target="https://baseball-data.com/player/yb/%E4%B8%AD%E5%B7%9D%E3%80%80%E8%99%8E%E5%A4%A7" TargetMode="External" /><Relationship Id="rId129" Type="http://schemas.openxmlformats.org/officeDocument/2006/relationships/hyperlink" Target="https://baseball-data.com/player/e/%E4%B9%9D%E8%B0%B7%E3%80%80%E7%91%A0" TargetMode="External" /><Relationship Id="rId280" Type="http://schemas.openxmlformats.org/officeDocument/2006/relationships/hyperlink" Target="https://baseball-data.com/player/t/%E6%B4%A5%E7%94%B0%E3%80%80%E6%B7%B3%E5%93%89" TargetMode="External" /><Relationship Id="rId315" Type="http://schemas.openxmlformats.org/officeDocument/2006/relationships/hyperlink" Target="https://baseball-data.com/player/s/%E8%A5%BF%E8%88%98%E3%80%80%E6%98%82%E6%B1%B0" TargetMode="External" /><Relationship Id="rId336" Type="http://schemas.openxmlformats.org/officeDocument/2006/relationships/hyperlink" Target="https://baseball-data.com/player/yb/%E5%BA%84%E5%8F%B8%E3%80%80%E9%99%BD%E6%96%97" TargetMode="External" /><Relationship Id="rId357" Type="http://schemas.openxmlformats.org/officeDocument/2006/relationships/hyperlink" Target="https://baseball-data.com/player/m/%E5%86%A8%E5%A3%AB%E3%80%80%E9%9A%BC%E6%96%97" TargetMode="External" /><Relationship Id="rId54" Type="http://schemas.openxmlformats.org/officeDocument/2006/relationships/hyperlink" Target="https://baseball-data.com/player/m/%E5%BB%A3%E6%B1%A0%E3%80%80%E5%BA%B7%E5%BF%97%E9%83%8E" TargetMode="External" /><Relationship Id="rId75" Type="http://schemas.openxmlformats.org/officeDocument/2006/relationships/hyperlink" Target="https://baseball-data.com/player/f/%E5%B1%B1%EF%A8%91%E3%80%80%E7%A6%8F%E4%B9%9F" TargetMode="External" /><Relationship Id="rId96" Type="http://schemas.openxmlformats.org/officeDocument/2006/relationships/hyperlink" Target="https://baseball-data.com/player/g/%E3%83%9E%E3%83%AB%E3%83%86%E3%82%A3%E3%83%8D%E3%82%B9" TargetMode="External" /><Relationship Id="rId140" Type="http://schemas.openxmlformats.org/officeDocument/2006/relationships/hyperlink" Target="https://baseball-data.com/player/t/%E8%A5%BF%E3%80%80%E5%8B%87%E8%BC%9D" TargetMode="External" /><Relationship Id="rId161" Type="http://schemas.openxmlformats.org/officeDocument/2006/relationships/hyperlink" Target="https://baseball-data.com/player/e/%E8%A5%BF%E5%9E%A3%E3%80%80%E9%9B%85%E7%9F%A2" TargetMode="External" /><Relationship Id="rId182" Type="http://schemas.openxmlformats.org/officeDocument/2006/relationships/hyperlink" Target="https://baseball-data.com/player/e/%E4%BC%8A%E8%97%A4%E3%80%80%E6%A8%B9" TargetMode="External" /><Relationship Id="rId217" Type="http://schemas.openxmlformats.org/officeDocument/2006/relationships/hyperlink" Target="https://baseball-data.com/player/t/%E7%9F%B3%E9%BB%92%E3%80%80%E4%BD%91%E5%BC%A5" TargetMode="External" /><Relationship Id="rId378" Type="http://schemas.openxmlformats.org/officeDocument/2006/relationships/hyperlink" Target="https://baseball-data.com/player/s/%E3%82%AA%E3%82%B9%E3%83%8A" TargetMode="External" /><Relationship Id="rId6" Type="http://schemas.openxmlformats.org/officeDocument/2006/relationships/hyperlink" Target="https://baseball-data.com/player/yb/%E6%9D%B1%E3%80%80%E5%85%8B%E6%A8%B9" TargetMode="External" /><Relationship Id="rId238" Type="http://schemas.openxmlformats.org/officeDocument/2006/relationships/hyperlink" Target="https://baseball-data.com/player/e/%E5%AE%8B%E3%80%80%E5%AE%B6%E8%B1%AA" TargetMode="External" /><Relationship Id="rId259" Type="http://schemas.openxmlformats.org/officeDocument/2006/relationships/hyperlink" Target="https://baseball-data.com/player/bs/%E6%9D%B1%E5%B1%B1%E3%80%80%E7%8E%B2%E5%A3%AB" TargetMode="External" /><Relationship Id="rId23" Type="http://schemas.openxmlformats.org/officeDocument/2006/relationships/hyperlink" Target="https://baseball-data.com/player/l/%E9%AB%99%E6%A9%8B%E3%80%80%E5%85%89%E6%88%90" TargetMode="External" /><Relationship Id="rId119" Type="http://schemas.openxmlformats.org/officeDocument/2006/relationships/hyperlink" Target="https://baseball-data.com/player/yb/%E7%89%87%E5%B1%B1%E3%80%80%E7%9A%93%E5%BF%83" TargetMode="External" /><Relationship Id="rId270" Type="http://schemas.openxmlformats.org/officeDocument/2006/relationships/hyperlink" Target="https://baseball-data.com/player/bs/%E5%B1%B1%E5%8F%A3%E3%80%80%E5%BB%89%E7%8E%8B" TargetMode="External" /><Relationship Id="rId291" Type="http://schemas.openxmlformats.org/officeDocument/2006/relationships/hyperlink" Target="https://baseball-data.com/player/e/%E8%A5%BF%E5%8F%A3%E3%80%80%E7%9B%B4%E4%BA%BA" TargetMode="External" /><Relationship Id="rId305" Type="http://schemas.openxmlformats.org/officeDocument/2006/relationships/hyperlink" Target="https://baseball-data.com/player/m/%E5%BB%A3%E7%95%91%E3%80%80%E6%95%A6%E4%B9%9F" TargetMode="External" /><Relationship Id="rId326" Type="http://schemas.openxmlformats.org/officeDocument/2006/relationships/hyperlink" Target="https://baseball-data.com/player/e/%E6%B1%9F%E5%8E%9F%E3%80%80%E9%9B%85%E8%A3%95" TargetMode="External" /><Relationship Id="rId347" Type="http://schemas.openxmlformats.org/officeDocument/2006/relationships/hyperlink" Target="https://baseball-data.com/player/d/%E7%AF%A0%EF%A8%91%E3%80%80%E5%9B%BD%E5%BF%A0" TargetMode="External" /><Relationship Id="rId44" Type="http://schemas.openxmlformats.org/officeDocument/2006/relationships/hyperlink" Target="https://baseball-data.com/player/c/%E5%B2%A1%E6%9C%AC%E3%80%80%E9%A7%BF" TargetMode="External" /><Relationship Id="rId65" Type="http://schemas.openxmlformats.org/officeDocument/2006/relationships/hyperlink" Target="https://baseball-data.com/player/g/%E7%94%B0%E4%B8%AD%E3%80%80%E5%B0%86%E5%A4%A7" TargetMode="External" /><Relationship Id="rId86" Type="http://schemas.openxmlformats.org/officeDocument/2006/relationships/hyperlink" Target="https://baseball-data.com/player/yb/%E6%B7%B1%E6%B2%A2%E3%80%80%E9%B3%B3%E4%BB%8B" TargetMode="External" /><Relationship Id="rId130" Type="http://schemas.openxmlformats.org/officeDocument/2006/relationships/hyperlink" Target="https://baseball-data.com/player/l/%E8%B1%86%E7%94%B0%E3%80%80%E6%B3%B0%E5%BF%97" TargetMode="External" /><Relationship Id="rId151" Type="http://schemas.openxmlformats.org/officeDocument/2006/relationships/hyperlink" Target="https://baseball-data.com/player/g/%E3%83%8F%E3%83%AF%E3%83%BC%E3%83%89" TargetMode="External" /><Relationship Id="rId368" Type="http://schemas.openxmlformats.org/officeDocument/2006/relationships/hyperlink" Target="https://baseball-data.com/player/t/%E5%B2%A9%E8%B2%9E%E3%80%80%E7%A5%90%E5%A4%AA" TargetMode="External" /><Relationship Id="rId172" Type="http://schemas.openxmlformats.org/officeDocument/2006/relationships/hyperlink" Target="https://baseball-data.com/player/yb/%E6%B5%9C%E5%9C%B0%E3%80%80%E7%9C%9F%E6%BE%84" TargetMode="External" /><Relationship Id="rId193" Type="http://schemas.openxmlformats.org/officeDocument/2006/relationships/hyperlink" Target="https://baseball-data.com/player/e/%E6%B4%A5%E7%95%99%EF%A8%91%E3%80%80%E5%A4%A7%E6%88%90" TargetMode="External" /><Relationship Id="rId207" Type="http://schemas.openxmlformats.org/officeDocument/2006/relationships/hyperlink" Target="https://baseball-data.com/player/t/%E6%A1%90%E6%95%B7%E3%80%80%E6%8B%93%E9%A6%AC" TargetMode="External" /><Relationship Id="rId228" Type="http://schemas.openxmlformats.org/officeDocument/2006/relationships/hyperlink" Target="https://baseball-data.com/player/d/%E3%83%A1%E3%83%92%E3%82%A2" TargetMode="External" /><Relationship Id="rId249" Type="http://schemas.openxmlformats.org/officeDocument/2006/relationships/hyperlink" Target="https://baseball-data.com/player/t/%E6%97%A9%E5%B7%9D%E3%80%80%E5%A4%AA%E8%B2%B4" TargetMode="External" /><Relationship Id="rId13" Type="http://schemas.openxmlformats.org/officeDocument/2006/relationships/hyperlink" Target="https://baseball-data.com/player/m/%E3%82%B8%E3%83%A3%E3%82%AF%E3%82%BD%E3%83%B3" TargetMode="External" /><Relationship Id="rId109" Type="http://schemas.openxmlformats.org/officeDocument/2006/relationships/hyperlink" Target="https://baseball-data.com/player/h/%E3%83%A2%E3%82%A4%E3%83%8D%E3%83%AD" TargetMode="External" /><Relationship Id="rId260" Type="http://schemas.openxmlformats.org/officeDocument/2006/relationships/hyperlink" Target="https://baseball-data.com/player/f/%E7%A6%8F%E8%B0%B7%E3%80%80%E6%B5%A9%E5%8F%B8" TargetMode="External" /><Relationship Id="rId281" Type="http://schemas.openxmlformats.org/officeDocument/2006/relationships/hyperlink" Target="https://baseball-data.com/player/g/%E9%AB%98%E6%A2%A8%E3%80%80%E9%9B%84%E5%B9%B3" TargetMode="External" /><Relationship Id="rId316" Type="http://schemas.openxmlformats.org/officeDocument/2006/relationships/hyperlink" Target="https://baseball-data.com/player/yb/%E3%83%93%E3%83%89" TargetMode="External" /><Relationship Id="rId337" Type="http://schemas.openxmlformats.org/officeDocument/2006/relationships/hyperlink" Target="https://baseball-data.com/player/f/%E6%B2%B3%E9%87%8E%E3%80%80%E7%AB%9C%E7%94%9F" TargetMode="External" /><Relationship Id="rId34" Type="http://schemas.openxmlformats.org/officeDocument/2006/relationships/hyperlink" Target="https://baseball-data.com/player/e/%E5%8F%A4%E8%AC%9D%E3%80%80%E6%A8%B9" TargetMode="External" /><Relationship Id="rId55" Type="http://schemas.openxmlformats.org/officeDocument/2006/relationships/hyperlink" Target="https://baseball-data.com/player/c/%E7%8E%89%E6%9D%91%E3%80%80%E6%98%87%E6%82%9F" TargetMode="External" /><Relationship Id="rId76" Type="http://schemas.openxmlformats.org/officeDocument/2006/relationships/hyperlink" Target="https://baseball-data.com/player/e/%E3%82%A6%E3%83%AC%E3%83%BC%E3%83%8B%E3%83%A3" TargetMode="External" /><Relationship Id="rId97" Type="http://schemas.openxmlformats.org/officeDocument/2006/relationships/hyperlink" Target="https://baseball-data.com/player/bs/%E3%83%9E%E3%83%81%E3%83%A3%E3%83%89" TargetMode="External" /><Relationship Id="rId120" Type="http://schemas.openxmlformats.org/officeDocument/2006/relationships/hyperlink" Target="https://baseball-data.com/player/s/%E4%B8%B8%E5%B1%B1%E3%80%80%E7%BF%94%E5%A4%A7" TargetMode="External" /><Relationship Id="rId141" Type="http://schemas.openxmlformats.org/officeDocument/2006/relationships/hyperlink" Target="https://baseball-data.com/player/d/%E6%A9%8B%E6%9C%AC%E3%80%80%E4%BE%91%E6%A8%B9" TargetMode="External" /><Relationship Id="rId358" Type="http://schemas.openxmlformats.org/officeDocument/2006/relationships/hyperlink" Target="https://baseball-data.com/player/m/%E5%A4%A7%E8%81%96" TargetMode="External" /><Relationship Id="rId379" Type="http://schemas.openxmlformats.org/officeDocument/2006/relationships/hyperlink" Target="https://baseball-data.com/player/h/%E7%A8%B2%E5%B7%9D%E3%80%80%E7%AB%9C%E6%B1%B0" TargetMode="External" /><Relationship Id="rId7" Type="http://schemas.openxmlformats.org/officeDocument/2006/relationships/hyperlink" Target="https://baseball-data.com/player/d/%E9%87%91%E4%B8%B8%E3%80%80%E5%A4%A2%E6%96%97" TargetMode="External" /><Relationship Id="rId162" Type="http://schemas.openxmlformats.org/officeDocument/2006/relationships/hyperlink" Target="https://baseball-data.com/player/bs/%E5%85%A5%E5%B1%B1%E3%80%80%E6%B5%B7%E6%96%97" TargetMode="External" /><Relationship Id="rId183" Type="http://schemas.openxmlformats.org/officeDocument/2006/relationships/hyperlink" Target="https://baseball-data.com/player/g/%E5%A4%A7%E5%8B%A2" TargetMode="External" /><Relationship Id="rId218" Type="http://schemas.openxmlformats.org/officeDocument/2006/relationships/hyperlink" Target="https://baseball-data.com/player/l/%E4%B8%8A%E7%94%B0%E3%80%80%E5%A4%A7%E6%B2%B3" TargetMode="External" /><Relationship Id="rId239" Type="http://schemas.openxmlformats.org/officeDocument/2006/relationships/hyperlink" Target="https://baseball-data.com/player/f/%E9%BD%8B%E8%97%A4%E3%80%80%E5%8F%8B%E8%B2%B4%E5%93%89" TargetMode="External" /><Relationship Id="rId250" Type="http://schemas.openxmlformats.org/officeDocument/2006/relationships/hyperlink" Target="https://baseball-data.com/player/e/%E4%B8%AD%E8%BE%BC%E3%80%80%E9%99%BD%E7%BF%94" TargetMode="External" /><Relationship Id="rId271" Type="http://schemas.openxmlformats.org/officeDocument/2006/relationships/hyperlink" Target="https://baseball-data.com/player/bs/%E6%89%8D%E6%9C%A8%E3%80%80%E6%B5%B7%E7%BF%94" TargetMode="External" /><Relationship Id="rId292" Type="http://schemas.openxmlformats.org/officeDocument/2006/relationships/hyperlink" Target="https://baseball-data.com/player/d/%E6%A0%B9%E5%B0%BE%E3%80%80%E6%98%82" TargetMode="External" /><Relationship Id="rId306" Type="http://schemas.openxmlformats.org/officeDocument/2006/relationships/hyperlink" Target="https://baseball-data.com/player/h/%E5%A4%A7%E9%87%8E%E3%80%80%E7%A8%BC%E9%A0%AD%E5%A4%AE" TargetMode="External" /><Relationship Id="rId24" Type="http://schemas.openxmlformats.org/officeDocument/2006/relationships/hyperlink" Target="https://baseball-data.com/player/c/%E6%A3%AE%E4%B8%8B%E3%80%80%E6%9A%A2%E4%BB%81" TargetMode="External" /><Relationship Id="rId45" Type="http://schemas.openxmlformats.org/officeDocument/2006/relationships/hyperlink" Target="https://baseball-data.com/player/t/%E5%A4%A7%E7%AB%B9%E3%80%80%E8%80%95%E5%A4%AA%E9%83%8E" TargetMode="External" /><Relationship Id="rId66" Type="http://schemas.openxmlformats.org/officeDocument/2006/relationships/hyperlink" Target="https://baseball-data.com/player/g/%E5%B0%8F%E7%AC%A0%E5%8E%9F%E3%80%80%E6%85%8E%E4%B9%8B%E4%BB%8B" TargetMode="External" /><Relationship Id="rId87" Type="http://schemas.openxmlformats.org/officeDocument/2006/relationships/hyperlink" Target="https://baseball-data.com/player/m/%E6%A8%AA%E5%B1%B1%E3%80%80%E9%99%B8%E4%BA%BA" TargetMode="External" /><Relationship Id="rId110" Type="http://schemas.openxmlformats.org/officeDocument/2006/relationships/hyperlink" Target="https://baseball-data.com/player/bs/%E6%A4%8B%E6%9C%A8%E3%80%80%E8%93%AE" TargetMode="External" /><Relationship Id="rId131" Type="http://schemas.openxmlformats.org/officeDocument/2006/relationships/hyperlink" Target="https://baseball-data.com/player/m/%E8%A5%BF%E9%87%8E%E3%80%80%E5%8B%87%E5%A3%AB" TargetMode="External" /><Relationship Id="rId327" Type="http://schemas.openxmlformats.org/officeDocument/2006/relationships/hyperlink" Target="https://baseball-data.com/player/m/%E3%82%AB%E3%82%B9%E3%83%86%E3%82%A3%E3%83%BC%E3%83%A8" TargetMode="External" /><Relationship Id="rId348" Type="http://schemas.openxmlformats.org/officeDocument/2006/relationships/hyperlink" Target="https://baseball-data.com/player/m/%E6%A3%AE%E3%80%80%E9%81%BC%E5%A4%A7%E6%9C%97" TargetMode="External" /><Relationship Id="rId369" Type="http://schemas.openxmlformats.org/officeDocument/2006/relationships/hyperlink" Target="https://baseball-data.com/player/bs/%E6%9C%AC%E7%94%B0%E3%80%80%E4%BB%81%E6%B5%B7" TargetMode="External" /><Relationship Id="rId152" Type="http://schemas.openxmlformats.org/officeDocument/2006/relationships/hyperlink" Target="https://baseball-data.com/player/t/%E4%B8%8B%E6%9D%91%E3%80%80%E6%B5%B7%E7%BF%94" TargetMode="External" /><Relationship Id="rId173" Type="http://schemas.openxmlformats.org/officeDocument/2006/relationships/hyperlink" Target="https://baseball-data.com/player/l/%E4%BD%90%E8%97%A4%E3%80%80%E9%9A%BC%E8%BC%94" TargetMode="External" /><Relationship Id="rId194" Type="http://schemas.openxmlformats.org/officeDocument/2006/relationships/hyperlink" Target="https://baseball-data.com/player/e/%E9%88%B4%E6%9C%A8%E3%80%80%E7%BF%94%E5%A4%A9" TargetMode="External" /><Relationship Id="rId208" Type="http://schemas.openxmlformats.org/officeDocument/2006/relationships/hyperlink" Target="https://baseball-data.com/player/l/%E6%B5%9C%E5%B1%8B%E3%80%80%E5%B0%86%E5%A4%AA" TargetMode="External" /><Relationship Id="rId229" Type="http://schemas.openxmlformats.org/officeDocument/2006/relationships/hyperlink" Target="https://baseball-data.com/player/d/%E4%BC%8A%E8%97%A4%E3%80%80%E8%8C%89%E5%A4%AE" TargetMode="External" /><Relationship Id="rId380" Type="http://schemas.openxmlformats.org/officeDocument/2006/relationships/hyperlink" Target="https://baseball-data.com/player/f/%E7%9F%A2%E6%BE%A4%E3%80%80%E5%AE%8F%E5%A4%AA" TargetMode="External" /><Relationship Id="rId240" Type="http://schemas.openxmlformats.org/officeDocument/2006/relationships/hyperlink" Target="https://baseball-data.com/player/g/%E6%B3%89%E3%80%80%E5%9C%AD%E8%BC%94" TargetMode="External" /><Relationship Id="rId261" Type="http://schemas.openxmlformats.org/officeDocument/2006/relationships/hyperlink" Target="https://baseball-data.com/player/t/%E8%8C%A8%E6%9C%A8%E3%80%80%E7%A7%80%E4%BF%8A" TargetMode="External" /><Relationship Id="rId14" Type="http://schemas.openxmlformats.org/officeDocument/2006/relationships/hyperlink" Target="https://baseball-data.com/player/d/%E6%9F%B3%E3%80%80%E8%A3%95%E4%B9%9F" TargetMode="External" /><Relationship Id="rId35" Type="http://schemas.openxmlformats.org/officeDocument/2006/relationships/hyperlink" Target="https://baseball-data.com/player/m/%E5%B0%8F%E5%B3%B6%E3%80%80%E5%92%8C%E5%93%89" TargetMode="External" /><Relationship Id="rId56" Type="http://schemas.openxmlformats.org/officeDocument/2006/relationships/hyperlink" Target="https://baseball-data.com/player/g/%E3%82%A6%E3%82%A3%E3%83%83%E3%83%88%E3%83%AA%E3%83%BC" TargetMode="External" /><Relationship Id="rId77" Type="http://schemas.openxmlformats.org/officeDocument/2006/relationships/hyperlink" Target="https://baseball-data.com/player/t/%E5%B7%A5%E8%97%A4%E3%80%80%E6%B3%B0%E6%88%90" TargetMode="External" /><Relationship Id="rId100" Type="http://schemas.openxmlformats.org/officeDocument/2006/relationships/hyperlink" Target="https://baseball-data.com/player/t/%E6%9C%A8%E4%B8%8B%E3%80%80%E9%87%8C%E9%83%BD" TargetMode="External" /><Relationship Id="rId282" Type="http://schemas.openxmlformats.org/officeDocument/2006/relationships/hyperlink" Target="https://baseball-data.com/player/h/%E4%B8%AD%E6%9D%91%E3%80%80%E7%A8%94%E5%BC%A5" TargetMode="External" /><Relationship Id="rId317" Type="http://schemas.openxmlformats.org/officeDocument/2006/relationships/hyperlink" Target="https://baseball-data.com/player/s/%E6%8B%93%E4%B9%9F" TargetMode="External" /><Relationship Id="rId338" Type="http://schemas.openxmlformats.org/officeDocument/2006/relationships/hyperlink" Target="https://baseball-data.com/player/l/%E5%86%A8%E5%A3%AB%E3%80%80%E5%A4%A7%E5%92%8C" TargetMode="External" /><Relationship Id="rId359" Type="http://schemas.openxmlformats.org/officeDocument/2006/relationships/hyperlink" Target="https://baseball-data.com/player/m/%E6%9D%B1%E5%A6%BB%E3%80%80%E5%8B%87%E8%BC%94" TargetMode="External" /><Relationship Id="rId8" Type="http://schemas.openxmlformats.org/officeDocument/2006/relationships/hyperlink" Target="https://baseball-data.com/player/e/%E8%8D%98%E5%8F%B8%E3%80%80%E5%BA%B7%E8%AA%A0" TargetMode="External" /><Relationship Id="rId98" Type="http://schemas.openxmlformats.org/officeDocument/2006/relationships/hyperlink" Target="https://baseball-data.com/player/c/%E9%AB%99%E3%80%80%E5%A4%AA%E4%B8%80" TargetMode="External" /><Relationship Id="rId121" Type="http://schemas.openxmlformats.org/officeDocument/2006/relationships/hyperlink" Target="https://baseball-data.com/player/s/%E6%B8%85%E6%B0%B4%E3%80%80%E6%98%87" TargetMode="External" /><Relationship Id="rId142" Type="http://schemas.openxmlformats.org/officeDocument/2006/relationships/hyperlink" Target="https://baseball-data.com/player/m/%E7%9B%8A%E7%94%B0%E3%80%80%E7%9B%B4%E4%B9%9F" TargetMode="External" /><Relationship Id="rId163" Type="http://schemas.openxmlformats.org/officeDocument/2006/relationships/hyperlink" Target="https://baseball-data.com/player/m/%E5%9D%82%E6%9C%AC%E3%80%80%E5%85%89%E5%A3%AB%E9%83%8E" TargetMode="External" /><Relationship Id="rId184" Type="http://schemas.openxmlformats.org/officeDocument/2006/relationships/hyperlink" Target="https://baseball-data.com/player/yb/%E5%90%89%E9%87%8E%E3%80%80%E5%85%89%E6%A8%B9" TargetMode="External" /><Relationship Id="rId219" Type="http://schemas.openxmlformats.org/officeDocument/2006/relationships/hyperlink" Target="https://baseball-data.com/player/t/%E9%96%80%E5%88%A5%E3%80%80%E5%95%93%E4%BA%BA" TargetMode="External" /><Relationship Id="rId370" Type="http://schemas.openxmlformats.org/officeDocument/2006/relationships/hyperlink" Target="https://baseball-data.com/player/bs/%E9%99%B3%E3%80%80%E7%9D%A6%E8%A1%A1" TargetMode="External" /><Relationship Id="rId230" Type="http://schemas.openxmlformats.org/officeDocument/2006/relationships/hyperlink" Target="https://baseball-data.com/player/e/%E3%83%9E%E3%83%AB%E3%83%86" TargetMode="External" /><Relationship Id="rId251" Type="http://schemas.openxmlformats.org/officeDocument/2006/relationships/hyperlink" Target="https://baseball-data.com/player/yb/%E7%9F%B3%E7%94%B0%E3%80%80%E5%81%A5%E5%A4%A7" TargetMode="External" /><Relationship Id="rId25" Type="http://schemas.openxmlformats.org/officeDocument/2006/relationships/hyperlink" Target="https://baseball-data.com/player/h/%E4%B8%8A%E6%B2%A2%E3%80%80%E7%9B%B4%E4%B9%8B" TargetMode="External" /><Relationship Id="rId46" Type="http://schemas.openxmlformats.org/officeDocument/2006/relationships/hyperlink" Target="https://baseball-data.com/player/bs/%E9%AB%99%E5%B3%B6%E3%80%80%E6%B3%B0%E9%83%BD" TargetMode="External" /><Relationship Id="rId67" Type="http://schemas.openxmlformats.org/officeDocument/2006/relationships/hyperlink" Target="https://baseball-data.com/player/m/%E9%AB%98%E9%87%8E%E3%80%80%E8%84%A9%E6%B1%B0" TargetMode="External" /><Relationship Id="rId272" Type="http://schemas.openxmlformats.org/officeDocument/2006/relationships/hyperlink" Target="https://baseball-data.com/player/l/%E5%B1%B1%E7%94%B0%E3%80%80%E9%99%BD%E7%BF%94" TargetMode="External" /><Relationship Id="rId293" Type="http://schemas.openxmlformats.org/officeDocument/2006/relationships/hyperlink" Target="https://baseball-data.com/player/bs/%E4%BD%90%E8%97%A4%E3%80%80%E4%B8%80%E7%A3%A8" TargetMode="External" /><Relationship Id="rId307" Type="http://schemas.openxmlformats.org/officeDocument/2006/relationships/hyperlink" Target="https://baseball-data.com/player/t/%E4%BB%8A%E6%9C%9D%E4%B8%B8%E3%80%80%E8%A3%95%E5%96%9C" TargetMode="External" /><Relationship Id="rId328" Type="http://schemas.openxmlformats.org/officeDocument/2006/relationships/hyperlink" Target="https://baseball-data.com/player/d/%E5%8B%9D%E9%87%8E%E3%80%80%E6%98%8C%E6%85%B6" TargetMode="External" /><Relationship Id="rId349" Type="http://schemas.openxmlformats.org/officeDocument/2006/relationships/hyperlink" Target="https://baseball-data.com/player/bs/%E5%B9%B3%E9%87%8E%E3%80%80%E4%BD%B3%E5%AF%BF" TargetMode="External" /><Relationship Id="rId88" Type="http://schemas.openxmlformats.org/officeDocument/2006/relationships/hyperlink" Target="https://baseball-data.com/player/bs/%E5%AF%BA%E8%A5%BF%E3%80%80%E6%88%90%E9%A8%8E" TargetMode="External" /><Relationship Id="rId111" Type="http://schemas.openxmlformats.org/officeDocument/2006/relationships/hyperlink" Target="https://baseball-data.com/player/h/%E9%88%B4%E6%9C%A8%E3%80%80%E8%B1%AA%E5%A4%AA" TargetMode="External" /><Relationship Id="rId132" Type="http://schemas.openxmlformats.org/officeDocument/2006/relationships/hyperlink" Target="https://baseball-data.com/player/yb/%E3%83%AB%E3%82%A4%E3%83%BC%E3%82%BA" TargetMode="External" /><Relationship Id="rId153" Type="http://schemas.openxmlformats.org/officeDocument/2006/relationships/hyperlink" Target="https://baseball-data.com/player/yb/%E7%AB%B9%E7%94%B0%E3%80%80%E7%A5%90" TargetMode="External" /><Relationship Id="rId174" Type="http://schemas.openxmlformats.org/officeDocument/2006/relationships/hyperlink" Target="https://baseball-data.com/player/c/%E5%A1%B9%E6%B1%9F%E3%80%80%E6%95%A6%E5%93%89" TargetMode="External" /><Relationship Id="rId195" Type="http://schemas.openxmlformats.org/officeDocument/2006/relationships/hyperlink" Target="https://baseball-data.com/player/c/%E4%B8%AD%EF%A8%91%E3%80%80%E7%BF%94%E5%A4%AA" TargetMode="External" /><Relationship Id="rId209" Type="http://schemas.openxmlformats.org/officeDocument/2006/relationships/hyperlink" Target="https://baseball-data.com/player/l/%E6%A3%AE%E8%84%87%E3%80%80%E4%BA%AE%E4%BB%8B" TargetMode="External" /><Relationship Id="rId360" Type="http://schemas.openxmlformats.org/officeDocument/2006/relationships/hyperlink" Target="https://baseball-data.com/player/yb/%E6%AD%A6%E7%94%B0%E3%80%80%E9%99%B8%E7%8E%96" TargetMode="External" /><Relationship Id="rId381" Type="http://schemas.openxmlformats.org/officeDocument/2006/relationships/hyperlink" Target="https://baseball-data.com/player/yb/%E6%9F%B4%E7%94%B0%E3%80%80%E7%AB%9C%E6%8B%93" TargetMode="External" /><Relationship Id="rId220" Type="http://schemas.openxmlformats.org/officeDocument/2006/relationships/hyperlink" Target="https://baseball-data.com/player/bs/%E5%B1%B1%E5%B2%A1%E3%80%80%E6%B3%B0%E8%BC%94" TargetMode="External" /><Relationship Id="rId241" Type="http://schemas.openxmlformats.org/officeDocument/2006/relationships/hyperlink" Target="https://baseball-data.com/player/f/%E5%B1%B1%E6%9C%AC%E3%80%80%E6%8B%93%E5%AE%9F" TargetMode="External" /><Relationship Id="rId15" Type="http://schemas.openxmlformats.org/officeDocument/2006/relationships/hyperlink" Target="https://baseball-data.com/player/bs/%E3%82%A8%E3%82%B9%E3%83%94%E3%83%8E%E3%83%BC%E3%82%B6" TargetMode="External" /><Relationship Id="rId36" Type="http://schemas.openxmlformats.org/officeDocument/2006/relationships/hyperlink" Target="https://baseball-data.com/player/f/%E5%8A%A0%E8%97%A4%E3%80%80%E8%B2%B4%E4%B9%8B" TargetMode="External" /><Relationship Id="rId57" Type="http://schemas.openxmlformats.org/officeDocument/2006/relationships/hyperlink" Target="https://baseball-data.com/player/f/%E7%A6%8F%E5%B3%B6%E3%80%80%E8%93%AE" TargetMode="External" /><Relationship Id="rId262" Type="http://schemas.openxmlformats.org/officeDocument/2006/relationships/hyperlink" Target="https://baseball-data.com/player/g/%E5%8C%97%E6%B5%A6%E3%80%80%E7%AB%9C%E6%AC%A1" TargetMode="External" /><Relationship Id="rId283" Type="http://schemas.openxmlformats.org/officeDocument/2006/relationships/hyperlink" Target="https://baseball-data.com/player/yb/%E8%97%A4%E6%B5%AA%E3%80%80%E6%99%8B%E5%A4%AA%E9%83%8E" TargetMode="External" /><Relationship Id="rId318" Type="http://schemas.openxmlformats.org/officeDocument/2006/relationships/hyperlink" Target="https://baseball-data.com/player/yb/%E6%A9%8B%E6%9C%AC%E3%80%80%E9%81%94%E5%BC%A5" TargetMode="External" /><Relationship Id="rId339" Type="http://schemas.openxmlformats.org/officeDocument/2006/relationships/hyperlink" Target="https://baseball-data.com/player/h/%E3%82%A2%E3%83%AB%E3%83%A1%E3%83%B3%E3%82%BF" TargetMode="External" /><Relationship Id="rId78" Type="http://schemas.openxmlformats.org/officeDocument/2006/relationships/hyperlink" Target="https://baseball-data.com/player/c/%E9%81%A0%E8%97%A4%E3%80%80%E6%B7%B3%E5%BF%97" TargetMode="External" /><Relationship Id="rId99" Type="http://schemas.openxmlformats.org/officeDocument/2006/relationships/hyperlink" Target="https://baseball-data.com/player/f/%E6%9F%B3%E5%B7%9D%E3%80%80%E5%A4%A7%E6%99%9F" TargetMode="External" /><Relationship Id="rId101" Type="http://schemas.openxmlformats.org/officeDocument/2006/relationships/hyperlink" Target="https://baseball-data.com/player/t/%E3%83%89%E3%83%AA%E3%82%B9" TargetMode="External" /><Relationship Id="rId122" Type="http://schemas.openxmlformats.org/officeDocument/2006/relationships/hyperlink" Target="https://baseball-data.com/player/t/%E5%8F%8A%E5%B7%9D%E3%80%80%E9%9B%85%E8%B2%B4" TargetMode="External" /><Relationship Id="rId143" Type="http://schemas.openxmlformats.org/officeDocument/2006/relationships/hyperlink" Target="https://baseball-data.com/player/g/%E4%B8%AD%E5%B7%9D%E3%80%80%E7%9A%93%E5%A4%AA" TargetMode="External" /><Relationship Id="rId164" Type="http://schemas.openxmlformats.org/officeDocument/2006/relationships/hyperlink" Target="https://baseball-data.com/player/bs/%E5%8D%9A%E5%BF%97" TargetMode="External" /><Relationship Id="rId185" Type="http://schemas.openxmlformats.org/officeDocument/2006/relationships/hyperlink" Target="https://baseball-data.com/player/e/%E8%97%A4%E5%8E%9F%E3%80%80%E8%81%A1%E5%A4%A7" TargetMode="External" /><Relationship Id="rId350" Type="http://schemas.openxmlformats.org/officeDocument/2006/relationships/hyperlink" Target="https://baseball-data.com/player/d/%E7%A6%8F%E3%80%80%E6%95%AC%E7%99%BB" TargetMode="External" /><Relationship Id="rId371" Type="http://schemas.openxmlformats.org/officeDocument/2006/relationships/hyperlink" Target="https://baseball-data.com/player/h/%E6%9D%91%E4%B8%8A%E3%80%80%E6%B3%B0%E6%96%97" TargetMode="External" /><Relationship Id="rId9" Type="http://schemas.openxmlformats.org/officeDocument/2006/relationships/hyperlink" Target="https://baseball-data.com/player/t/%E9%AB%99%E6%A9%8B%E3%80%80%E9%81%A5%E4%BA%BA" TargetMode="External" /><Relationship Id="rId210" Type="http://schemas.openxmlformats.org/officeDocument/2006/relationships/hyperlink" Target="https://baseball-data.com/player/bs/%E5%90%89%E7%94%B0%E3%80%80%E8%BC%9D%E6%98%9F" TargetMode="External" /><Relationship Id="rId26" Type="http://schemas.openxmlformats.org/officeDocument/2006/relationships/hyperlink" Target="https://baseball-data.com/player/l/%E6%B8%A1%E9%82%89%E3%80%80%E5%8B%87%E5%A4%AA%E6%9C%97" TargetMode="External" /><Relationship Id="rId231" Type="http://schemas.openxmlformats.org/officeDocument/2006/relationships/hyperlink" Target="https://baseball-data.com/player/l/%E9%BB%92%E6%9C%A8%E3%80%80%E5%84%AA%E5%A4%AA" TargetMode="External" /><Relationship Id="rId252" Type="http://schemas.openxmlformats.org/officeDocument/2006/relationships/hyperlink" Target="https://baseball-data.com/player/f/%E6%9F%B4%E7%94%B0%E3%80%80%E7%8D%85%E5%AD%90" TargetMode="External" /><Relationship Id="rId273" Type="http://schemas.openxmlformats.org/officeDocument/2006/relationships/hyperlink" Target="https://baseball-data.com/player/yb/%E9%A6%AC%E5%A0%B4%E3%80%80%E7%9A%90%E8%BC%94" TargetMode="External" /><Relationship Id="rId294" Type="http://schemas.openxmlformats.org/officeDocument/2006/relationships/hyperlink" Target="https://baseball-data.com/player/s/%E4%B8%AD%E6%9D%91%E3%80%80%E5%84%AA%E6%96%97" TargetMode="External" /><Relationship Id="rId308" Type="http://schemas.openxmlformats.org/officeDocument/2006/relationships/hyperlink" Target="https://baseball-data.com/player/f/%E5%AE%AE%E8%A5%BF%E3%80%80%E5%B0%9A%E7%94%9F" TargetMode="External" /><Relationship Id="rId329" Type="http://schemas.openxmlformats.org/officeDocument/2006/relationships/hyperlink" Target="https://baseball-data.com/player/c/%E6%9D%89%E7%94%B0%E3%80%80%E5%81%A5" TargetMode="External" /><Relationship Id="rId47" Type="http://schemas.openxmlformats.org/officeDocument/2006/relationships/hyperlink" Target="https://baseball-data.com/player/s/%E9%AB%98%E6%A9%8B%E3%80%80%E5%A5%8E%E4%BA%8C" TargetMode="External" /><Relationship Id="rId68" Type="http://schemas.openxmlformats.org/officeDocument/2006/relationships/hyperlink" Target="https://baseball-data.com/player/e/%E5%B2%B8%E3%80%80%E5%AD%9D%E4%B9%8B" TargetMode="External" /><Relationship Id="rId89" Type="http://schemas.openxmlformats.org/officeDocument/2006/relationships/hyperlink" Target="https://baseball-data.com/player/l/%E7%94%B2%E6%96%90%E9%87%8E%E3%80%80%E5%A4%AE" TargetMode="External" /><Relationship Id="rId112" Type="http://schemas.openxmlformats.org/officeDocument/2006/relationships/hyperlink" Target="https://baseball-data.com/player/t/%E5%B2%A9%E5%B4%8E%E3%80%80%E5%84%AA" TargetMode="External" /><Relationship Id="rId133" Type="http://schemas.openxmlformats.org/officeDocument/2006/relationships/hyperlink" Target="https://baseball-data.com/player/m/%E6%BE%A4%E7%94%B0%E3%80%80%E5%9C%AD%E4%BD%91" TargetMode="External" /><Relationship Id="rId154" Type="http://schemas.openxmlformats.org/officeDocument/2006/relationships/hyperlink" Target="https://baseball-data.com/player/s/%E5%A2%97%E5%B1%85%E3%80%80%E7%BF%94%E5%A4%AA" TargetMode="External" /><Relationship Id="rId175" Type="http://schemas.openxmlformats.org/officeDocument/2006/relationships/hyperlink" Target="https://baseball-data.com/player/e/%E5%86%85%E3%80%80%E6%98%9F%E9%BE%8D" TargetMode="External" /><Relationship Id="rId340" Type="http://schemas.openxmlformats.org/officeDocument/2006/relationships/hyperlink" Target="https://baseball-data.com/player/g/%E5%AE%AE%E5%8E%9F%E3%80%80%E9%A7%BF%E4%BB%8B" TargetMode="External" /><Relationship Id="rId361" Type="http://schemas.openxmlformats.org/officeDocument/2006/relationships/hyperlink" Target="https://baseball-data.com/player/g/%E5%B1%B1%E5%9F%8E%E3%80%80%E4%BA%AC%E5%B9%B3" TargetMode="External" /><Relationship Id="rId196" Type="http://schemas.openxmlformats.org/officeDocument/2006/relationships/hyperlink" Target="https://baseball-data.com/player/e/%E6%B3%B0%E3%80%80%E5%8B%9D%E5%88%A9" TargetMode="External" /><Relationship Id="rId200" Type="http://schemas.openxmlformats.org/officeDocument/2006/relationships/hyperlink" Target="https://baseball-data.com/player/t/%E6%B9%AF%E6%B5%85%E3%80%80%E4%BA%AC%E5%B7%B1" TargetMode="External" /><Relationship Id="rId382" Type="http://schemas.openxmlformats.org/officeDocument/2006/relationships/hyperlink" Target="https://baseball-data.com/player/f/%E9%80%B2%E8%97%A4%E3%80%80%E5%8B%87%E4%B9%9F" TargetMode="External" /><Relationship Id="rId16" Type="http://schemas.openxmlformats.org/officeDocument/2006/relationships/hyperlink" Target="https://baseball-data.com/player/f/%E5%8C%97%E5%B1%B1%E3%80%80%E4%BA%98%E5%9F%BA" TargetMode="External" /><Relationship Id="rId221" Type="http://schemas.openxmlformats.org/officeDocument/2006/relationships/hyperlink" Target="https://baseball-data.com/player/s/%E5%B0%8F%E6%BE%A4%E3%80%80%E6%80%9C%E5%8F%B2" TargetMode="External" /><Relationship Id="rId242" Type="http://schemas.openxmlformats.org/officeDocument/2006/relationships/hyperlink" Target="https://baseball-data.com/player/bs/%E3%83%9A%E3%83%AB%E3%83%89%E3%83%A2" TargetMode="External" /><Relationship Id="rId263" Type="http://schemas.openxmlformats.org/officeDocument/2006/relationships/hyperlink" Target="https://baseball-data.com/player/g/%E3%83%AB%E3%82%B7%E3%82%A2%E3%83%BC%E3%83%8E" TargetMode="External" /><Relationship Id="rId284" Type="http://schemas.openxmlformats.org/officeDocument/2006/relationships/hyperlink" Target="https://baseball-data.com/player/f/%E7%8E%89%E4%BA%95%E3%80%80%E5%A4%A7%E7%BF%94" TargetMode="External" /><Relationship Id="rId319" Type="http://schemas.openxmlformats.org/officeDocument/2006/relationships/hyperlink" Target="https://baseball-data.com/player/h/%E3%83%A9%E3%83%88%E3%83%AA%E3%83%83%E3%82%B8" TargetMode="External" /><Relationship Id="rId37" Type="http://schemas.openxmlformats.org/officeDocument/2006/relationships/hyperlink" Target="https://baseball-data.com/player/s/%E5%90%89%E6%9D%91%E3%80%80%E8%B2%A2%E5%8F%B8%E9%83%8E" TargetMode="External" /><Relationship Id="rId58" Type="http://schemas.openxmlformats.org/officeDocument/2006/relationships/hyperlink" Target="https://baseball-data.com/player/m/%E6%AF%9B%E5%88%A9%E3%80%80%E6%B5%B7%E5%A4%A7" TargetMode="External" /><Relationship Id="rId79" Type="http://schemas.openxmlformats.org/officeDocument/2006/relationships/hyperlink" Target="https://baseball-data.com/player/m/%E5%85%AB%E6%9C%A8%E3%80%80%E5%BD%AC" TargetMode="External" /><Relationship Id="rId102" Type="http://schemas.openxmlformats.org/officeDocument/2006/relationships/hyperlink" Target="https://baseball-data.com/player/m/%E6%B2%B3%E6%9D%91%E3%80%80%E8%AA%AC%E4%BA%BA" TargetMode="External" /><Relationship Id="rId123" Type="http://schemas.openxmlformats.org/officeDocument/2006/relationships/hyperlink" Target="https://baseball-data.com/player/e/%E5%8A%A0%E6%B2%BB%E5%B1%8B%E3%80%80%E8%93%AE" TargetMode="External" /><Relationship Id="rId144" Type="http://schemas.openxmlformats.org/officeDocument/2006/relationships/hyperlink" Target="https://baseball-data.com/player/f/%E5%B3%B6%E6%9C%AC%E3%80%80%E6%B5%A9%E4%B9%9F" TargetMode="External" /><Relationship Id="rId330" Type="http://schemas.openxmlformats.org/officeDocument/2006/relationships/hyperlink" Target="https://baseball-data.com/player/d/%E4%B8%89%E6%B5%A6%E3%80%80%E7%91%9E%E6%A8%B9" TargetMode="External" /><Relationship Id="rId90" Type="http://schemas.openxmlformats.org/officeDocument/2006/relationships/hyperlink" Target="https://baseball-data.com/player/g/%E7%94%B0%E4%B8%AD%E3%80%80%E7%91%9B%E6%96%97" TargetMode="External" /><Relationship Id="rId165" Type="http://schemas.openxmlformats.org/officeDocument/2006/relationships/hyperlink" Target="https://baseball-data.com/player/f/%E5%A0%80%E3%80%80%E7%91%9E%E8%BC%9D" TargetMode="External" /><Relationship Id="rId186" Type="http://schemas.openxmlformats.org/officeDocument/2006/relationships/hyperlink" Target="https://baseball-data.com/player/yb/%E5%AE%AE%E5%9F%8E%E3%80%80%E6%BB%9D%E5%A4%AA" TargetMode="External" /><Relationship Id="rId351" Type="http://schemas.openxmlformats.org/officeDocument/2006/relationships/hyperlink" Target="https://baseball-data.com/player/bs/%E9%BD%8B%E8%97%A4%E3%80%80%E9%9F%BF%E4%BB%8B" TargetMode="External" /><Relationship Id="rId372" Type="http://schemas.openxmlformats.org/officeDocument/2006/relationships/hyperlink" Target="https://baseball-data.com/player/c/%E4%BD%90%E8%97%A4%E3%80%80%E6%9F%B3%E4%B9%8B%E4%BB%8B" TargetMode="External" /><Relationship Id="rId211" Type="http://schemas.openxmlformats.org/officeDocument/2006/relationships/hyperlink" Target="https://baseball-data.com/player/yb/%E5%B1%B1%EF%A8%91%E3%80%80%E5%BA%B7%E6%99%83" TargetMode="External" /><Relationship Id="rId232" Type="http://schemas.openxmlformats.org/officeDocument/2006/relationships/hyperlink" Target="https://baseball-data.com/player/t/%E3%83%A2%E3%83%AC%E3%83%83%E3%82%BF" TargetMode="External" /><Relationship Id="rId253" Type="http://schemas.openxmlformats.org/officeDocument/2006/relationships/hyperlink" Target="https://baseball-data.com/player/bs/%E5%AE%AE%E5%9F%8E%E3%80%80%E5%A4%A7%E5%BC%A5" TargetMode="External" /><Relationship Id="rId274" Type="http://schemas.openxmlformats.org/officeDocument/2006/relationships/hyperlink" Target="https://baseball-data.com/player/yb/%E6%9D%BE%E6%9C%AC%E3%80%80%E5%87%8C%E4%BA%BA" TargetMode="External" /><Relationship Id="rId295" Type="http://schemas.openxmlformats.org/officeDocument/2006/relationships/hyperlink" Target="https://baseball-data.com/player/yb/%E3%83%87%E3%83%A5%E3%83%97%E3%83%A9%E3%83%B3%E3%83%86%E3%82%A3%E3%82%A8" TargetMode="External" /><Relationship Id="rId309" Type="http://schemas.openxmlformats.org/officeDocument/2006/relationships/hyperlink" Target="https://baseball-data.com/player/f/%E6%B1%A0%E7%94%B0%E3%80%80%E9%9A%86%E8%8B%B1" TargetMode="External" /><Relationship Id="rId27" Type="http://schemas.openxmlformats.org/officeDocument/2006/relationships/hyperlink" Target="https://baseball-data.com/player/g/%E7%AB%B9%E4%B8%B8%E3%80%80%E5%92%8C%E5%B9%B8" TargetMode="External" /><Relationship Id="rId48" Type="http://schemas.openxmlformats.org/officeDocument/2006/relationships/hyperlink" Target="https://baseball-data.com/player/m/%E7%94%B0%E4%B8%AD%E3%80%80%E6%99%B4%E4%B9%9F" TargetMode="External" /><Relationship Id="rId69" Type="http://schemas.openxmlformats.org/officeDocument/2006/relationships/hyperlink" Target="https://baseball-data.com/player/d/%E6%B6%8C%E4%BA%95%E3%80%80%E7%A7%80%E7%AB%A0" TargetMode="External" /><Relationship Id="rId113" Type="http://schemas.openxmlformats.org/officeDocument/2006/relationships/hyperlink" Target="https://baseball-data.com/player/e/%E8%97%A4%E5%B9%B3%E3%80%80%E5%B0%9A%E7%9C%9F" TargetMode="External" /><Relationship Id="rId134" Type="http://schemas.openxmlformats.org/officeDocument/2006/relationships/hyperlink" Target="https://baseball-data.com/player/m/%E4%B8%AD%E6%A3%AE%E3%80%80%E4%BF%8A%E4%BB%8B" TargetMode="External" /><Relationship Id="rId320" Type="http://schemas.openxmlformats.org/officeDocument/2006/relationships/hyperlink" Target="https://baseball-data.com/player/h/%E8%97%A4%E5%8E%9F%E3%80%80%E5%A4%A7%E7%BF%94" TargetMode="External" /><Relationship Id="rId80" Type="http://schemas.openxmlformats.org/officeDocument/2006/relationships/hyperlink" Target="https://baseball-data.com/player/t/%E4%BC%8A%E8%97%A4%E3%80%80%E5%B0%86%E5%8F%B8" TargetMode="External" /><Relationship Id="rId155" Type="http://schemas.openxmlformats.org/officeDocument/2006/relationships/hyperlink" Target="https://baseball-data.com/player/h/%E4%BC%8A%E8%97%A4%E3%80%80%E5%84%AA%E8%BC%94" TargetMode="External" /><Relationship Id="rId176" Type="http://schemas.openxmlformats.org/officeDocument/2006/relationships/hyperlink" Target="https://baseball-data.com/player/l/%E5%B2%A9%E5%9F%8E%E3%80%80%E9%A2%AF%E7%A9%BA" TargetMode="External" /><Relationship Id="rId197" Type="http://schemas.openxmlformats.org/officeDocument/2006/relationships/hyperlink" Target="https://baseball-data.com/player/f/%E9%87%91%E6%9D%91%E3%80%80%E5%B0%9A%E7%9C%9F" TargetMode="External" /><Relationship Id="rId341" Type="http://schemas.openxmlformats.org/officeDocument/2006/relationships/hyperlink" Target="https://baseball-data.com/player/h/%E5%A4%A7%E5%B1%B1%E3%80%80%E5%87%8C" TargetMode="External" /><Relationship Id="rId362" Type="http://schemas.openxmlformats.org/officeDocument/2006/relationships/hyperlink" Target="https://baseball-data.com/player/h/%E5%8C%97%E6%96%97" TargetMode="External" /><Relationship Id="rId383" Type="http://schemas.openxmlformats.org/officeDocument/2006/relationships/hyperlink" Target="https://baseball-data.com/player/c/%E6%9D%BE%E6%9C%AC%E3%80%80%E7%AB%9C%E4%B9%9F" TargetMode="External" /><Relationship Id="rId201" Type="http://schemas.openxmlformats.org/officeDocument/2006/relationships/hyperlink" Target="https://baseball-data.com/player/d/%E8%8D%89%E5%8A%A0%E3%80%80%E5%8B%9D" TargetMode="External" /><Relationship Id="rId222" Type="http://schemas.openxmlformats.org/officeDocument/2006/relationships/hyperlink" Target="https://baseball-data.com/player/bs/%E5%AF%8C%E5%B1%B1%E3%80%80%E5%87%8C%E9%9B%85" TargetMode="External" /><Relationship Id="rId243" Type="http://schemas.openxmlformats.org/officeDocument/2006/relationships/hyperlink" Target="https://baseball-data.com/player/h/%E5%B0%8F%E6%9E%97%E3%80%80%E6%A8%B9%E6%96%97" TargetMode="External" /><Relationship Id="rId264" Type="http://schemas.openxmlformats.org/officeDocument/2006/relationships/hyperlink" Target="https://baseball-data.com/player/l/%EF%BC%A5%EF%BC%8E%E3%83%A9%E3%83%9F%E3%83%AC%E3%82%B9" TargetMode="External" /><Relationship Id="rId285" Type="http://schemas.openxmlformats.org/officeDocument/2006/relationships/hyperlink" Target="https://baseball-data.com/player/s/%E6%9C%A8%E6%BE%A4%E3%80%80%E5%B0%9A%E6%96%87" TargetMode="External" /><Relationship Id="rId17" Type="http://schemas.openxmlformats.org/officeDocument/2006/relationships/hyperlink" Target="https://baseball-data.com/player/g/%E4%BA%95%E4%B8%8A%E3%80%80%E6%B8%A9%E5%A4%A7" TargetMode="External" /><Relationship Id="rId38" Type="http://schemas.openxmlformats.org/officeDocument/2006/relationships/hyperlink" Target="https://baseball-data.com/player/bs/%E3%82%B8%E3%82%A7%E3%83%AA%E3%83%BC" TargetMode="External" /><Relationship Id="rId59" Type="http://schemas.openxmlformats.org/officeDocument/2006/relationships/hyperlink" Target="https://baseball-data.com/player/g/%E6%88%B8%E9%83%B7%E3%80%80%E7%BF%94%E5%BE%81" TargetMode="External" /><Relationship Id="rId103" Type="http://schemas.openxmlformats.org/officeDocument/2006/relationships/hyperlink" Target="https://baseball-data.com/player/d/%E5%90%89%E7%94%B0%E3%80%80%E8%81%96%E5%BC%A5" TargetMode="External" /><Relationship Id="rId124" Type="http://schemas.openxmlformats.org/officeDocument/2006/relationships/hyperlink" Target="https://baseball-data.com/player/l/%E3%83%AF%E3%82%A4%E3%83%8A%E3%83%B3%E3%82%B9" TargetMode="External" /><Relationship Id="rId310" Type="http://schemas.openxmlformats.org/officeDocument/2006/relationships/hyperlink" Target="https://baseball-data.com/player/m/%E7%A8%AE%E5%B8%82%E3%80%80%E7%AF%A4%E6%9A%89" TargetMode="External" /><Relationship Id="rId70" Type="http://schemas.openxmlformats.org/officeDocument/2006/relationships/hyperlink" Target="https://baseball-data.com/player/h/%E3%82%B9%E3%83%81%E3%83%A5%E3%83%AF%E3%83%BC%E3%83%88%E3%83%BB%E3%82%B8%E3%83%A5%E3%83%8B%E3%82%A2" TargetMode="External" /><Relationship Id="rId91" Type="http://schemas.openxmlformats.org/officeDocument/2006/relationships/hyperlink" Target="https://baseball-data.com/player/h/%E6%9D%89%E5%B1%B1%E3%80%80%E4%B8%80%E6%A8%B9" TargetMode="External" /><Relationship Id="rId145" Type="http://schemas.openxmlformats.org/officeDocument/2006/relationships/hyperlink" Target="https://baseball-data.com/player/f/%E4%B8%8A%E5%8E%9F%E3%80%80%E5%81%A5%E5%A4%AA" TargetMode="External" /><Relationship Id="rId166" Type="http://schemas.openxmlformats.org/officeDocument/2006/relationships/hyperlink" Target="https://baseball-data.com/player/g/%E3%83%9E%E3%82%BF" TargetMode="External" /><Relationship Id="rId187" Type="http://schemas.openxmlformats.org/officeDocument/2006/relationships/hyperlink" Target="https://baseball-data.com/player/l/%E4%B8%AD%E6%9D%91%E3%80%80%E7%A5%90%E5%A4%AA" TargetMode="External" /><Relationship Id="rId331" Type="http://schemas.openxmlformats.org/officeDocument/2006/relationships/hyperlink" Target="https://baseball-data.com/player/d/%E6%B8%85%E6%B0%B4%E3%80%80%E9%81%94%E4%B9%9F" TargetMode="External" /><Relationship Id="rId352" Type="http://schemas.openxmlformats.org/officeDocument/2006/relationships/hyperlink" Target="https://baseball-data.com/player/d/%E6%A2%85%E9%87%8E%E3%80%80%E9%9B%84%E5%90%BE" TargetMode="External" /><Relationship Id="rId373" Type="http://schemas.openxmlformats.org/officeDocument/2006/relationships/hyperlink" Target="https://baseball-data.com/player/bs/%E9%AB%99%E8%B0%B7%E3%80%80%E8%88%9F" TargetMode="External" /><Relationship Id="rId1" Type="http://schemas.openxmlformats.org/officeDocument/2006/relationships/hyperlink" Target="https://baseball-data.com/player/t/%E6%9D%91%E4%B8%8A%E3%80%80%E9%A0%8C%E6%A8%B9" TargetMode="External" /><Relationship Id="rId212" Type="http://schemas.openxmlformats.org/officeDocument/2006/relationships/hyperlink" Target="https://baseball-data.com/player/bs/%E5%B2%A9%E5%B5%9C%E3%80%80%E7%BF%94" TargetMode="External" /><Relationship Id="rId233" Type="http://schemas.openxmlformats.org/officeDocument/2006/relationships/hyperlink" Target="https://baseball-data.com/player/d/%E6%9D%BE%E8%91%89%E3%80%80%E8%B2%B4%E5%A4%A7" TargetMode="External" /><Relationship Id="rId254" Type="http://schemas.openxmlformats.org/officeDocument/2006/relationships/hyperlink" Target="https://baseball-data.com/player/d/%E6%A3%AE%E3%80%80%E5%8D%9A%E4%BA%BA" TargetMode="External" /><Relationship Id="rId28" Type="http://schemas.openxmlformats.org/officeDocument/2006/relationships/hyperlink" Target="https://baseball-data.com/player/h/%E6%9D%BE%E6%9C%AC%E3%80%80%E6%99%B4" TargetMode="External" /><Relationship Id="rId49" Type="http://schemas.openxmlformats.org/officeDocument/2006/relationships/hyperlink" Target="https://baseball-data.com/player/c/%E6%A3%AE%E3%80%80%E7%BF%94%E5%B9%B3" TargetMode="External" /><Relationship Id="rId114" Type="http://schemas.openxmlformats.org/officeDocument/2006/relationships/hyperlink" Target="https://baseball-data.com/player/h/%E3%82%AA%E3%82%B9%E3%83%8A" TargetMode="External" /><Relationship Id="rId275" Type="http://schemas.openxmlformats.org/officeDocument/2006/relationships/hyperlink" Target="https://baseball-data.com/player/c/%E5%B3%B6%E5%86%85%E3%80%80%E9%A2%AF%E5%A4%AA%E9%83%8E" TargetMode="External" /><Relationship Id="rId296" Type="http://schemas.openxmlformats.org/officeDocument/2006/relationships/hyperlink" Target="https://baseball-data.com/player/yb/%E3%82%B3%E3%83%83%E3%82%AF%E3%82%B9" TargetMode="External" /><Relationship Id="rId300" Type="http://schemas.openxmlformats.org/officeDocument/2006/relationships/hyperlink" Target="https://baseball-data.com/player/f/%E5%A4%A7%E5%B7%9D%E3%80%80%E6%85%88%E8%8B%B1" TargetMode="External" /><Relationship Id="rId60" Type="http://schemas.openxmlformats.org/officeDocument/2006/relationships/hyperlink" Target="https://baseball-data.com/player/bs/%E6%9B%BD%E8%B0%B7%E3%80%80%E9%BE%8D%E5%B9%B3" TargetMode="External" /><Relationship Id="rId81" Type="http://schemas.openxmlformats.org/officeDocument/2006/relationships/hyperlink" Target="https://baseball-data.com/player/d/%E6%AB%BB%E4%BA%95%E3%80%80%E9%A0%BC%E4%B9%8B%E4%BB%8B" TargetMode="External" /><Relationship Id="rId135" Type="http://schemas.openxmlformats.org/officeDocument/2006/relationships/hyperlink" Target="https://baseball-data.com/player/s/%E5%BB%A3%E6%BE%A4%E3%80%80%E5%84%AA" TargetMode="External" /><Relationship Id="rId156" Type="http://schemas.openxmlformats.org/officeDocument/2006/relationships/hyperlink" Target="https://baseball-data.com/player/h/%E6%9C%A8%E6%9D%91%E3%80%80%E5%85%89" TargetMode="External" /><Relationship Id="rId177" Type="http://schemas.openxmlformats.org/officeDocument/2006/relationships/hyperlink" Target="https://baseball-data.com/player/f/%E5%AD%AB%E3%80%80%E6%98%93%E7%A3%8A" TargetMode="External" /><Relationship Id="rId198" Type="http://schemas.openxmlformats.org/officeDocument/2006/relationships/hyperlink" Target="https://baseball-data.com/player/yb/%E5%B3%B6%E7%94%B0%E3%80%80%E8%88%9C%E4%B9%9F" TargetMode="External" /><Relationship Id="rId321" Type="http://schemas.openxmlformats.org/officeDocument/2006/relationships/hyperlink" Target="https://baseball-data.com/player/f/%E8%8F%8A%E5%9C%B0%E3%80%80%E5%A4%A7%E7%A8%80" TargetMode="External" /><Relationship Id="rId342" Type="http://schemas.openxmlformats.org/officeDocument/2006/relationships/hyperlink" Target="https://baseball-data.com/player/d/%E8%BF%91%E8%97%A4%E3%80%80%E5%BB%89" TargetMode="External" /><Relationship Id="rId363" Type="http://schemas.openxmlformats.org/officeDocument/2006/relationships/hyperlink" Target="https://baseball-data.com/player/t/%E5%AF%8C%E7%94%B0%E3%80%80%E8%93%AE" TargetMode="External" /><Relationship Id="rId384" Type="http://schemas.openxmlformats.org/officeDocument/2006/relationships/hyperlink" Target="https://baseball-data.com/player/e/%E8%BE%9B%E5%B3%B6%E3%80%80%E8%88%AA" TargetMode="External" /><Relationship Id="rId202" Type="http://schemas.openxmlformats.org/officeDocument/2006/relationships/hyperlink" Target="https://baseball-data.com/player/d/%E3%82%A2%E3%83%96%E3%83%AC%E3%82%A6" TargetMode="External" /><Relationship Id="rId223" Type="http://schemas.openxmlformats.org/officeDocument/2006/relationships/hyperlink" Target="https://baseball-data.com/player/d/%E6%9D%89%E6%B5%A6%E3%80%80%E7%A8%94%E5%A4%A7" TargetMode="External" /><Relationship Id="rId244" Type="http://schemas.openxmlformats.org/officeDocument/2006/relationships/hyperlink" Target="https://baseball-data.com/player/s/%E7%94%B0%E5%8F%A3%E3%80%80%E9%BA%97%E6%96%97" TargetMode="External" /><Relationship Id="rId18" Type="http://schemas.openxmlformats.org/officeDocument/2006/relationships/hyperlink" Target="https://baseball-data.com/player/l/%E5%B9%B3%E8%89%AF%E3%80%80%E6%B5%B7%E9%A6%AC" TargetMode="External" /><Relationship Id="rId39" Type="http://schemas.openxmlformats.org/officeDocument/2006/relationships/hyperlink" Target="https://baseball-data.com/player/h/%E5%89%8D%E7%94%B0%E3%80%80%E6%82%A0%E4%BC%8D" TargetMode="External" /><Relationship Id="rId265" Type="http://schemas.openxmlformats.org/officeDocument/2006/relationships/hyperlink" Target="https://baseball-data.com/player/h/%E5%B0%BE%E5%BD%A2%E3%80%80%E5%B4%87%E6%96%97" TargetMode="External" /><Relationship Id="rId286" Type="http://schemas.openxmlformats.org/officeDocument/2006/relationships/hyperlink" Target="https://baseball-data.com/player/c/%E9%BD%8A%E8%97%A4%E3%80%80%E6%B1%B0%E7%9B%B4" TargetMode="External" /><Relationship Id="rId50" Type="http://schemas.openxmlformats.org/officeDocument/2006/relationships/hyperlink" Target="https://baseball-data.com/player/h/%E4%B8%8A%E8%8C%B6%E8%B0%B7%E3%80%80%E5%A4%A7%E6%B2%B3" TargetMode="External" /><Relationship Id="rId104" Type="http://schemas.openxmlformats.org/officeDocument/2006/relationships/hyperlink" Target="https://baseball-data.com/player/h/%E6%B4%A5%E6%A3%AE%E3%80%80%E5%AE%A5%E7%B4%80" TargetMode="External" /><Relationship Id="rId125" Type="http://schemas.openxmlformats.org/officeDocument/2006/relationships/hyperlink" Target="https://baseball-data.com/player/d/%E9%BD%8B%E8%97%A4%E3%80%80%E7%B6%B1%E8%A8%98" TargetMode="External" /><Relationship Id="rId146" Type="http://schemas.openxmlformats.org/officeDocument/2006/relationships/hyperlink" Target="https://baseball-data.com/player/f/%E7%94%B0%E4%B8%AD%E3%80%80%E6%AD%A3%E7%BE%A9" TargetMode="External" /><Relationship Id="rId167" Type="http://schemas.openxmlformats.org/officeDocument/2006/relationships/hyperlink" Target="https://baseball-data.com/player/m/%E3%83%AB%E3%82%B1%E3%83%BC%E3%82%B7%E3%83%BC" TargetMode="External" /><Relationship Id="rId188" Type="http://schemas.openxmlformats.org/officeDocument/2006/relationships/hyperlink" Target="https://baseball-data.com/player/g/%E7%94%B0%E5%92%8C%E3%80%80%E5%BB%89" TargetMode="External" /><Relationship Id="rId311" Type="http://schemas.openxmlformats.org/officeDocument/2006/relationships/hyperlink" Target="https://baseball-data.com/player/g/%E7%9F%B3%E5%B7%9D%E3%80%80%E9%81%94%E4%B9%9F" TargetMode="External" /><Relationship Id="rId332" Type="http://schemas.openxmlformats.org/officeDocument/2006/relationships/hyperlink" Target="https://baseball-data.com/player/m/%E5%94%90%E5%B7%9D%E3%80%80%E4%BE%91%E5%B7%B1" TargetMode="External" /><Relationship Id="rId353" Type="http://schemas.openxmlformats.org/officeDocument/2006/relationships/hyperlink" Target="https://baseball-data.com/player/m/%E7%9F%B3%E5%9E%A3%E3%80%80%E5%85%83%E6%B0%97" TargetMode="External" /><Relationship Id="rId374" Type="http://schemas.openxmlformats.org/officeDocument/2006/relationships/hyperlink" Target="https://baseball-data.com/player/s/%E9%95%B7%E8%B0%B7%E5%B7%9D%E3%80%80%E5%AE%99%E8%BC%9D" TargetMode="External" /><Relationship Id="rId71" Type="http://schemas.openxmlformats.org/officeDocument/2006/relationships/hyperlink" Target="https://baseball-data.com/player/bs/%E7%94%B0%E5%B6%8B%E3%80%80%E5%A4%A7%E6%A8%B9" TargetMode="External" /><Relationship Id="rId92" Type="http://schemas.openxmlformats.org/officeDocument/2006/relationships/hyperlink" Target="https://baseball-data.com/player/bs/%E5%B1%B1%EF%A8%91%E3%80%80%E9%A2%AF%E4%B8%80%E9%83%8E" TargetMode="External" /><Relationship Id="rId213" Type="http://schemas.openxmlformats.org/officeDocument/2006/relationships/hyperlink" Target="https://baseball-data.com/player/h/%E5%89%8D%E7%94%B0%E3%80%80%E7%B4%94" TargetMode="External" /><Relationship Id="rId234" Type="http://schemas.openxmlformats.org/officeDocument/2006/relationships/hyperlink" Target="https://baseball-data.com/player/m/%E6%9C%A8%E6%9D%91%E3%80%80%E5%84%AA%E4%BA%BA" TargetMode="External" /><Relationship Id="rId2" Type="http://schemas.openxmlformats.org/officeDocument/2006/relationships/hyperlink" Target="https://baseball-data.com/player/f/%E4%BC%8A%E8%97%A4%E3%80%80%E5%A4%A7%EF%A9%85" TargetMode="External" /><Relationship Id="rId29" Type="http://schemas.openxmlformats.org/officeDocument/2006/relationships/hyperlink" Target="https://baseball-data.com/player/f/%E9%81%94%E3%80%80%E5%AD%9D%E5%A4%AA" TargetMode="External" /><Relationship Id="rId255" Type="http://schemas.openxmlformats.org/officeDocument/2006/relationships/hyperlink" Target="https://baseball-data.com/player/t/%E5%B2%A1%E7%95%99%E3%80%80%E8%8B%B1%E8%B2%B4" TargetMode="External" /><Relationship Id="rId276" Type="http://schemas.openxmlformats.org/officeDocument/2006/relationships/hyperlink" Target="https://baseball-data.com/player/d/%E4%BB%B2%E5%9C%B0%E3%80%80%E7%A4%BC%E4%BA%9C" TargetMode="External" /><Relationship Id="rId297" Type="http://schemas.openxmlformats.org/officeDocument/2006/relationships/hyperlink" Target="https://baseball-data.com/player/g/%E5%B9%B3%E5%86%85%E3%80%80%E9%BE%8D%E5%A4%AA" TargetMode="External" /><Relationship Id="rId40" Type="http://schemas.openxmlformats.org/officeDocument/2006/relationships/hyperlink" Target="https://baseball-data.com/player/e/%E7%80%A7%E4%B8%AD%E3%80%80%E7%9E%AD%E5%A4%AA" TargetMode="External" /><Relationship Id="rId115" Type="http://schemas.openxmlformats.org/officeDocument/2006/relationships/hyperlink" Target="https://baseball-data.com/player/s/%E3%82%A6%E3%82%A9%E3%83%AB%E3%82%BF%E3%83%BC%E3%82%BA" TargetMode="External" /><Relationship Id="rId136" Type="http://schemas.openxmlformats.org/officeDocument/2006/relationships/hyperlink" Target="https://baseball-data.com/player/s/%E5%B0%8F%E5%B7%9D%E3%80%80%E6%B3%B0%E5%BC%98" TargetMode="External" /><Relationship Id="rId157" Type="http://schemas.openxmlformats.org/officeDocument/2006/relationships/hyperlink" Target="https://baseball-data.com/player/t/%E4%BC%8A%E5%8E%9F%E3%80%80%E9%99%B5%E4%BA%BA" TargetMode="External" /><Relationship Id="rId178" Type="http://schemas.openxmlformats.org/officeDocument/2006/relationships/hyperlink" Target="https://baseball-data.com/player/t/%E3%83%AB%E3%83%BC%E3%82%AB%E3%82%B9" TargetMode="External" /><Relationship Id="rId301" Type="http://schemas.openxmlformats.org/officeDocument/2006/relationships/hyperlink" Target="https://baseball-data.com/player/c/%E5%B8%B8%E5%BB%A3%E3%80%80%E7%BE%BD%E4%B9%9F%E6%96%97" TargetMode="External" /><Relationship Id="rId322" Type="http://schemas.openxmlformats.org/officeDocument/2006/relationships/hyperlink" Target="https://baseball-data.com/player/bs/%E6%A8%AA%E5%B1%B1%E3%80%80%E6%A5%93" TargetMode="External" /><Relationship Id="rId343" Type="http://schemas.openxmlformats.org/officeDocument/2006/relationships/hyperlink" Target="https://baseball-data.com/player/h/%E5%A4%A7%E6%B1%9F%E3%80%80%E7%AB%9C%E8%81%96" TargetMode="External" /><Relationship Id="rId364" Type="http://schemas.openxmlformats.org/officeDocument/2006/relationships/hyperlink" Target="https://baseball-data.com/player/f/%E6%B8%85%E6%B0%B4%E3%80%80%E5%A4%A7%E6%9A%89" TargetMode="External" /><Relationship Id="rId61" Type="http://schemas.openxmlformats.org/officeDocument/2006/relationships/hyperlink" Target="https://baseball-data.com/player/f/%E7%B4%B0%E9%87%8E%E3%80%80%E6%99%B4%E5%B8%8C" TargetMode="External" /><Relationship Id="rId82" Type="http://schemas.openxmlformats.org/officeDocument/2006/relationships/hyperlink" Target="https://baseball-data.com/player/h/%E5%A4%A7%E9%96%A2%E3%80%80%E5%8F%8B%E4%B9%85" TargetMode="External" /><Relationship Id="rId199" Type="http://schemas.openxmlformats.org/officeDocument/2006/relationships/hyperlink" Target="https://baseball-data.com/player/l/%E9%BB%92%E7%94%B0%E3%80%80%E5%B0%86%E7%9F%A2" TargetMode="External" /><Relationship Id="rId203" Type="http://schemas.openxmlformats.org/officeDocument/2006/relationships/hyperlink" Target="https://baseball-data.com/player/e/%E6%9F%B4%E7%94%B0%E3%80%80%E5%A4%A7%E5%9C%B0" TargetMode="External" /><Relationship Id="rId385" Type="http://schemas.openxmlformats.org/officeDocument/2006/relationships/hyperlink" Target="https://baseball-data.com/player/f/%E6%B8%85%E5%AE%AE%E3%80%80%E8%99%8E%E5%A4%9A%E6%9C%97" TargetMode="External" /><Relationship Id="rId19" Type="http://schemas.openxmlformats.org/officeDocument/2006/relationships/hyperlink" Target="https://baseball-data.com/player/h/%E5%A4%A7%E6%B4%A5%E3%80%80%E4%BA%AE%E4%BB%8B" TargetMode="External" /><Relationship Id="rId224" Type="http://schemas.openxmlformats.org/officeDocument/2006/relationships/hyperlink" Target="https://baseball-data.com/player/c/%E7%9B%8A%E7%94%B0%E3%80%80%E6%AD%A6%E5%B0%9A" TargetMode="External" /><Relationship Id="rId245" Type="http://schemas.openxmlformats.org/officeDocument/2006/relationships/hyperlink" Target="https://baseball-data.com/player/c/%E8%8F%8A%E5%9C%B0%E3%80%80%E3%83%8F%E3%83%AB%E3%83%B3" TargetMode="External" /><Relationship Id="rId266" Type="http://schemas.openxmlformats.org/officeDocument/2006/relationships/hyperlink" Target="https://baseball-data.com/player/f/%E5%8F%A4%E6%9E%97%E3%80%80%E7%9D%BF%E7%85%AC" TargetMode="External" /><Relationship Id="rId287" Type="http://schemas.openxmlformats.org/officeDocument/2006/relationships/hyperlink" Target="https://baseball-data.com/player/c/%E5%B7%A5%E8%97%A4%E3%80%80%E6%B3%B0%E5%B7%B1" TargetMode="External" /><Relationship Id="rId30" Type="http://schemas.openxmlformats.org/officeDocument/2006/relationships/hyperlink" Target="https://baseball-data.com/player/d/%E9%AB%99%E6%A9%8B%E3%80%80%E5%AE%8F%E6%96%97" TargetMode="External" /><Relationship Id="rId105" Type="http://schemas.openxmlformats.org/officeDocument/2006/relationships/hyperlink" Target="https://baseball-data.com/player/s/%E6%98%9F%E3%80%80%E7%9F%A5%E5%BC%A5" TargetMode="External" /><Relationship Id="rId126" Type="http://schemas.openxmlformats.org/officeDocument/2006/relationships/hyperlink" Target="https://baseball-data.com/player/bs/%E7%89%87%E5%B1%B1%E3%80%80%E6%A5%BD%E7%94%9F" TargetMode="External" /><Relationship Id="rId147" Type="http://schemas.openxmlformats.org/officeDocument/2006/relationships/hyperlink" Target="https://baseball-data.com/player/s/%E3%83%AA%E3%83%A9%E3%83%B3%E3%82%BD" TargetMode="External" /><Relationship Id="rId168" Type="http://schemas.openxmlformats.org/officeDocument/2006/relationships/hyperlink" Target="https://baseball-data.com/player/h/%E5%BE%90%E3%80%80%E8%8B%A5%E7%86%99" TargetMode="External" /><Relationship Id="rId312" Type="http://schemas.openxmlformats.org/officeDocument/2006/relationships/hyperlink" Target="https://baseball-data.com/player/s/%E4%B8%8B%E5%B7%9D%E3%80%80%E9%9A%BC%E4%BD%91" TargetMode="External" /><Relationship Id="rId333" Type="http://schemas.openxmlformats.org/officeDocument/2006/relationships/hyperlink" Target="https://baseball-data.com/player/yb/%E4%BD%90%E3%80%85%E6%9C%A8%E3%80%80%E5%8D%83%E9%9A%BC" TargetMode="External" /><Relationship Id="rId354" Type="http://schemas.openxmlformats.org/officeDocument/2006/relationships/hyperlink" Target="https://baseball-data.com/player/l/%E9%9D%92%E5%B1%B1%E3%80%80%E7%BE%8E%E5%A4%8F%E4%BA%BA" TargetMode="External" /><Relationship Id="rId51" Type="http://schemas.openxmlformats.org/officeDocument/2006/relationships/hyperlink" Target="https://baseball-data.com/player/yb/%E5%B0%BE%E5%BD%A2%E3%80%80%E5%B4%87%E6%96%97" TargetMode="External" /><Relationship Id="rId72" Type="http://schemas.openxmlformats.org/officeDocument/2006/relationships/hyperlink" Target="https://baseball-data.com/player/yb/%E3%83%AC%E3%82%A4%E3%83%8E%E3%83%AB%E3%82%BA" TargetMode="External" /><Relationship Id="rId93" Type="http://schemas.openxmlformats.org/officeDocument/2006/relationships/hyperlink" Target="https://baseball-data.com/player/g/%E8%B5%A4%E6%98%9F%E3%80%80%E5%84%AA%E5%BF%97" TargetMode="External" /><Relationship Id="rId189" Type="http://schemas.openxmlformats.org/officeDocument/2006/relationships/hyperlink" Target="https://baseball-data.com/player/yb/%E5%B2%A9%E7%94%B0%E3%80%80%E5%B0%86%E8%B2%B4" TargetMode="External" /><Relationship Id="rId375" Type="http://schemas.openxmlformats.org/officeDocument/2006/relationships/hyperlink" Target="https://baseball-data.com/player/s/%E9%A3%AF%E7%94%B0%E3%80%80%E7%90%89%E6%96%97" TargetMode="External" /><Relationship Id="rId3" Type="http://schemas.openxmlformats.org/officeDocument/2006/relationships/hyperlink" Target="https://baseball-data.com/player/l/%E9%9A%85%E7%94%B0%E3%80%80%E7%9F%A5%E4%B8%80%E9%83%8E" TargetMode="External" /><Relationship Id="rId214" Type="http://schemas.openxmlformats.org/officeDocument/2006/relationships/hyperlink" Target="https://baseball-data.com/player/t/%E7%A5%9E%E5%AE%AE%E3%80%80%E5%83%9A%E4%BB%8B" TargetMode="External" /><Relationship Id="rId235" Type="http://schemas.openxmlformats.org/officeDocument/2006/relationships/hyperlink" Target="https://baseball-data.com/player/m/%E7%9F%B3%E5%B7%9D%E3%80%80%E6%9F%8A%E5%A4%AA" TargetMode="External" /><Relationship Id="rId256" Type="http://schemas.openxmlformats.org/officeDocument/2006/relationships/hyperlink" Target="https://baseball-data.com/player/m/%E5%AE%AE%EF%A8%91%E3%80%80%E9%A2%AF" TargetMode="External" /><Relationship Id="rId277" Type="http://schemas.openxmlformats.org/officeDocument/2006/relationships/hyperlink" Target="https://baseball-data.com/player/bs/%E9%98%BF%E9%83%A8%E3%80%80%E7%BF%94%E5%A4%AA" TargetMode="External" /><Relationship Id="rId298" Type="http://schemas.openxmlformats.org/officeDocument/2006/relationships/hyperlink" Target="https://baseball-data.com/player/bs/%E5%B1%B1%E7%94%B0%E3%80%80%E4%BF%AE%E7%BE%A9" TargetMode="External" /><Relationship Id="rId116" Type="http://schemas.openxmlformats.org/officeDocument/2006/relationships/hyperlink" Target="https://baseball-data.com/player/l/%E7%AF%A0%E5%8E%9F%E3%80%80%E9%9F%BF" TargetMode="External" /><Relationship Id="rId137" Type="http://schemas.openxmlformats.org/officeDocument/2006/relationships/hyperlink" Target="https://baseball-data.com/player/g/%E5%A0%80%E7%94%B0%E3%80%80%E8%B3%A2%E6%85%8E" TargetMode="External" /><Relationship Id="rId158" Type="http://schemas.openxmlformats.org/officeDocument/2006/relationships/hyperlink" Target="https://baseball-data.com/player/bs/%E6%A8%A9%E7%94%B0%E3%80%80%E7%90%89%E6%88%90" TargetMode="External" /><Relationship Id="rId302" Type="http://schemas.openxmlformats.org/officeDocument/2006/relationships/hyperlink" Target="https://baseball-data.com/player/f/%E7%95%94%E6%9F%B3%E3%80%80%E4%BA%A8%E4%B8%9E" TargetMode="External" /><Relationship Id="rId323" Type="http://schemas.openxmlformats.org/officeDocument/2006/relationships/hyperlink" Target="https://baseball-data.com/player/e/%E6%B8%A1%E8%BE%BA%E3%80%80%E7%BF%94%E5%A4%AA" TargetMode="External" /><Relationship Id="rId344" Type="http://schemas.openxmlformats.org/officeDocument/2006/relationships/hyperlink" Target="https://baseball-data.com/player/d/%E5%AE%AE%E5%86%85%E3%80%80%E6%98%A5%E8%BC%9D" TargetMode="External" /><Relationship Id="rId20" Type="http://schemas.openxmlformats.org/officeDocument/2006/relationships/hyperlink" Target="https://baseball-data.com/player/c/%E5%BA%8A%E7%94%B0%E3%80%80%E5%AF%9B%E6%A8%B9" TargetMode="External" /><Relationship Id="rId41" Type="http://schemas.openxmlformats.org/officeDocument/2006/relationships/hyperlink" Target="https://baseball-data.com/player/yb/%E5%B9%B3%E8%89%AF%E3%80%80%E6%8B%B3%E5%A4%AA%E9%83%8E" TargetMode="External" /><Relationship Id="rId62" Type="http://schemas.openxmlformats.org/officeDocument/2006/relationships/hyperlink" Target="https://baseball-data.com/player/yb/%E7%AF%A0%E6%9C%A8%E3%80%80%E5%81%A5%E5%A4%AA%E9%83%8E" TargetMode="External" /><Relationship Id="rId83" Type="http://schemas.openxmlformats.org/officeDocument/2006/relationships/hyperlink" Target="https://baseball-data.com/player/g/%E8%A5%BF%E8%88%98%E3%80%80%E5%8B%87%E9%99%BD" TargetMode="External" /><Relationship Id="rId179" Type="http://schemas.openxmlformats.org/officeDocument/2006/relationships/hyperlink" Target="https://baseball-data.com/player/yb/%E5%9D%82%E6%9C%AC%E3%80%80%E8%A3%95%E5%93%89" TargetMode="External" /><Relationship Id="rId365" Type="http://schemas.openxmlformats.org/officeDocument/2006/relationships/hyperlink" Target="https://baseball-data.com/player/s/%E5%A4%A7%E9%81%93%E3%80%80%E6%B8%A9%E8%B2%B4" TargetMode="External" /><Relationship Id="rId190" Type="http://schemas.openxmlformats.org/officeDocument/2006/relationships/hyperlink" Target="https://baseball-data.com/player/yb/%E3%83%9E%E3%83%AB%E3%82%BB%E3%83%AA%E3%83%BC%E3%83%8E" TargetMode="External" /><Relationship Id="rId204" Type="http://schemas.openxmlformats.org/officeDocument/2006/relationships/hyperlink" Target="https://baseball-data.com/player/l/%E3%82%A6%E3%82%A3%E3%83%B3%E3%82%B2%E3%83%B3%E3%82%BF%E3%83%BC" TargetMode="External" /><Relationship Id="rId225" Type="http://schemas.openxmlformats.org/officeDocument/2006/relationships/hyperlink" Target="https://baseball-data.com/player/c/%E3%82%A2%E3%83%89%E3%82%A5%E3%83%AF%E3%80%80%E8%AA%A0" TargetMode="External" /><Relationship Id="rId246" Type="http://schemas.openxmlformats.org/officeDocument/2006/relationships/hyperlink" Target="https://baseball-data.com/player/f/%E7%94%9F%E7%94%B0%E7%9B%AE%E3%80%80%E7%BF%BC" TargetMode="External" /><Relationship Id="rId267" Type="http://schemas.openxmlformats.org/officeDocument/2006/relationships/hyperlink" Target="https://baseball-data.com/player/s/%E5%A4%A7%E8%A5%BF%E3%80%80%E5%BA%83%E6%A8%B9" TargetMode="External" /><Relationship Id="rId288" Type="http://schemas.openxmlformats.org/officeDocument/2006/relationships/hyperlink" Target="https://baseball-data.com/player/c/%E9%BB%92%E5%8E%9F%E3%80%80%E6%8B%93%E6%9C%AA" TargetMode="External" /><Relationship Id="rId106" Type="http://schemas.openxmlformats.org/officeDocument/2006/relationships/hyperlink" Target="https://baseball-data.com/player/l/%E4%BD%90%E8%97%A4%E3%80%80%E7%88%BD" TargetMode="External" /><Relationship Id="rId127" Type="http://schemas.openxmlformats.org/officeDocument/2006/relationships/hyperlink" Target="https://baseball-data.com/player/h/%E3%83%98%E3%83%AB%E3%83%8A%E3%83%B3%E3%83%87%E3%82%B9" TargetMode="External" /><Relationship Id="rId313" Type="http://schemas.openxmlformats.org/officeDocument/2006/relationships/hyperlink" Target="https://baseball-data.com/player/h/%E5%A4%A7%E7%AB%B9%E3%80%80%E9%A2%A8%E9%9B%85" TargetMode="External" /><Relationship Id="rId10" Type="http://schemas.openxmlformats.org/officeDocument/2006/relationships/hyperlink" Target="https://baseball-data.com/player/s/%E5%A5%A5%E5%B7%9D%E3%80%80%E6%81%AD%E4%BC%B8" TargetMode="External" /><Relationship Id="rId31" Type="http://schemas.openxmlformats.org/officeDocument/2006/relationships/hyperlink" Target="https://baseball-data.com/player/c/%E6%A0%97%E6%9E%97%E3%80%80%E8%89%AF%E5%90%8F" TargetMode="External" /><Relationship Id="rId52" Type="http://schemas.openxmlformats.org/officeDocument/2006/relationships/hyperlink" Target="https://baseball-data.com/player/s/%E9%AB%98%E6%A2%A8%E3%80%80%E8%A3%95%E7%A8%94" TargetMode="External" /><Relationship Id="rId73" Type="http://schemas.openxmlformats.org/officeDocument/2006/relationships/hyperlink" Target="https://baseball-data.com/player/g/%E5%89%87%E6%9C%AC%E3%80%80%E6%98%82%E5%A4%A7" TargetMode="External" /><Relationship Id="rId94" Type="http://schemas.openxmlformats.org/officeDocument/2006/relationships/hyperlink" Target="https://baseball-data.com/player/l/%E8%8F%85%E4%BA%95%E3%80%80%E4%BF%A1%E4%B9%9F" TargetMode="External" /><Relationship Id="rId148" Type="http://schemas.openxmlformats.org/officeDocument/2006/relationships/hyperlink" Target="https://baseball-data.com/player/yb/%E8%8B%A5%E6%9D%BE%E3%80%80%E5%B0%9A%E8%BC%9D" TargetMode="External" /><Relationship Id="rId169" Type="http://schemas.openxmlformats.org/officeDocument/2006/relationships/hyperlink" Target="https://baseball-data.com/player/c/%E6%96%89%E8%97%A4%E3%80%80%E5%84%AA%E6%B1%B0" TargetMode="External" /><Relationship Id="rId334" Type="http://schemas.openxmlformats.org/officeDocument/2006/relationships/hyperlink" Target="https://baseball-data.com/player/f/%E3%83%A9%E3%82%AA" TargetMode="External" /><Relationship Id="rId355" Type="http://schemas.openxmlformats.org/officeDocument/2006/relationships/hyperlink" Target="https://baseball-data.com/player/l/%E5%A0%80%E8%B6%8A%E3%80%80%E5%95%93%E5%A4%AA" TargetMode="External" /><Relationship Id="rId376" Type="http://schemas.openxmlformats.org/officeDocument/2006/relationships/hyperlink" Target="https://baseball-data.com/player/e/%E5%8F%A4%E8%B3%80%E3%80%80%E5%BA%B7%E8%AA%A0" TargetMode="External" /><Relationship Id="rId4" Type="http://schemas.openxmlformats.org/officeDocument/2006/relationships/hyperlink" Target="https://baseball-data.com/player/bs/%E4%B9%9D%E9%87%8C%E3%80%80%E4%BA%9C%E8%93%AE" TargetMode="External" /><Relationship Id="rId180" Type="http://schemas.openxmlformats.org/officeDocument/2006/relationships/hyperlink" Target="https://baseball-data.com/player/s/%E9%98%AA%E5%8F%A3%E3%80%80%E7%9A%93%E4%BA%AE" TargetMode="External" /><Relationship Id="rId215" Type="http://schemas.openxmlformats.org/officeDocument/2006/relationships/hyperlink" Target="https://baseball-data.com/player/s/%E7%9F%B3%E5%8E%9F%E3%80%80%E5%8B%87%E8%BC%9D" TargetMode="External" /><Relationship Id="rId236" Type="http://schemas.openxmlformats.org/officeDocument/2006/relationships/hyperlink" Target="https://baseball-data.com/player/bs/%E6%9D%B1%E6%9D%BE%E3%80%80%E5%BF%AB%E5%BE%81" TargetMode="External" /><Relationship Id="rId257" Type="http://schemas.openxmlformats.org/officeDocument/2006/relationships/hyperlink" Target="https://baseball-data.com/player/bs/%E5%AE%AE%E5%9C%8B%E3%80%80%E5%87%8C%E7%A9%BA" TargetMode="External" /><Relationship Id="rId278" Type="http://schemas.openxmlformats.org/officeDocument/2006/relationships/hyperlink" Target="https://baseball-data.com/player/t/%E7%95%A0%E3%80%80%E4%B8%96%E5%91%A8" TargetMode="External" /><Relationship Id="rId303" Type="http://schemas.openxmlformats.org/officeDocument/2006/relationships/hyperlink" Target="https://baseball-data.com/player/m/%E9%AB%99%E6%A9%8B%E3%80%80%E5%BF%AB%E7%A7%80" TargetMode="External" 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h/%E5%B1%B1%E6%9C%AC%E3%80%80%E7%A5%90%E5%A4%A7" TargetMode="External" /><Relationship Id="rId299" Type="http://schemas.openxmlformats.org/officeDocument/2006/relationships/hyperlink" Target="https://baseball-data.com/player/d/%E6%A8%8B%E5%8F%A3%E3%80%80%E6%AD%A3%E4%BF%AE" TargetMode="External" /><Relationship Id="rId303" Type="http://schemas.openxmlformats.org/officeDocument/2006/relationships/hyperlink" Target="https://baseball-data.com/player/m/%E8%8C%B6%E8%B0%B7%E3%80%80%E5%81%A5%E5%A4%AA" TargetMode="External" /><Relationship Id="rId21" Type="http://schemas.openxmlformats.org/officeDocument/2006/relationships/hyperlink" Target="https://baseball-data.com/player/d/%E6%9D%91%E6%9D%BE%E3%80%80%E9%96%8B%E4%BA%BA" TargetMode="External" /><Relationship Id="rId42" Type="http://schemas.openxmlformats.org/officeDocument/2006/relationships/hyperlink" Target="https://baseball-data.com/player/s/%E5%B2%A9%E7%94%B0%E3%80%80%E5%B9%B8%E5%AE%8F" TargetMode="External" /><Relationship Id="rId63" Type="http://schemas.openxmlformats.org/officeDocument/2006/relationships/hyperlink" Target="https://baseball-data.com/player/f/%E9%83%A1%E5%8F%B8%E3%80%80%E8%A3%95%E4%B9%9F" TargetMode="External" /><Relationship Id="rId84" Type="http://schemas.openxmlformats.org/officeDocument/2006/relationships/hyperlink" Target="https://baseball-data.com/player/l/%E5%B9%B3%E6%B2%A2%E3%80%80%E5%A4%A7%E6%B2%B3" TargetMode="External" /><Relationship Id="rId138" Type="http://schemas.openxmlformats.org/officeDocument/2006/relationships/hyperlink" Target="https://baseball-data.com/player/t/%E6%9C%A8%E6%B5%AA%E3%80%80%E8%81%96%E4%B9%9F" TargetMode="External" /><Relationship Id="rId159" Type="http://schemas.openxmlformats.org/officeDocument/2006/relationships/hyperlink" Target="https://baseball-data.com/player/f/%E7%B4%B0%E5%B7%9D%E3%80%80%E5%87%8C%E5%B9%B3" TargetMode="External" /><Relationship Id="rId324" Type="http://schemas.openxmlformats.org/officeDocument/2006/relationships/hyperlink" Target="https://baseball-data.com/player/t/%E6%A4%8D%E7%94%B0%E3%80%80%E6%B5%B7" TargetMode="External" /><Relationship Id="rId345" Type="http://schemas.openxmlformats.org/officeDocument/2006/relationships/hyperlink" Target="https://baseball-data.com/player/yb/%E4%BA%95%E4%B8%8A%E3%80%80%E7%B5%A2%E7%99%BB" TargetMode="External" /><Relationship Id="rId170" Type="http://schemas.openxmlformats.org/officeDocument/2006/relationships/hyperlink" Target="https://baseball-data.com/player/bs/%E8%A5%BF%E9%87%8E%E3%80%80%E7%9C%9F%E5%BC%98" TargetMode="External" /><Relationship Id="rId191" Type="http://schemas.openxmlformats.org/officeDocument/2006/relationships/hyperlink" Target="https://baseball-data.com/player/l/%E5%B1%B1%E6%9D%91%E3%80%80%E5%B4%87%E5%98%89" TargetMode="External" /><Relationship Id="rId205" Type="http://schemas.openxmlformats.org/officeDocument/2006/relationships/hyperlink" Target="https://baseball-data.com/player/d/%E5%9C%9F%E7%94%B0%E3%80%80%E9%BE%8D%E7%A9%BA" TargetMode="External" /><Relationship Id="rId226" Type="http://schemas.openxmlformats.org/officeDocument/2006/relationships/hyperlink" Target="https://baseball-data.com/player/f/%E6%B7%BA%E9%96%93%E3%80%80%E5%A4%A7%E5%9F%BA" TargetMode="External" /><Relationship Id="rId247" Type="http://schemas.openxmlformats.org/officeDocument/2006/relationships/hyperlink" Target="https://baseball-data.com/player/e/%E4%BC%8A%E8%97%A4%E3%80%80%E5%85%89" TargetMode="External" /><Relationship Id="rId107" Type="http://schemas.openxmlformats.org/officeDocument/2006/relationships/hyperlink" Target="https://baseball-data.com/player/f/%E5%A5%88%E8%89%AF%E9%96%93%E3%80%80%E5%A4%A7%E5%B7%B1" TargetMode="External" /><Relationship Id="rId268" Type="http://schemas.openxmlformats.org/officeDocument/2006/relationships/hyperlink" Target="https://baseball-data.com/player/c/%E5%89%8D%E5%B7%9D%E3%80%80%E8%AA%A0%E5%A4%AA" TargetMode="External" /><Relationship Id="rId289" Type="http://schemas.openxmlformats.org/officeDocument/2006/relationships/hyperlink" Target="https://baseball-data.com/player/e/%E9%98%AA%E4%B8%8A%E3%80%80%E7%BF%94%E4%B9%9F" TargetMode="External" /><Relationship Id="rId11" Type="http://schemas.openxmlformats.org/officeDocument/2006/relationships/hyperlink" Target="https://baseball-data.com/player/e/%E8%BE%B0%E5%B7%B1%E3%80%80%E6%B6%BC%E4%BB%8B" TargetMode="External" /><Relationship Id="rId32" Type="http://schemas.openxmlformats.org/officeDocument/2006/relationships/hyperlink" Target="https://baseball-data.com/player/e/%E9%BB%92%E5%B7%9D%E3%80%80%E5%8F%B2%E9%99%BD" TargetMode="External" /><Relationship Id="rId53" Type="http://schemas.openxmlformats.org/officeDocument/2006/relationships/hyperlink" Target="https://baseball-data.com/player/c/%E5%B0%8F%E5%9C%92%E3%80%80%E6%B5%B7%E6%96%97" TargetMode="External" /><Relationship Id="rId74" Type="http://schemas.openxmlformats.org/officeDocument/2006/relationships/hyperlink" Target="https://baseball-data.com/player/d/%E5%B2%A1%E6%9E%97%E3%80%80%E5%8B%87%E5%B8%8C" TargetMode="External" /><Relationship Id="rId128" Type="http://schemas.openxmlformats.org/officeDocument/2006/relationships/hyperlink" Target="https://baseball-data.com/player/t/%E7%86%8A%E8%B0%B7%E3%80%80%E6%95%AC%E5%AE%A5" TargetMode="External" /><Relationship Id="rId149" Type="http://schemas.openxmlformats.org/officeDocument/2006/relationships/hyperlink" Target="https://baseball-data.com/player/t/%E4%BC%8F%E8%A6%8B%E3%80%80%E5%AF%85%E5%A8%81" TargetMode="External" /><Relationship Id="rId314" Type="http://schemas.openxmlformats.org/officeDocument/2006/relationships/hyperlink" Target="https://baseball-data.com/player/l/%E6%9D%91%E7%94%B0%E3%80%80%E6%80%9C%E9%9F%B3" TargetMode="External" /><Relationship Id="rId335" Type="http://schemas.openxmlformats.org/officeDocument/2006/relationships/hyperlink" Target="https://baseball-data.com/player/c/%E6%B8%A1%E9%82%89%E3%80%80%E6%82%A0%E6%96%97" TargetMode="External" /><Relationship Id="rId356" Type="http://schemas.openxmlformats.org/officeDocument/2006/relationships/hyperlink" Target="https://baseball-data.com/player/yb/%E5%8A%A0%E8%97%A4%E3%80%80%E9%9F%BF" TargetMode="External" /><Relationship Id="rId5" Type="http://schemas.openxmlformats.org/officeDocument/2006/relationships/hyperlink" Target="https://baseball-data.com/player/d/%E7%B4%B0%E5%B7%9D%E3%80%80%E6%88%90%E4%B9%9F" TargetMode="External" /><Relationship Id="rId95" Type="http://schemas.openxmlformats.org/officeDocument/2006/relationships/hyperlink" Target="https://baseball-data.com/player/m/%E5%8F%8B%E6%9D%89%E3%80%80%E7%AF%A4%E8%BC%9D" TargetMode="External" /><Relationship Id="rId160" Type="http://schemas.openxmlformats.org/officeDocument/2006/relationships/hyperlink" Target="https://baseball-data.com/player/s/%E4%B8%B8%E5%B1%B1%E3%80%80%E5%92%8C%E9%83%81" TargetMode="External" /><Relationship Id="rId181" Type="http://schemas.openxmlformats.org/officeDocument/2006/relationships/hyperlink" Target="https://baseball-data.com/player/yb/%E5%B1%B1%E6%9C%AC%E3%80%80%E7%A5%90%E5%A4%A7" TargetMode="External" /><Relationship Id="rId216" Type="http://schemas.openxmlformats.org/officeDocument/2006/relationships/hyperlink" Target="https://baseball-data.com/player/l/%E4%B8%AD%E6%9D%91%E3%80%80%E5%89%9B%E4%B9%9F" TargetMode="External" /><Relationship Id="rId237" Type="http://schemas.openxmlformats.org/officeDocument/2006/relationships/hyperlink" Target="https://baseball-data.com/player/t/%E5%B6%8B%E6%9D%91%E3%80%80%E9%BA%9F%E5%A3%AB%E6%9C%97" TargetMode="External" /><Relationship Id="rId258" Type="http://schemas.openxmlformats.org/officeDocument/2006/relationships/hyperlink" Target="https://baseball-data.com/player/g/%E7%9F%A5%E5%BF%B5%E3%80%80%E5%A4%A7%E6%88%90" TargetMode="External" /><Relationship Id="rId279" Type="http://schemas.openxmlformats.org/officeDocument/2006/relationships/hyperlink" Target="https://baseball-data.com/player/t/%E7%B3%B8%E5%8E%9F%E3%80%80%E5%81%A5%E6%96%97" TargetMode="External" /><Relationship Id="rId22" Type="http://schemas.openxmlformats.org/officeDocument/2006/relationships/hyperlink" Target="https://baseball-data.com/player/l/%E3%82%AB%E3%83%8A%E3%83%AA%E3%82%AA" TargetMode="External" /><Relationship Id="rId43" Type="http://schemas.openxmlformats.org/officeDocument/2006/relationships/hyperlink" Target="https://baseball-data.com/player/s/%E3%82%B5%E3%83%B3%E3%82%BF%E3%83%8A" TargetMode="External" /><Relationship Id="rId64" Type="http://schemas.openxmlformats.org/officeDocument/2006/relationships/hyperlink" Target="https://baseball-data.com/player/m/%E3%82%BD%E3%83%88" TargetMode="External" /><Relationship Id="rId118" Type="http://schemas.openxmlformats.org/officeDocument/2006/relationships/hyperlink" Target="https://baseball-data.com/player/d/%E6%9D%BF%E5%B1%B1%E3%80%80%E7%A5%90%E5%A4%AA%E9%83%8E" TargetMode="External" /><Relationship Id="rId139" Type="http://schemas.openxmlformats.org/officeDocument/2006/relationships/hyperlink" Target="https://baseball-data.com/player/f/%E9%80%B2%E8%97%A4%E3%80%80%E5%8B%87%E4%B9%9F" TargetMode="External" /><Relationship Id="rId290" Type="http://schemas.openxmlformats.org/officeDocument/2006/relationships/hyperlink" Target="https://baseball-data.com/player/s/%E6%A9%8B%E6%9C%AC%E3%80%80%E6%98%9F%E5%93%89" TargetMode="External" /><Relationship Id="rId304" Type="http://schemas.openxmlformats.org/officeDocument/2006/relationships/hyperlink" Target="https://baseball-data.com/player/e/%E7%9F%B3%E5%8E%9F%E3%80%80%E5%BD%AA" TargetMode="External" /><Relationship Id="rId325" Type="http://schemas.openxmlformats.org/officeDocument/2006/relationships/hyperlink" Target="https://baseball-data.com/player/h/%E7%B7%92%E6%96%B9%E3%80%80%E7%90%86%E8%B2%A2" TargetMode="External" /><Relationship Id="rId346" Type="http://schemas.openxmlformats.org/officeDocument/2006/relationships/hyperlink" Target="https://baseball-data.com/player/m/%E7%94%B0%E6%9D%91%E3%80%80%E9%BE%8D%E5%BC%98" TargetMode="External" /><Relationship Id="rId85" Type="http://schemas.openxmlformats.org/officeDocument/2006/relationships/hyperlink" Target="https://baseball-data.com/player/l/%E9%95%B7%E8%B0%B7%E5%B7%9D%E3%80%80%E4%BF%A1%E5%93%89" TargetMode="External" /><Relationship Id="rId150" Type="http://schemas.openxmlformats.org/officeDocument/2006/relationships/hyperlink" Target="https://baseball-data.com/player/f/%E5%90%89%E7%94%B0%E3%80%80%E8%B3%A2%E5%90%BE" TargetMode="External" /><Relationship Id="rId171" Type="http://schemas.openxmlformats.org/officeDocument/2006/relationships/hyperlink" Target="https://baseball-data.com/player/d/%E9%AB%98%E6%A9%8B%E3%80%80%E5%91%A8%E5%B9%B3" TargetMode="External" /><Relationship Id="rId192" Type="http://schemas.openxmlformats.org/officeDocument/2006/relationships/hyperlink" Target="https://baseball-data.com/player/s/%E5%A1%A9%E8%A6%8B%E3%80%80%E6%B3%B0%E9%9A%86" TargetMode="External" /><Relationship Id="rId206" Type="http://schemas.openxmlformats.org/officeDocument/2006/relationships/hyperlink" Target="https://baseball-data.com/player/yb/%E5%8F%A4%E5%B8%82%E3%80%80%E5%B0%8A" TargetMode="External" /><Relationship Id="rId227" Type="http://schemas.openxmlformats.org/officeDocument/2006/relationships/hyperlink" Target="https://baseball-data.com/player/e/%E4%BC%8A%E8%97%A4%E3%80%80%E8%A3%95%E5%AD%A3%E4%B9%9F" TargetMode="External" /><Relationship Id="rId248" Type="http://schemas.openxmlformats.org/officeDocument/2006/relationships/hyperlink" Target="https://baseball-data.com/player/e/%E5%90%89%E9%87%8E%E3%80%80%E5%89%B5%E5%A3%AB" TargetMode="External" /><Relationship Id="rId269" Type="http://schemas.openxmlformats.org/officeDocument/2006/relationships/hyperlink" Target="https://baseball-data.com/player/e/%E6%AD%A6%E8%97%A4%E3%80%80%E6%95%A6%E8%B2%B4" TargetMode="External" /><Relationship Id="rId12" Type="http://schemas.openxmlformats.org/officeDocument/2006/relationships/hyperlink" Target="https://baseball-data.com/player/f/%E6%B0%B4%E9%87%8E%E3%80%80%E9%81%94%E7%A8%80" TargetMode="External" /><Relationship Id="rId33" Type="http://schemas.openxmlformats.org/officeDocument/2006/relationships/hyperlink" Target="https://baseball-data.com/player/h/%E6%AD%A3%E6%9C%A8%E3%80%80%E6%99%BA%E4%B9%9F" TargetMode="External" /><Relationship Id="rId108" Type="http://schemas.openxmlformats.org/officeDocument/2006/relationships/hyperlink" Target="https://baseball-data.com/player/l/%E6%A1%91%E5%8E%9F%E3%80%80%E5%B0%86%E5%BF%97" TargetMode="External" /><Relationship Id="rId129" Type="http://schemas.openxmlformats.org/officeDocument/2006/relationships/hyperlink" Target="https://baseball-data.com/player/e/%E5%B0%8F%E9%83%B7%E3%80%80%E8%A3%95%E5%93%89" TargetMode="External" /><Relationship Id="rId280" Type="http://schemas.openxmlformats.org/officeDocument/2006/relationships/hyperlink" Target="https://baseball-data.com/player/e/%E5%B0%8F%E6%A3%AE%E3%80%80%E8%88%AA%E5%A4%A7%E9%83%8E" TargetMode="External" /><Relationship Id="rId315" Type="http://schemas.openxmlformats.org/officeDocument/2006/relationships/hyperlink" Target="https://baseball-data.com/player/c/%E4%B9%85%E4%BF%9D%E3%80%80%E4%BF%AE" TargetMode="External" /><Relationship Id="rId336" Type="http://schemas.openxmlformats.org/officeDocument/2006/relationships/hyperlink" Target="https://baseball-data.com/player/t/%E8%B1%8A%E7%94%B0%E3%80%80%E5%AF%9B" TargetMode="External" /><Relationship Id="rId357" Type="http://schemas.openxmlformats.org/officeDocument/2006/relationships/hyperlink" Target="https://baseball-data.com/player/l/%E6%98%AF%E6%BE%A4%E3%80%80%E6%B6%BC%E8%BC%94" TargetMode="External" /><Relationship Id="rId54" Type="http://schemas.openxmlformats.org/officeDocument/2006/relationships/hyperlink" Target="https://baseball-data.com/player/yb/%E7%AD%92%E9%A6%99%E3%80%80%E5%98%89%E6%99%BA" TargetMode="External" /><Relationship Id="rId75" Type="http://schemas.openxmlformats.org/officeDocument/2006/relationships/hyperlink" Target="https://baseball-data.com/player/bs/%E8%8B%A5%E6%9C%88%E3%80%80%E5%81%A5%E7%9F%A2" TargetMode="External" /><Relationship Id="rId96" Type="http://schemas.openxmlformats.org/officeDocument/2006/relationships/hyperlink" Target="https://baseball-data.com/player/e/%E5%AE%97%E5%B1%B1%E3%80%80%E5%A1%81" TargetMode="External" /><Relationship Id="rId140" Type="http://schemas.openxmlformats.org/officeDocument/2006/relationships/hyperlink" Target="https://baseball-data.com/player/d/%E8%8A%B1%E7%94%B0%E3%80%80%E6%97%AD" TargetMode="External" /><Relationship Id="rId161" Type="http://schemas.openxmlformats.org/officeDocument/2006/relationships/hyperlink" Target="https://baseball-data.com/player/h/%E9%87%8E%E6%9D%91%E3%80%80%E5%8B%87" TargetMode="External" /><Relationship Id="rId182" Type="http://schemas.openxmlformats.org/officeDocument/2006/relationships/hyperlink" Target="https://baseball-data.com/player/s/%E3%83%A2%E3%83%B3%E3%83%86%E3%83%AB" TargetMode="External" /><Relationship Id="rId217" Type="http://schemas.openxmlformats.org/officeDocument/2006/relationships/hyperlink" Target="https://baseball-data.com/player/h/%E5%B1%B1%E6%9C%AC%E3%80%80%E6%81%B5%E5%A4%A7" TargetMode="External" /><Relationship Id="rId6" Type="http://schemas.openxmlformats.org/officeDocument/2006/relationships/hyperlink" Target="https://baseball-data.com/player/h/%E8%BF%91%E8%97%A4%E3%80%80%E5%81%A5%E4%BB%8B" TargetMode="External" /><Relationship Id="rId238" Type="http://schemas.openxmlformats.org/officeDocument/2006/relationships/hyperlink" Target="https://baseball-data.com/player/f/%E3%83%9E%E3%83%AB%E3%83%86%E3%82%A3%E3%83%8D%E3%82%B9" TargetMode="External" /><Relationship Id="rId259" Type="http://schemas.openxmlformats.org/officeDocument/2006/relationships/hyperlink" Target="https://baseball-data.com/player/s/%E5%B1%B1%E9%87%8E%E8%BE%BA%E3%80%80%E7%BF%94" TargetMode="External" /><Relationship Id="rId23" Type="http://schemas.openxmlformats.org/officeDocument/2006/relationships/hyperlink" Target="https://baseball-data.com/player/g/%E6%B3%89%E5%8F%A3%E3%80%80%E5%8F%8B%E6%B1%B0" TargetMode="External" /><Relationship Id="rId119" Type="http://schemas.openxmlformats.org/officeDocument/2006/relationships/hyperlink" Target="https://baseball-data.com/player/g/%E5%B2%B8%E7%94%B0%E3%80%80%E8%A1%8C%E5%80%AB" TargetMode="External" /><Relationship Id="rId270" Type="http://schemas.openxmlformats.org/officeDocument/2006/relationships/hyperlink" Target="https://baseball-data.com/player/bs/%E5%A0%80%E3%80%80%E6%9F%8A%E9%82%A3" TargetMode="External" /><Relationship Id="rId291" Type="http://schemas.openxmlformats.org/officeDocument/2006/relationships/hyperlink" Target="https://baseball-data.com/player/yb/%E6%9F%B4%E7%94%B0%E3%80%80%E7%AB%9C%E6%8B%93" TargetMode="External" /><Relationship Id="rId305" Type="http://schemas.openxmlformats.org/officeDocument/2006/relationships/hyperlink" Target="https://baseball-data.com/player/m/%E6%AB%BB%E4%BA%95%E3%80%80%E3%83%A6%E3%82%A6%E3%83%A4" TargetMode="External" /><Relationship Id="rId326" Type="http://schemas.openxmlformats.org/officeDocument/2006/relationships/hyperlink" Target="https://baseball-data.com/player/d/%E5%B7%9D%E8%B6%8A%E3%80%80%E8%AA%A0%E5%8F%B8" TargetMode="External" /><Relationship Id="rId347" Type="http://schemas.openxmlformats.org/officeDocument/2006/relationships/hyperlink" Target="https://baseball-data.com/player/t/%E8%B0%B7%E7%AB%AF%E3%80%80%E5%B0%86%E4%BC%8D" TargetMode="External" /><Relationship Id="rId44" Type="http://schemas.openxmlformats.org/officeDocument/2006/relationships/hyperlink" Target="https://baseball-data.com/player/m/%E5%B1%B1%E5%8F%A3%E3%80%80%E8%88%AA%E8%BC%9D" TargetMode="External" /><Relationship Id="rId65" Type="http://schemas.openxmlformats.org/officeDocument/2006/relationships/hyperlink" Target="https://baseball-data.com/player/g/%E3%82%AD%E3%83%A3%E3%83%99%E3%83%83%E3%82%B8" TargetMode="External" /><Relationship Id="rId86" Type="http://schemas.openxmlformats.org/officeDocument/2006/relationships/hyperlink" Target="https://baseball-data.com/player/h/%E5%BA%84%E5%AD%90%E3%80%80%E9%9B%84%E5%A4%A7" TargetMode="External" /><Relationship Id="rId130" Type="http://schemas.openxmlformats.org/officeDocument/2006/relationships/hyperlink" Target="https://baseball-data.com/player/h/%E4%BB%8A%E5%AE%AE%E3%80%80%E5%81%A5%E5%A4%AA" TargetMode="External" /><Relationship Id="rId151" Type="http://schemas.openxmlformats.org/officeDocument/2006/relationships/hyperlink" Target="https://baseball-data.com/player/m/%E3%83%9D%E3%83%A9%E3%83%B3%E3%82%B3" TargetMode="External" /><Relationship Id="rId172" Type="http://schemas.openxmlformats.org/officeDocument/2006/relationships/hyperlink" Target="https://baseball-data.com/player/s/%E6%9D%BE%E4%B8%8B%E3%80%80%E6%AD%A9%E5%8F%B6" TargetMode="External" /><Relationship Id="rId193" Type="http://schemas.openxmlformats.org/officeDocument/2006/relationships/hyperlink" Target="https://baseball-data.com/player/t/%E6%A2%85%E9%87%8E%E3%80%80%E9%9A%86%E5%A4%AA%E9%83%8E" TargetMode="External" /><Relationship Id="rId207" Type="http://schemas.openxmlformats.org/officeDocument/2006/relationships/hyperlink" Target="https://baseball-data.com/player/g/%E9%96%80%E8%84%87%E3%80%80%E8%AA%A0" TargetMode="External" /><Relationship Id="rId228" Type="http://schemas.openxmlformats.org/officeDocument/2006/relationships/hyperlink" Target="https://baseball-data.com/player/bs/%E5%A4%A7%E5%9F%8E%E3%80%80%E6%BB%89%E4%BA%8C" TargetMode="External" /><Relationship Id="rId249" Type="http://schemas.openxmlformats.org/officeDocument/2006/relationships/hyperlink" Target="https://baseball-data.com/player/h/%E7%AC%B9%E5%B7%9D%E3%80%80%E5%90%89%E5%BA%B7" TargetMode="External" /><Relationship Id="rId13" Type="http://schemas.openxmlformats.org/officeDocument/2006/relationships/hyperlink" Target="https://baseball-data.com/player/h/%E5%91%A8%E6%9D%B1%E3%80%80%E4%BD%91%E4%BA%AC" TargetMode="External" /><Relationship Id="rId109" Type="http://schemas.openxmlformats.org/officeDocument/2006/relationships/hyperlink" Target="https://baseball-data.com/player/l/%E5%8F%A4%E8%B3%80%E3%80%80%E6%82%A0%E6%96%97" TargetMode="External" /><Relationship Id="rId260" Type="http://schemas.openxmlformats.org/officeDocument/2006/relationships/hyperlink" Target="https://baseball-data.com/player/s/%E3%82%BB%E3%83%87%E3%83%BC%E3%83%8B%E3%83%A7" TargetMode="External" /><Relationship Id="rId281" Type="http://schemas.openxmlformats.org/officeDocument/2006/relationships/hyperlink" Target="https://baseball-data.com/player/g/%E7%9A%86%E5%B7%9D%E3%80%80%E5%B2%B3%E9%A3%9B" TargetMode="External" /><Relationship Id="rId316" Type="http://schemas.openxmlformats.org/officeDocument/2006/relationships/hyperlink" Target="https://baseball-data.com/player/yb/%E4%B9%9D%E9%AC%BC%E3%80%80%E9%9A%86%E5%B9%B3" TargetMode="External" /><Relationship Id="rId337" Type="http://schemas.openxmlformats.org/officeDocument/2006/relationships/hyperlink" Target="https://baseball-data.com/player/c/%E6%B8%85%E6%B0%B4%E3%80%80%E5%8F%B6%E4%BA%BA" TargetMode="External" /><Relationship Id="rId34" Type="http://schemas.openxmlformats.org/officeDocument/2006/relationships/hyperlink" Target="https://baseball-data.com/player/g/%E6%B5%A6%E7%94%B0%E3%80%80%E4%BF%8A%E8%BC%94" TargetMode="External" /><Relationship Id="rId55" Type="http://schemas.openxmlformats.org/officeDocument/2006/relationships/hyperlink" Target="https://baseball-data.com/player/d/%E7%9F%B3%E4%BC%8A%E3%80%80%E9%9B%84%E5%A4%AA" TargetMode="External" /><Relationship Id="rId76" Type="http://schemas.openxmlformats.org/officeDocument/2006/relationships/hyperlink" Target="https://baseball-data.com/player/s/%E5%8F%A4%E8%B3%80%E3%80%80%E5%84%AA%E5%A4%A7" TargetMode="External" /><Relationship Id="rId97" Type="http://schemas.openxmlformats.org/officeDocument/2006/relationships/hyperlink" Target="https://baseball-data.com/player/d/%E3%83%9C%E3%82%B9%E3%83%A9%E3%83%BC" TargetMode="External" /><Relationship Id="rId120" Type="http://schemas.openxmlformats.org/officeDocument/2006/relationships/hyperlink" Target="https://baseball-data.com/player/l/%E5%B2%B8%E3%80%80%E6%BD%A4%E4%B8%80%E9%83%8E" TargetMode="External" /><Relationship Id="rId141" Type="http://schemas.openxmlformats.org/officeDocument/2006/relationships/hyperlink" Target="https://baseball-data.com/player/g/%E4%B8%AD%E5%B1%B1%E3%80%80%E7%A4%BC%E9%83%BD" TargetMode="External" /><Relationship Id="rId358" Type="http://schemas.openxmlformats.org/officeDocument/2006/relationships/hyperlink" Target="https://baseball-data.com/player/yb/%E9%AB%98%E8%A6%8B%E6%BE%A4%E3%80%80%E9%83%81%E9%AD%85" TargetMode="External" /><Relationship Id="rId7" Type="http://schemas.openxmlformats.org/officeDocument/2006/relationships/hyperlink" Target="https://baseball-data.com/player/t/%E5%A4%A7%E5%B1%B1%E3%80%80%E6%82%A0%E8%BC%94" TargetMode="External" /><Relationship Id="rId162" Type="http://schemas.openxmlformats.org/officeDocument/2006/relationships/hyperlink" Target="https://baseball-data.com/player/g/%E7%9F%B3%E5%A1%9A%E3%80%80%E8%A3%95%E6%83%BA" TargetMode="External" /><Relationship Id="rId183" Type="http://schemas.openxmlformats.org/officeDocument/2006/relationships/hyperlink" Target="https://baseball-data.com/player/l/%E5%A4%96%E5%B4%8E%E3%80%80%E4%BF%AE%E6%B1%B0" TargetMode="External" /><Relationship Id="rId218" Type="http://schemas.openxmlformats.org/officeDocument/2006/relationships/hyperlink" Target="https://baseball-data.com/player/bs/%E5%BB%A3%E5%B2%A1%E3%80%80%E5%A4%A7%E5%BF%97" TargetMode="External" /><Relationship Id="rId239" Type="http://schemas.openxmlformats.org/officeDocument/2006/relationships/hyperlink" Target="https://baseball-data.com/player/h/%E6%B8%A1%E9%82%89%E3%80%80%E9%99%B8" TargetMode="External" /><Relationship Id="rId250" Type="http://schemas.openxmlformats.org/officeDocument/2006/relationships/hyperlink" Target="https://baseball-data.com/player/t/%E3%82%AC%E3%83%AB%E3%82%B7%E3%82%A2" TargetMode="External" /><Relationship Id="rId271" Type="http://schemas.openxmlformats.org/officeDocument/2006/relationships/hyperlink" Target="https://baseball-data.com/player/t/%E4%B8%AD%E5%B7%9D%E3%80%80%E5%8B%87%E6%96%97" TargetMode="External" /><Relationship Id="rId292" Type="http://schemas.openxmlformats.org/officeDocument/2006/relationships/hyperlink" Target="https://baseball-data.com/player/g/%E5%B0%8F%E6%9E%97%E3%80%80%E8%AA%A0%E5%8F%B8" TargetMode="External" /><Relationship Id="rId306" Type="http://schemas.openxmlformats.org/officeDocument/2006/relationships/hyperlink" Target="https://baseball-data.com/player/c/%E7%94%B0%E6%9D%91%E3%80%80%E4%BF%8A%E4%BB%8B" TargetMode="External" /><Relationship Id="rId24" Type="http://schemas.openxmlformats.org/officeDocument/2006/relationships/hyperlink" Target="https://baseball-data.com/player/yb/%E4%BD%90%E9%87%8E%E3%80%80%E6%81%B5%E5%A4%AA" TargetMode="External" /><Relationship Id="rId45" Type="http://schemas.openxmlformats.org/officeDocument/2006/relationships/hyperlink" Target="https://baseball-data.com/player/s/%E5%A2%97%E7%94%B0%E3%80%80%E7%8F%A0" TargetMode="External" /><Relationship Id="rId66" Type="http://schemas.openxmlformats.org/officeDocument/2006/relationships/hyperlink" Target="https://baseball-data.com/player/l/%E5%B0%8F%E5%B3%B6%E3%80%80%E5%A4%A7%E6%B2%B3" TargetMode="External" /><Relationship Id="rId87" Type="http://schemas.openxmlformats.org/officeDocument/2006/relationships/hyperlink" Target="https://baseball-data.com/player/yb/%E6%9D%BE%E5%B0%BE%E3%80%80%E6%B1%90%E6%81%A9" TargetMode="External" /><Relationship Id="rId110" Type="http://schemas.openxmlformats.org/officeDocument/2006/relationships/hyperlink" Target="https://baseball-data.com/player/m/%E5%AE%89%E7%94%B0%E3%80%80%E5%B0%9A%E6%86%B2" TargetMode="External" /><Relationship Id="rId131" Type="http://schemas.openxmlformats.org/officeDocument/2006/relationships/hyperlink" Target="https://baseball-data.com/player/g/%E5%A2%97%E7%94%B0%E3%80%80%E9%99%B8" TargetMode="External" /><Relationship Id="rId327" Type="http://schemas.openxmlformats.org/officeDocument/2006/relationships/hyperlink" Target="https://baseball-data.com/player/s/%E3%83%A2%E3%82%A4%E3%82%BB%E3%82%A8%E3%83%95%E3%80%80%E3%83%8B%E3%82%AD%E3%83%BC%E3%82%BF" TargetMode="External" /><Relationship Id="rId348" Type="http://schemas.openxmlformats.org/officeDocument/2006/relationships/hyperlink" Target="https://baseball-data.com/player/l/%E9%AB%99%E6%9D%BE%E3%80%80%E6%B8%A1" TargetMode="External" /><Relationship Id="rId152" Type="http://schemas.openxmlformats.org/officeDocument/2006/relationships/hyperlink" Target="https://baseball-data.com/player/yb/%E3%83%92%E3%83%A5%E3%83%B3%E3%83%A1%E3%83%AB" TargetMode="External" /><Relationship Id="rId173" Type="http://schemas.openxmlformats.org/officeDocument/2006/relationships/hyperlink" Target="https://baseball-data.com/player/s/%E8%A5%BF%E6%9D%91%E3%80%80%E7%91%A0%E4%BC%8A%E6%96%97" TargetMode="External" /><Relationship Id="rId194" Type="http://schemas.openxmlformats.org/officeDocument/2006/relationships/hyperlink" Target="https://baseball-data.com/player/s/%E4%B8%A6%E6%9C%A8%E3%80%80%E7%A7%80%E5%B0%8A" TargetMode="External" /><Relationship Id="rId208" Type="http://schemas.openxmlformats.org/officeDocument/2006/relationships/hyperlink" Target="https://baseball-data.com/player/c/%E4%BA%8C%E4%BF%A3%E3%80%80%E7%BF%94%E4%B8%80" TargetMode="External" /><Relationship Id="rId229" Type="http://schemas.openxmlformats.org/officeDocument/2006/relationships/hyperlink" Target="https://baseball-data.com/player/s/%E6%BE%A4%E4%BA%95%E3%80%80%E5%BB%89" TargetMode="External" /><Relationship Id="rId240" Type="http://schemas.openxmlformats.org/officeDocument/2006/relationships/hyperlink" Target="https://baseball-data.com/player/g/%E3%83%AA%E3%83%81%E3%83%A3%E3%83%BC%E3%83%89" TargetMode="External" /><Relationship Id="rId261" Type="http://schemas.openxmlformats.org/officeDocument/2006/relationships/hyperlink" Target="https://baseball-data.com/player/g/%E6%B5%85%E9%87%8E%E3%80%80%E7%BF%94%E5%90%BE" TargetMode="External" /><Relationship Id="rId14" Type="http://schemas.openxmlformats.org/officeDocument/2006/relationships/hyperlink" Target="https://baseball-data.com/player/g/%E3%83%80%E3%83%AB%E3%83%99%E3%83%83%E3%82%AF" TargetMode="External" /><Relationship Id="rId35" Type="http://schemas.openxmlformats.org/officeDocument/2006/relationships/hyperlink" Target="https://baseball-data.com/player/yb/%E7%89%A7%E3%80%80%E7%A7%80%E6%82%9F" TargetMode="External" /><Relationship Id="rId56" Type="http://schemas.openxmlformats.org/officeDocument/2006/relationships/hyperlink" Target="https://baseball-data.com/player/m/%E5%AF%BA%E5%9C%B0%E3%80%80%E9%9A%86%E6%88%90" TargetMode="External" /><Relationship Id="rId77" Type="http://schemas.openxmlformats.org/officeDocument/2006/relationships/hyperlink" Target="https://baseball-data.com/player/c/%E3%83%A2%E3%83%B3%E3%83%86%E3%83%AD" TargetMode="External" /><Relationship Id="rId100" Type="http://schemas.openxmlformats.org/officeDocument/2006/relationships/hyperlink" Target="https://baseball-data.com/player/e/YG%E5%AE%89%E7%94%B0" TargetMode="External" /><Relationship Id="rId282" Type="http://schemas.openxmlformats.org/officeDocument/2006/relationships/hyperlink" Target="https://baseball-data.com/player/c/%E6%9E%97%E3%80%80%E6%99%83%E6%B1%B0" TargetMode="External" /><Relationship Id="rId317" Type="http://schemas.openxmlformats.org/officeDocument/2006/relationships/hyperlink" Target="https://baseball-data.com/player/l/%E8%8C%B6%E9%87%8E%E3%80%80%E7%AF%A4%E6%94%BF" TargetMode="External" /><Relationship Id="rId338" Type="http://schemas.openxmlformats.org/officeDocument/2006/relationships/hyperlink" Target="https://baseball-data.com/player/m/%E5%B2%A1%E6%9D%91%E3%80%80%E4%BA%86%E6%A8%B9" TargetMode="External" /><Relationship Id="rId359" Type="http://schemas.openxmlformats.org/officeDocument/2006/relationships/hyperlink" Target="https://baseball-data.com/player/yb/%E7%9B%8A%E5%AD%90%E3%80%80%E4%BA%AC%E5%8F%B3" TargetMode="External" /><Relationship Id="rId8" Type="http://schemas.openxmlformats.org/officeDocument/2006/relationships/hyperlink" Target="https://baseball-data.com/player/m/%E8%A5%BF%E5%B7%9D%E3%80%80%E5%8F%B2%E7%A4%81" TargetMode="External" /><Relationship Id="rId98" Type="http://schemas.openxmlformats.org/officeDocument/2006/relationships/hyperlink" Target="https://baseball-data.com/player/h/%E6%B5%B7%E9%87%8E%E3%80%80%E9%9A%86%E5%8F%B8" TargetMode="External" /><Relationship Id="rId121" Type="http://schemas.openxmlformats.org/officeDocument/2006/relationships/hyperlink" Target="https://baseball-data.com/player/c/%E7%A7%8B%E5%B1%B1%E3%80%80%E7%BF%94%E5%90%BE" TargetMode="External" /><Relationship Id="rId142" Type="http://schemas.openxmlformats.org/officeDocument/2006/relationships/hyperlink" Target="https://baseball-data.com/player/f/%E5%A4%A7%E5%A1%9A%E3%80%80%E7%91%A0%E6%99%8F" TargetMode="External" /><Relationship Id="rId163" Type="http://schemas.openxmlformats.org/officeDocument/2006/relationships/hyperlink" Target="https://baseball-data.com/player/g/%E5%B9%B3%E5%B1%B1%E3%80%80%E5%8A%9F%E5%A4%AA" TargetMode="External" /><Relationship Id="rId184" Type="http://schemas.openxmlformats.org/officeDocument/2006/relationships/hyperlink" Target="https://baseball-data.com/player/s/%E7%94%B0%E4%B8%AD%E3%80%80%E9%99%BD%E7%BF%94" TargetMode="External" /><Relationship Id="rId219" Type="http://schemas.openxmlformats.org/officeDocument/2006/relationships/hyperlink" Target="https://baseball-data.com/player/s/%E5%B1%B1%E7%94%B0%E3%80%80%E5%93%B2%E4%BA%BA" TargetMode="External" /><Relationship Id="rId230" Type="http://schemas.openxmlformats.org/officeDocument/2006/relationships/hyperlink" Target="https://baseball-data.com/player/m/%E5%B2%A1%E3%80%80%E5%A4%A7%E6%B5%B7" TargetMode="External" /><Relationship Id="rId251" Type="http://schemas.openxmlformats.org/officeDocument/2006/relationships/hyperlink" Target="https://baseball-data.com/player/l/%E4%BB%B2%E4%B8%89%E3%80%80%E5%84%AA%E5%A4%AA" TargetMode="External" /><Relationship Id="rId25" Type="http://schemas.openxmlformats.org/officeDocument/2006/relationships/hyperlink" Target="https://baseball-data.com/player/yb/%E5%BA%A6%E4%BC%9A%E3%80%80%E9%9A%86%E8%BC%9D" TargetMode="External" /><Relationship Id="rId46" Type="http://schemas.openxmlformats.org/officeDocument/2006/relationships/hyperlink" Target="https://baseball-data.com/player/d/%E7%A6%8F%E6%B0%B8%E3%80%80%E8%A3%95%E5%9F%BA" TargetMode="External" /><Relationship Id="rId67" Type="http://schemas.openxmlformats.org/officeDocument/2006/relationships/hyperlink" Target="https://baseball-data.com/player/c/%E3%83%95%E3%82%A1%E3%83%93%E3%82%A2%E3%83%B3" TargetMode="External" /><Relationship Id="rId272" Type="http://schemas.openxmlformats.org/officeDocument/2006/relationships/hyperlink" Target="https://baseball-data.com/player/yb/%E7%A5%9E%E9%87%8C%E3%80%80%E5%92%8C%E6%AF%85" TargetMode="External" /><Relationship Id="rId293" Type="http://schemas.openxmlformats.org/officeDocument/2006/relationships/hyperlink" Target="https://baseball-data.com/player/t/%E3%83%87%E3%82%A3%E3%83%99%E3%82%A4%E3%83%8B%E3%83%BC" TargetMode="External" /><Relationship Id="rId307" Type="http://schemas.openxmlformats.org/officeDocument/2006/relationships/hyperlink" Target="https://baseball-data.com/player/yb/%E6%A3%AE%E3%80%80%E6%95%AC%E6%96%97" TargetMode="External" /><Relationship Id="rId328" Type="http://schemas.openxmlformats.org/officeDocument/2006/relationships/hyperlink" Target="https://baseball-data.com/player/h/%E9%AB%99%E6%A9%8B%E3%80%80%E9%9A%86%E6%85%B6" TargetMode="External" /><Relationship Id="rId349" Type="http://schemas.openxmlformats.org/officeDocument/2006/relationships/hyperlink" Target="https://baseball-data.com/player/g/%E5%AE%87%E9%83%BD%E5%AE%AE%E3%80%80%E8%91%B5%E6%98%9F" TargetMode="External" /><Relationship Id="rId88" Type="http://schemas.openxmlformats.org/officeDocument/2006/relationships/hyperlink" Target="https://baseball-data.com/player/c/%E6%8C%81%E4%B8%B8%E3%80%80%E6%B3%B0%E8%BC%9D" TargetMode="External" /><Relationship Id="rId111" Type="http://schemas.openxmlformats.org/officeDocument/2006/relationships/hyperlink" Target="https://baseball-data.com/player/e/%E4%BD%90%E8%97%A4%E3%80%80%E7%9B%B4%E6%A8%B9" TargetMode="External" /><Relationship Id="rId132" Type="http://schemas.openxmlformats.org/officeDocument/2006/relationships/hyperlink" Target="https://baseball-data.com/player/d/%E9%B5%9C%E9%A3%BC%E3%80%80%E8%88%AA%E4%B8%9E" TargetMode="External" /><Relationship Id="rId153" Type="http://schemas.openxmlformats.org/officeDocument/2006/relationships/hyperlink" Target="https://baseball-data.com/player/s/%E4%BC%8A%E8%97%A4%E3%80%80%E7%90%89%E5%81%89" TargetMode="External" /><Relationship Id="rId174" Type="http://schemas.openxmlformats.org/officeDocument/2006/relationships/hyperlink" Target="https://baseball-data.com/player/t/%E5%B0%8F%E5%B9%A1%E3%80%80%E7%AB%9C%E5%B9%B3" TargetMode="External" /><Relationship Id="rId195" Type="http://schemas.openxmlformats.org/officeDocument/2006/relationships/hyperlink" Target="https://baseball-data.com/player/s/%E5%AE%AE%E6%9C%AC%E3%80%80%E4%B8%88" TargetMode="External" /><Relationship Id="rId209" Type="http://schemas.openxmlformats.org/officeDocument/2006/relationships/hyperlink" Target="https://baseball-data.com/player/d/%E6%9C%A8%E4%B8%8B%E3%80%80%E6%8B%93%E5%93%89" TargetMode="External" /><Relationship Id="rId360" Type="http://schemas.openxmlformats.org/officeDocument/2006/relationships/hyperlink" Target="https://baseball-data.com/player/h/%E8%97%A4%E7%94%B0%E3%80%80%E6%82%A0%E5%A4%AA%E9%83%8E" TargetMode="External" /><Relationship Id="rId190" Type="http://schemas.openxmlformats.org/officeDocument/2006/relationships/hyperlink" Target="https://baseball-data.com/player/m/%E6%84%9B%E6%96%97" TargetMode="External" /><Relationship Id="rId204" Type="http://schemas.openxmlformats.org/officeDocument/2006/relationships/hyperlink" Target="https://baseball-data.com/player/yb/%E6%A2%B6%E5%8E%9F%E3%80%80%E6%98%82%E5%B8%8C" TargetMode="External" /><Relationship Id="rId220" Type="http://schemas.openxmlformats.org/officeDocument/2006/relationships/hyperlink" Target="https://baseball-data.com/player/g/%E5%B0%8F%E6%BF%B1%E3%80%80%E4%BD%91%E6%96%97" TargetMode="External" /><Relationship Id="rId225" Type="http://schemas.openxmlformats.org/officeDocument/2006/relationships/hyperlink" Target="https://baseball-data.com/player/l/%E6%9F%98%E6%A4%8D%E3%80%80%E4%B8%96%E9%82%A3" TargetMode="External" /><Relationship Id="rId241" Type="http://schemas.openxmlformats.org/officeDocument/2006/relationships/hyperlink" Target="https://baseball-data.com/player/s/%E8%8C%82%E6%9C%A8%E3%80%80%E6%A0%84%E4%BA%94%E9%83%8E" TargetMode="External" /><Relationship Id="rId246" Type="http://schemas.openxmlformats.org/officeDocument/2006/relationships/hyperlink" Target="https://baseball-data.com/player/bs/%E7%A6%8F%E6%B0%B8%E3%80%80%E5%A5%A8" TargetMode="External" /><Relationship Id="rId267" Type="http://schemas.openxmlformats.org/officeDocument/2006/relationships/hyperlink" Target="https://baseball-data.com/player/c/%E8%BE%B0%E8%A6%8B%E3%80%80%E9%B4%BB%E4%B9%8B%E4%BB%8B" TargetMode="External" /><Relationship Id="rId288" Type="http://schemas.openxmlformats.org/officeDocument/2006/relationships/hyperlink" Target="https://baseball-data.com/player/d/%E8%BE%BB%E6%9C%AC%E3%80%80%E5%80%AB%E5%A4%AA%E9%83%8E" TargetMode="External" /><Relationship Id="rId15" Type="http://schemas.openxmlformats.org/officeDocument/2006/relationships/hyperlink" Target="https://baseball-data.com/player/bs/%E5%AE%97%E3%80%80%E4%BD%91%E7%A3%A8" TargetMode="External" /><Relationship Id="rId36" Type="http://schemas.openxmlformats.org/officeDocument/2006/relationships/hyperlink" Target="https://baseball-data.com/player/l/%E6%BB%9D%E6%BE%A4%E3%80%80%E5%A4%8F%E5%A4%AE" TargetMode="External" /><Relationship Id="rId57" Type="http://schemas.openxmlformats.org/officeDocument/2006/relationships/hyperlink" Target="https://baseball-data.com/player/d/%E7%9F%B3%E5%B7%9D%E3%80%80%E6%98%82%E5%BC%A5" TargetMode="External" /><Relationship Id="rId106" Type="http://schemas.openxmlformats.org/officeDocument/2006/relationships/hyperlink" Target="https://baseball-data.com/player/yb/%E3%82%A8%E3%83%B3%E3%82%AB%E3%83%BC%E3%83%8A%E3%82%B7%E3%82%AA%E3%83%B3" TargetMode="External" /><Relationship Id="rId127" Type="http://schemas.openxmlformats.org/officeDocument/2006/relationships/hyperlink" Target="https://baseball-data.com/player/h/%E5%B7%9D%E7%80%AC%E3%80%80%E6%99%83" TargetMode="External" /><Relationship Id="rId262" Type="http://schemas.openxmlformats.org/officeDocument/2006/relationships/hyperlink" Target="https://baseball-data.com/player/t/%E6%BF%B1%E7%94%B0%E3%80%80%E5%A4%AA%E8%B2%B4" TargetMode="External" /><Relationship Id="rId283" Type="http://schemas.openxmlformats.org/officeDocument/2006/relationships/hyperlink" Target="https://baseball-data.com/player/m/%E8%A7%92%E4%B8%AD%E3%80%80%E5%8B%9D%E4%B9%9F" TargetMode="External" /><Relationship Id="rId313" Type="http://schemas.openxmlformats.org/officeDocument/2006/relationships/hyperlink" Target="https://baseball-data.com/player/f/%E3%82%A8%E3%83%89%E3%83%9D%E3%83%AD%E3%80%80%E3%82%B1%E3%82%A4%E3%83%B3" TargetMode="External" /><Relationship Id="rId318" Type="http://schemas.openxmlformats.org/officeDocument/2006/relationships/hyperlink" Target="https://baseball-data.com/player/bs/%E7%9F%B3%E5%B7%9D%E3%80%80%E4%BA%AE" TargetMode="External" /><Relationship Id="rId339" Type="http://schemas.openxmlformats.org/officeDocument/2006/relationships/hyperlink" Target="https://baseball-data.com/player/f/%E4%B8%AD%E5%B3%B6%E3%80%80%E5%8D%93%E4%B9%9F" TargetMode="External" /><Relationship Id="rId10" Type="http://schemas.openxmlformats.org/officeDocument/2006/relationships/hyperlink" Target="https://baseball-data.com/player/c/%E5%9D%82%E5%80%89%E3%80%80%E5%B0%86%E5%90%BE" TargetMode="External" /><Relationship Id="rId31" Type="http://schemas.openxmlformats.org/officeDocument/2006/relationships/hyperlink" Target="https://baseball-data.com/player/h/%E6%9F%B3%E7%94%B0%E3%80%80%E6%82%A0%E5%B2%90" TargetMode="External" /><Relationship Id="rId52" Type="http://schemas.openxmlformats.org/officeDocument/2006/relationships/hyperlink" Target="https://baseball-data.com/player/e/%E3%83%9E%E3%83%83%E3%82%AB%E3%82%B9%E3%82%AB%E3%83%BC" TargetMode="External" /><Relationship Id="rId73" Type="http://schemas.openxmlformats.org/officeDocument/2006/relationships/hyperlink" Target="https://baseball-data.com/player/s/%E5%86%85%E5%B1%B1%E3%80%80%E5%A3%AE%E7%9C%9F" TargetMode="External" /><Relationship Id="rId78" Type="http://schemas.openxmlformats.org/officeDocument/2006/relationships/hyperlink" Target="https://baseball-data.com/player/e/%E6%B5%85%E6%9D%91%E3%80%80%E6%A0%84%E6%96%97" TargetMode="External" /><Relationship Id="rId94" Type="http://schemas.openxmlformats.org/officeDocument/2006/relationships/hyperlink" Target="https://baseball-data.com/player/s/%E3%82%AA%E3%82%B9%E3%83%8A" TargetMode="External" /><Relationship Id="rId99" Type="http://schemas.openxmlformats.org/officeDocument/2006/relationships/hyperlink" Target="https://baseball-data.com/player/e/%E5%B9%B3%E8%89%AF%E3%80%80%E7%AB%9C%E5%93%89" TargetMode="External" /><Relationship Id="rId101" Type="http://schemas.openxmlformats.org/officeDocument/2006/relationships/hyperlink" Target="https://baseball-data.com/player/l/%E6%9E%97%E3%80%80%E5%AE%89%E5%8F%AF" TargetMode="External" /><Relationship Id="rId122" Type="http://schemas.openxmlformats.org/officeDocument/2006/relationships/hyperlink" Target="https://baseball-data.com/player/yb/%E6%9E%97%E3%80%80%E7%90%A2%E7%9C%9F" TargetMode="External" /><Relationship Id="rId143" Type="http://schemas.openxmlformats.org/officeDocument/2006/relationships/hyperlink" Target="https://baseball-data.com/player/c/%E7%9F%B3%E5%8E%9F%E3%80%80%E8%B2%B4%E8%A6%8F" TargetMode="External" /><Relationship Id="rId148" Type="http://schemas.openxmlformats.org/officeDocument/2006/relationships/hyperlink" Target="https://baseball-data.com/player/s/%E9%88%B4%E6%9C%A8%E3%80%80%E5%8F%B6" TargetMode="External" /><Relationship Id="rId164" Type="http://schemas.openxmlformats.org/officeDocument/2006/relationships/hyperlink" Target="https://baseball-data.com/player/f/%E4%BA%94%E5%8D%81%E5%B9%A1%E3%80%80%E4%BA%AE%E6%B1%B0" TargetMode="External" /><Relationship Id="rId169" Type="http://schemas.openxmlformats.org/officeDocument/2006/relationships/hyperlink" Target="https://baseball-data.com/player/f/%E7%9F%A2%E6%BE%A4%E3%80%80%E5%AE%8F%E5%A4%AA" TargetMode="External" /><Relationship Id="rId185" Type="http://schemas.openxmlformats.org/officeDocument/2006/relationships/hyperlink" Target="https://baseball-data.com/player/h/%E5%BB%A3%E7%80%A8%E3%80%80%E9%9A%86%E5%A4%AA" TargetMode="External" /><Relationship Id="rId334" Type="http://schemas.openxmlformats.org/officeDocument/2006/relationships/hyperlink" Target="https://baseball-data.com/player/d/%E5%91%B3%E8%B0%B7%E3%80%80%E5%A4%A7%E8%AA%A0" TargetMode="External" /><Relationship Id="rId350" Type="http://schemas.openxmlformats.org/officeDocument/2006/relationships/hyperlink" Target="https://baseball-data.com/player/g/%E6%B9%AF%E6%B5%85%E3%80%80%E5%A4%A7" TargetMode="External" /><Relationship Id="rId355" Type="http://schemas.openxmlformats.org/officeDocument/2006/relationships/hyperlink" Target="https://baseball-data.com/player/bs/%E7%AA%AA%E7%94%B0%E3%80%80%E6%B4%8B%E7%A5%90" TargetMode="External" /><Relationship Id="rId4" Type="http://schemas.openxmlformats.org/officeDocument/2006/relationships/hyperlink" Target="https://baseball-data.com/player/bs/%E8%A5%BF%E5%B7%9D%E3%80%80%E9%BE%8D%E9%A6%AC" TargetMode="External" /><Relationship Id="rId9" Type="http://schemas.openxmlformats.org/officeDocument/2006/relationships/hyperlink" Target="https://baseball-data.com/player/t/%E4%B8%AD%E9%87%8E%E3%80%80%E6%8B%93%E5%A4%A2" TargetMode="External" /><Relationship Id="rId180" Type="http://schemas.openxmlformats.org/officeDocument/2006/relationships/hyperlink" Target="https://baseball-data.com/player/g/%E7%AC%B9%E5%8E%9F%E3%80%80%E6%93%8D%E5%B8%8C" TargetMode="External" /><Relationship Id="rId210" Type="http://schemas.openxmlformats.org/officeDocument/2006/relationships/hyperlink" Target="https://baseball-data.com/player/d/%E3%82%AB%E3%83%AA%E3%82%B9%E3%83%86" TargetMode="External" /><Relationship Id="rId215" Type="http://schemas.openxmlformats.org/officeDocument/2006/relationships/hyperlink" Target="https://baseball-data.com/player/s/%E7%9F%B3%E4%BA%95%E3%80%80%E5%B7%A7" TargetMode="External" /><Relationship Id="rId236" Type="http://schemas.openxmlformats.org/officeDocument/2006/relationships/hyperlink" Target="https://baseball-data.com/player/m/%E5%AE%AE%E5%B4%8E%E3%80%80%E7%AB%9C%E6%88%90" TargetMode="External" /><Relationship Id="rId257" Type="http://schemas.openxmlformats.org/officeDocument/2006/relationships/hyperlink" Target="https://baseball-data.com/player/g/%E8%8B%A5%E6%9E%97%E3%80%80%E6%A5%BD%E4%BA%BA" TargetMode="External" /><Relationship Id="rId278" Type="http://schemas.openxmlformats.org/officeDocument/2006/relationships/hyperlink" Target="https://baseball-data.com/player/yb/%E9%96%A2%E6%A0%B9%E3%80%80%E5%A4%A7%E6%B0%97" TargetMode="External" /><Relationship Id="rId26" Type="http://schemas.openxmlformats.org/officeDocument/2006/relationships/hyperlink" Target="https://baseball-data.com/player/l/%E6%B8%A1%E9%83%A8%E3%80%80%E8%81%96%E5%BC%A5" TargetMode="External" /><Relationship Id="rId231" Type="http://schemas.openxmlformats.org/officeDocument/2006/relationships/hyperlink" Target="https://baseball-data.com/player/f/%E4%BB%8A%E5%B7%9D%E3%80%80%E5%84%AA%E9%A6%AC" TargetMode="External" /><Relationship Id="rId252" Type="http://schemas.openxmlformats.org/officeDocument/2006/relationships/hyperlink" Target="https://baseball-data.com/player/t/%E5%B2%A1%E5%9F%8E%E3%80%80%E5%BF%AB%E7%94%9F" TargetMode="External" /><Relationship Id="rId273" Type="http://schemas.openxmlformats.org/officeDocument/2006/relationships/hyperlink" Target="https://baseball-data.com/player/bs/%E6%A8%AA%E5%B1%B1%E3%80%80%E8%81%96%E5%93%89" TargetMode="External" /><Relationship Id="rId294" Type="http://schemas.openxmlformats.org/officeDocument/2006/relationships/hyperlink" Target="https://baseball-data.com/player/d/%E3%83%96%E3%83%A9%E3%82%A4%E3%83%88%E3%80%80%E5%81%A5%E5%A4%AA" TargetMode="External" /><Relationship Id="rId308" Type="http://schemas.openxmlformats.org/officeDocument/2006/relationships/hyperlink" Target="https://baseball-data.com/player/yb/%E5%B0%8F%E7%94%B0%E3%80%80%E5%BA%B7%E4%B8%80%E9%83%8E" TargetMode="External" /><Relationship Id="rId329" Type="http://schemas.openxmlformats.org/officeDocument/2006/relationships/hyperlink" Target="https://baseball-data.com/player/m/%E7%AB%8B%E6%9D%BE%E3%80%80%E7%94%B1%E5%AE%87" TargetMode="External" /><Relationship Id="rId47" Type="http://schemas.openxmlformats.org/officeDocument/2006/relationships/hyperlink" Target="https://baseball-data.com/player/bs/%E4%B8%AD%E5%B7%9D%E3%80%80%E5%9C%AD%E5%A4%AA" TargetMode="External" /><Relationship Id="rId68" Type="http://schemas.openxmlformats.org/officeDocument/2006/relationships/hyperlink" Target="https://baseball-data.com/player/d/%E3%82%B5%E3%83%8E%E3%83%BC" TargetMode="External" /><Relationship Id="rId89" Type="http://schemas.openxmlformats.org/officeDocument/2006/relationships/hyperlink" Target="https://baseball-data.com/player/c/%E5%8B%9D%E7%94%B0%E3%80%80%E6%88%90" TargetMode="External" /><Relationship Id="rId112" Type="http://schemas.openxmlformats.org/officeDocument/2006/relationships/hyperlink" Target="https://baseball-data.com/player/yb/%E5%AE%AE%E4%B8%8B%E3%80%80%E6%9C%9D%E9%99%BD" TargetMode="External" /><Relationship Id="rId133" Type="http://schemas.openxmlformats.org/officeDocument/2006/relationships/hyperlink" Target="https://baseball-data.com/player/g/%E5%9D%82%E6%9C%AC%E3%80%80%E5%8B%87%E4%BA%BA" TargetMode="External" /><Relationship Id="rId154" Type="http://schemas.openxmlformats.org/officeDocument/2006/relationships/hyperlink" Target="https://baseball-data.com/player/g/%E4%B8%B8%E3%80%80%E4%BD%B3%E6%B5%A9" TargetMode="External" /><Relationship Id="rId175" Type="http://schemas.openxmlformats.org/officeDocument/2006/relationships/hyperlink" Target="https://baseball-data.com/player/yb/%E6%88%B8%E6%9F%B1%E3%80%80%E6%81%AD%E5%AD%9D" TargetMode="External" /><Relationship Id="rId340" Type="http://schemas.openxmlformats.org/officeDocument/2006/relationships/hyperlink" Target="https://baseball-data.com/player/l/%E5%85%90%E7%8E%89%E3%80%80%E4%BA%AE%E6%B6%BC" TargetMode="External" /><Relationship Id="rId196" Type="http://schemas.openxmlformats.org/officeDocument/2006/relationships/hyperlink" Target="https://baseball-data.com/player/d/%E5%B1%B1%E6%9C%AC%E3%80%80%E6%B3%B0%E5%AF%9B" TargetMode="External" /><Relationship Id="rId200" Type="http://schemas.openxmlformats.org/officeDocument/2006/relationships/hyperlink" Target="https://baseball-data.com/player/f/%E8%A5%BF%E5%B7%9D%E3%80%80%E9%81%A5%E8%BC%9D" TargetMode="External" /><Relationship Id="rId16" Type="http://schemas.openxmlformats.org/officeDocument/2006/relationships/hyperlink" Target="https://baseball-data.com/player/c/%E8%8F%8A%E6%B1%A0%E3%80%80%E6%B6%BC%E4%BB%8B" TargetMode="External" /><Relationship Id="rId221" Type="http://schemas.openxmlformats.org/officeDocument/2006/relationships/hyperlink" Target="https://baseball-data.com/player/c/%E7%9F%A2%E9%87%8E%E3%80%80%E9%9B%85%E5%93%89" TargetMode="External" /><Relationship Id="rId242" Type="http://schemas.openxmlformats.org/officeDocument/2006/relationships/hyperlink" Target="https://baseball-data.com/player/bs/%E5%B9%B3%E6%B2%BC%E3%80%80%E7%BF%94%E5%A4%AA" TargetMode="External" /><Relationship Id="rId263" Type="http://schemas.openxmlformats.org/officeDocument/2006/relationships/hyperlink" Target="https://baseball-data.com/player/bs/%E6%B1%A0%E7%94%B0%E3%80%80%E9%99%B5%E7%9C%9F" TargetMode="External" /><Relationship Id="rId284" Type="http://schemas.openxmlformats.org/officeDocument/2006/relationships/hyperlink" Target="https://baseball-data.com/player/g/%E5%B1%B1%E7%80%AC%E3%80%80%E6%85%8E%E4%B9%8B%E5%8A%A9" TargetMode="External" /><Relationship Id="rId319" Type="http://schemas.openxmlformats.org/officeDocument/2006/relationships/hyperlink" Target="https://baseball-data.com/player/e/%E3%82%B4%E3%83%B3%E3%82%B6%E3%83%AC%E3%82%B9" TargetMode="External" /><Relationship Id="rId37" Type="http://schemas.openxmlformats.org/officeDocument/2006/relationships/hyperlink" Target="https://baseball-data.com/player/e/%E4%B8%AD%E5%B3%B6%E3%80%80%E5%A4%A7%E8%BC%94" TargetMode="External" /><Relationship Id="rId58" Type="http://schemas.openxmlformats.org/officeDocument/2006/relationships/hyperlink" Target="https://baseball-data.com/player/t/%E9%AB%99%E5%AF%BA%E3%80%80%E6%9C%9B%E5%A4%A2" TargetMode="External" /><Relationship Id="rId79" Type="http://schemas.openxmlformats.org/officeDocument/2006/relationships/hyperlink" Target="https://baseball-data.com/player/s/%E8%B5%A4%E7%BE%BD%E3%80%80%E7%94%B1%E7%B4%98" TargetMode="External" /><Relationship Id="rId102" Type="http://schemas.openxmlformats.org/officeDocument/2006/relationships/hyperlink" Target="https://baseball-data.com/player/l/%E7%9F%B3%E4%BA%95%E3%80%80%E4%B8%80%E6%88%90" TargetMode="External" /><Relationship Id="rId123" Type="http://schemas.openxmlformats.org/officeDocument/2006/relationships/hyperlink" Target="https://baseball-data.com/player/c/%E4%B8%AD%E6%9D%91%E3%80%80%E5%A5%A8%E6%88%90" TargetMode="External" /><Relationship Id="rId144" Type="http://schemas.openxmlformats.org/officeDocument/2006/relationships/hyperlink" Target="https://baseball-data.com/player/t/%E7%A6%8F%E5%B3%B6%E3%80%80%E5%9C%AD%E9%9F%B3" TargetMode="External" /><Relationship Id="rId330" Type="http://schemas.openxmlformats.org/officeDocument/2006/relationships/hyperlink" Target="https://baseball-data.com/player/m/%E7%9F%B3%E5%9E%A3%E3%80%80%E5%8B%9D%E6%B5%B7" TargetMode="External" /><Relationship Id="rId90" Type="http://schemas.openxmlformats.org/officeDocument/2006/relationships/hyperlink" Target="https://baseball-data.com/player/s/%E6%AD%A6%E5%B2%A1%E3%80%80%E9%BE%8D%E4%B8%96" TargetMode="External" /><Relationship Id="rId165" Type="http://schemas.openxmlformats.org/officeDocument/2006/relationships/hyperlink" Target="https://baseball-data.com/player/yb/%E4%BA%AC%E7%94%B0%E3%80%80%E9%99%BD%E5%A4%AA" TargetMode="External" /><Relationship Id="rId186" Type="http://schemas.openxmlformats.org/officeDocument/2006/relationships/hyperlink" Target="https://baseball-data.com/player/l/%E8%9B%AD%E9%96%93%E3%80%80%E6%8B%93%E5%93%89" TargetMode="External" /><Relationship Id="rId351" Type="http://schemas.openxmlformats.org/officeDocument/2006/relationships/hyperlink" Target="https://baseball-data.com/player/t/%E4%BA%95%E5%9D%AA%E3%80%80%E9%99%BD%E7%94%9F" TargetMode="External" /><Relationship Id="rId211" Type="http://schemas.openxmlformats.org/officeDocument/2006/relationships/hyperlink" Target="https://baseball-data.com/player/h/%E8%B0%B7%E5%B7%9D%E5%8E%9F%E3%80%80%E5%81%A5%E5%A4%AA" TargetMode="External" /><Relationship Id="rId232" Type="http://schemas.openxmlformats.org/officeDocument/2006/relationships/hyperlink" Target="https://baseball-data.com/player/bs/%E5%AE%9C%E4%BF%9D%E3%80%80%E7%BF%94" TargetMode="External" /><Relationship Id="rId253" Type="http://schemas.openxmlformats.org/officeDocument/2006/relationships/hyperlink" Target="https://baseball-data.com/player/l/%E4%BB%B2%E7%94%B0%E3%80%80%E6%85%B6%E4%BB%8B" TargetMode="External" /><Relationship Id="rId274" Type="http://schemas.openxmlformats.org/officeDocument/2006/relationships/hyperlink" Target="https://baseball-data.com/player/h/%E7%9F%B3%E5%A1%9A%E3%80%80%E7%B6%9C%E4%B8%80%E9%83%8E" TargetMode="External" /><Relationship Id="rId295" Type="http://schemas.openxmlformats.org/officeDocument/2006/relationships/hyperlink" Target="https://baseball-data.com/player/e/%E5%90%89%E7%B4%8D%E3%80%80%E7%BF%BC" TargetMode="External" /><Relationship Id="rId309" Type="http://schemas.openxmlformats.org/officeDocument/2006/relationships/hyperlink" Target="https://baseball-data.com/player/d/%E3%83%AD%E3%83%89%E3%83%AA%E3%82%B2%E3%82%B9" TargetMode="External" /><Relationship Id="rId27" Type="http://schemas.openxmlformats.org/officeDocument/2006/relationships/hyperlink" Target="https://baseball-data.com/player/bs/%E5%A4%AA%E7%94%B0%E3%80%80%E6%A4%8B" TargetMode="External" /><Relationship Id="rId48" Type="http://schemas.openxmlformats.org/officeDocument/2006/relationships/hyperlink" Target="https://baseball-data.com/player/f/%E9%87%8E%E6%9D%91%E3%80%80%E4%BD%91%E5%B8%8C" TargetMode="External" /><Relationship Id="rId69" Type="http://schemas.openxmlformats.org/officeDocument/2006/relationships/hyperlink" Target="https://baseball-data.com/player/yb/%E5%8B%9D%E5%8F%88%E3%80%80%E6%B8%A9%E5%8F%B2" TargetMode="External" /><Relationship Id="rId113" Type="http://schemas.openxmlformats.org/officeDocument/2006/relationships/hyperlink" Target="https://baseball-data.com/player/f/%E3%82%AB%E3%82%B9%E3%83%88%E3%83%AD" TargetMode="External" /><Relationship Id="rId134" Type="http://schemas.openxmlformats.org/officeDocument/2006/relationships/hyperlink" Target="https://baseball-data.com/player/m/%E5%B1%B1%EF%A8%91%E3%80%80%E5%89%9B" TargetMode="External" /><Relationship Id="rId320" Type="http://schemas.openxmlformats.org/officeDocument/2006/relationships/hyperlink" Target="https://baseball-data.com/player/g/%E5%B2%A1%E7%94%B0%E3%80%80%E6%82%A0%E5%B8%8C" TargetMode="External" /><Relationship Id="rId80" Type="http://schemas.openxmlformats.org/officeDocument/2006/relationships/hyperlink" Target="https://baseball-data.com/player/l/%E8%A5%BF%E5%B7%9D%E3%80%80%E6%84%9B%E4%B9%9F" TargetMode="External" /><Relationship Id="rId155" Type="http://schemas.openxmlformats.org/officeDocument/2006/relationships/hyperlink" Target="https://baseball-data.com/player/bs/%E3%82%B7%E3%83%BC%E3%83%A2%E3%82%A2" TargetMode="External" /><Relationship Id="rId176" Type="http://schemas.openxmlformats.org/officeDocument/2006/relationships/hyperlink" Target="https://baseball-data.com/player/c/%E9%87%8E%E9%96%93%E3%80%80%E5%B3%BB%E7%A5%A5" TargetMode="External" /><Relationship Id="rId197" Type="http://schemas.openxmlformats.org/officeDocument/2006/relationships/hyperlink" Target="https://baseball-data.com/player/bs/%E6%9D%89%E6%9C%AC%E3%80%80%E8%A3%95%E5%A4%AA%E9%83%8E" TargetMode="External" /><Relationship Id="rId341" Type="http://schemas.openxmlformats.org/officeDocument/2006/relationships/hyperlink" Target="https://baseball-data.com/player/h/%E3%82%A4%E3%83%92%E3%83%8D%E3%80%80%E3%82%A4%E3%83%84%E3%82%A2" TargetMode="External" /><Relationship Id="rId201" Type="http://schemas.openxmlformats.org/officeDocument/2006/relationships/hyperlink" Target="https://baseball-data.com/player/bs/%E6%9D%89%E6%BE%A4%E3%80%80%E9%BE%8D" TargetMode="External" /><Relationship Id="rId222" Type="http://schemas.openxmlformats.org/officeDocument/2006/relationships/hyperlink" Target="https://baseball-data.com/player/f/%E4%B8%8A%E5%B7%9D%E7%95%91%E3%80%80%E5%A4%A7%E6%82%9F" TargetMode="External" /><Relationship Id="rId243" Type="http://schemas.openxmlformats.org/officeDocument/2006/relationships/hyperlink" Target="https://baseball-data.com/player/s/%E6%9D%BE%E6%9C%AC%E3%80%80%E7%9B%B4%E6%A8%B9" TargetMode="External" /><Relationship Id="rId264" Type="http://schemas.openxmlformats.org/officeDocument/2006/relationships/hyperlink" Target="https://baseball-data.com/player/e/%E5%85%A5%E6%B1%9F%E3%80%80%E5%A4%A7%E6%A8%B9" TargetMode="External" /><Relationship Id="rId285" Type="http://schemas.openxmlformats.org/officeDocument/2006/relationships/hyperlink" Target="https://baseball-data.com/player/g/%E5%A2%97%E7%94%B0%E3%80%80%E5%A4%A7%E8%BC%9D" TargetMode="External" /><Relationship Id="rId17" Type="http://schemas.openxmlformats.org/officeDocument/2006/relationships/hyperlink" Target="https://baseball-data.com/player/e/%E6%9D%91%E6%9E%97%E3%80%80%E4%B8%80%E8%BC%9D" TargetMode="External" /><Relationship Id="rId38" Type="http://schemas.openxmlformats.org/officeDocument/2006/relationships/hyperlink" Target="https://baseball-data.com/player/m/%E8%97%A4%E5%8E%9F%E3%80%80%E6%81%AD%E5%A4%A7" TargetMode="External" /><Relationship Id="rId59" Type="http://schemas.openxmlformats.org/officeDocument/2006/relationships/hyperlink" Target="https://baseball-data.com/player/g/%E4%BD%90%E3%80%85%E6%9C%A8%E3%80%80%E4%BF%8A%E8%BC%94" TargetMode="External" /><Relationship Id="rId103" Type="http://schemas.openxmlformats.org/officeDocument/2006/relationships/hyperlink" Target="https://baseball-data.com/player/d/%E7%94%B0%E4%B8%AD%E3%80%80%E5%B9%B9%E4%B9%9F" TargetMode="External" /><Relationship Id="rId124" Type="http://schemas.openxmlformats.org/officeDocument/2006/relationships/hyperlink" Target="https://baseball-data.com/player/g/%E5%90%89%E5%B7%9D%E3%80%80%E5%B0%9A%E8%BC%9D" TargetMode="External" /><Relationship Id="rId310" Type="http://schemas.openxmlformats.org/officeDocument/2006/relationships/hyperlink" Target="https://baseball-data.com/player/e/%E9%87%91%E5%AD%90%E3%80%80%E4%BA%AC%E4%BB%8B" TargetMode="External" /><Relationship Id="rId70" Type="http://schemas.openxmlformats.org/officeDocument/2006/relationships/hyperlink" Target="https://baseball-data.com/player/bs/%E6%9D%A5%E7%94%B0%E3%80%80%E6%B6%BC%E6%96%97" TargetMode="External" /><Relationship Id="rId91" Type="http://schemas.openxmlformats.org/officeDocument/2006/relationships/hyperlink" Target="https://baseball-data.com/player/f/%E7%94%B0%E5%AE%AE%E3%80%80%E8%A3%95%E6%B6%BC" TargetMode="External" /><Relationship Id="rId145" Type="http://schemas.openxmlformats.org/officeDocument/2006/relationships/hyperlink" Target="https://baseball-data.com/player/m/%E9%AB%99%E9%83%A8%E3%80%80%E7%91%9B%E6%96%97" TargetMode="External" /><Relationship Id="rId166" Type="http://schemas.openxmlformats.org/officeDocument/2006/relationships/hyperlink" Target="https://baseball-data.com/player/t/%E7%AB%8B%E7%9F%B3%E3%80%80%E6%AD%A3%E5%BA%83" TargetMode="External" /><Relationship Id="rId187" Type="http://schemas.openxmlformats.org/officeDocument/2006/relationships/hyperlink" Target="https://baseball-data.com/player/bs/%E9%BA%A6%E8%B0%B7%E3%80%80%E7%A5%90%E4%BB%8B" TargetMode="External" /><Relationship Id="rId331" Type="http://schemas.openxmlformats.org/officeDocument/2006/relationships/hyperlink" Target="https://baseball-data.com/player/e/%E7%94%B0%E4%B8%AD%E3%80%80%E8%B2%B4%E4%B9%9F" TargetMode="External" /><Relationship Id="rId352" Type="http://schemas.openxmlformats.org/officeDocument/2006/relationships/hyperlink" Target="https://baseball-data.com/player/t/%E7%99%BE%EF%A8%91%E3%80%80%E8%92%BC%E7%94%9F" TargetMode="External" /><Relationship Id="rId1" Type="http://schemas.openxmlformats.org/officeDocument/2006/relationships/hyperlink" Target="https://baseball-data.com/player/h/%E6%A0%97%E5%8E%9F%E3%80%80%E9%99%B5%E7%9F%A2" TargetMode="External" /><Relationship Id="rId212" Type="http://schemas.openxmlformats.org/officeDocument/2006/relationships/hyperlink" Target="https://baseball-data.com/player/d/%E4%B8%8A%E6%9E%97%E3%80%80%E8%AA%A0%E7%9F%A5" TargetMode="External" /><Relationship Id="rId233" Type="http://schemas.openxmlformats.org/officeDocument/2006/relationships/hyperlink" Target="https://baseball-data.com/player/yb/%E4%BA%95%E4%B8%8A%E3%80%80%E6%9C%8B%E4%B9%9F" TargetMode="External" /><Relationship Id="rId254" Type="http://schemas.openxmlformats.org/officeDocument/2006/relationships/hyperlink" Target="https://baseball-data.com/player/g/%E3%83%86%E3%82%A3%E3%83%9E" TargetMode="External" /><Relationship Id="rId28" Type="http://schemas.openxmlformats.org/officeDocument/2006/relationships/hyperlink" Target="https://baseball-data.com/player/f/%E6%B8%85%E5%AE%AE%E3%80%80%E5%B9%B8%E5%A4%AA%E9%83%8E" TargetMode="External" /><Relationship Id="rId49" Type="http://schemas.openxmlformats.org/officeDocument/2006/relationships/hyperlink" Target="https://baseball-data.com/player/l/%E3%83%8D%E3%83%93%E3%83%B3" TargetMode="External" /><Relationship Id="rId114" Type="http://schemas.openxmlformats.org/officeDocument/2006/relationships/hyperlink" Target="https://baseball-data.com/player/f/%E6%B0%B4%E8%B0%B7%E3%80%80%E7%9E%AC" TargetMode="External" /><Relationship Id="rId275" Type="http://schemas.openxmlformats.org/officeDocument/2006/relationships/hyperlink" Target="https://baseball-data.com/player/g/%E7%94%B2%E6%96%90%E3%80%80%E6%8B%93%E4%B9%9F" TargetMode="External" /><Relationship Id="rId296" Type="http://schemas.openxmlformats.org/officeDocument/2006/relationships/hyperlink" Target="https://baseball-data.com/player/l/%E6%A0%97%E5%B1%B1%E3%80%80%E5%B7%A7" TargetMode="External" /><Relationship Id="rId300" Type="http://schemas.openxmlformats.org/officeDocument/2006/relationships/hyperlink" Target="https://baseball-data.com/player/s/%E5%8C%97%E6%9D%91%E3%80%80%E6%81%B5%E5%90%BE" TargetMode="External" /><Relationship Id="rId60" Type="http://schemas.openxmlformats.org/officeDocument/2006/relationships/hyperlink" Target="https://baseball-data.com/player/yb/%E8%9D%A6%E5%90%8D%E3%80%80%E9%81%94%E5%A4%AB" TargetMode="External" /><Relationship Id="rId81" Type="http://schemas.openxmlformats.org/officeDocument/2006/relationships/hyperlink" Target="https://baseball-data.com/player/l/%E6%BA%90%E7%94%B0%E3%80%80%E5%A3%AE%E4%BA%AE" TargetMode="External" /><Relationship Id="rId135" Type="http://schemas.openxmlformats.org/officeDocument/2006/relationships/hyperlink" Target="https://baseball-data.com/player/bs/%E9%87%8E%E5%8F%A3%E3%80%80%E6%99%BA%E5%93%89" TargetMode="External" /><Relationship Id="rId156" Type="http://schemas.openxmlformats.org/officeDocument/2006/relationships/hyperlink" Target="https://baseball-data.com/player/d/%E9%98%BF%E9%83%A8%E3%80%80%E5%AF%BF%E6%A8%B9" TargetMode="External" /><Relationship Id="rId177" Type="http://schemas.openxmlformats.org/officeDocument/2006/relationships/hyperlink" Target="https://baseball-data.com/player/m/%E6%9D%BE%E5%B7%9D%E3%80%80%E8%99%8E%E7%94%9F" TargetMode="External" /><Relationship Id="rId198" Type="http://schemas.openxmlformats.org/officeDocument/2006/relationships/hyperlink" Target="https://baseball-data.com/player/d/%E5%8A%A0%E8%97%A4%E3%80%80%E5%8C%A0%E9%A6%AC" TargetMode="External" /><Relationship Id="rId321" Type="http://schemas.openxmlformats.org/officeDocument/2006/relationships/hyperlink" Target="https://baseball-data.com/player/c/%E8%A5%BF%E5%B7%9D%E3%80%80%E7%AF%A4%E5%A4%A2" TargetMode="External" /><Relationship Id="rId342" Type="http://schemas.openxmlformats.org/officeDocument/2006/relationships/hyperlink" Target="https://baseball-data.com/player/d/%E7%9F%A5%E9%87%8E%E3%80%80%E7%9B%B4%E4%BA%BA" TargetMode="External" /><Relationship Id="rId202" Type="http://schemas.openxmlformats.org/officeDocument/2006/relationships/hyperlink" Target="https://baseball-data.com/player/e/%E3%83%9C%E3%82%A4%E3%83%88" TargetMode="External" /><Relationship Id="rId223" Type="http://schemas.openxmlformats.org/officeDocument/2006/relationships/hyperlink" Target="https://baseball-data.com/player/c/%E6%9C%AB%E5%8C%85%E3%80%80%E6%98%87%E5%A4%A7" TargetMode="External" /><Relationship Id="rId244" Type="http://schemas.openxmlformats.org/officeDocument/2006/relationships/hyperlink" Target="https://baseball-data.com/player/f/%E6%B8%85%E6%B0%B4%E3%80%80%E5%84%AA%E5%BF%83" TargetMode="External" /><Relationship Id="rId18" Type="http://schemas.openxmlformats.org/officeDocument/2006/relationships/hyperlink" Target="https://baseball-data.com/player/s/%E9%95%B7%E5%B2%A1%E3%80%80%E7%A7%80%E6%A8%B9" TargetMode="External" /><Relationship Id="rId39" Type="http://schemas.openxmlformats.org/officeDocument/2006/relationships/hyperlink" Target="https://baseball-data.com/player/f/%E4%B8%87%E6%B3%A2%E3%80%80%E4%B8%AD%E6%AD%A3" TargetMode="External" /><Relationship Id="rId265" Type="http://schemas.openxmlformats.org/officeDocument/2006/relationships/hyperlink" Target="https://baseball-data.com/player/l/%E4%BD%90%E8%97%A4%E3%80%80%E5%A4%AA%E9%99%BD" TargetMode="External" /><Relationship Id="rId286" Type="http://schemas.openxmlformats.org/officeDocument/2006/relationships/hyperlink" Target="https://baseball-data.com/player/t/%E5%B0%8F%E9%87%8E%E5%AF%BA%E3%80%80%E6%9A%96" TargetMode="External" /><Relationship Id="rId50" Type="http://schemas.openxmlformats.org/officeDocument/2006/relationships/hyperlink" Target="https://baseball-data.com/player/c/%E4%BD%90%E3%80%85%E6%9C%A8%E3%80%80%E6%B3%B0" TargetMode="External" /><Relationship Id="rId104" Type="http://schemas.openxmlformats.org/officeDocument/2006/relationships/hyperlink" Target="https://baseball-data.com/player/bs/%E6%B8%A1%E9%83%A8%E3%80%80%E9%81%BC%E4%BA%BA" TargetMode="External" /><Relationship Id="rId125" Type="http://schemas.openxmlformats.org/officeDocument/2006/relationships/hyperlink" Target="https://baseball-data.com/player/m/%E4%B8%8A%E7%94%B0%E3%80%80%E5%B8%8C%E7%94%B1%E7%BF%94" TargetMode="External" /><Relationship Id="rId146" Type="http://schemas.openxmlformats.org/officeDocument/2006/relationships/hyperlink" Target="https://baseball-data.com/player/m/%E5%B1%B1%E6%9C%AC%E3%80%80%E5%A4%A7%E6%96%97" TargetMode="External" /><Relationship Id="rId167" Type="http://schemas.openxmlformats.org/officeDocument/2006/relationships/hyperlink" Target="https://baseball-data.com/player/f/%E6%9C%89%E8%96%97%E3%80%80%E7%9B%B4%E8%BC%9D" TargetMode="External" /><Relationship Id="rId188" Type="http://schemas.openxmlformats.org/officeDocument/2006/relationships/hyperlink" Target="https://baseball-data.com/player/m/%E6%B1%A0%E7%94%B0%E3%80%80%E6%9D%A5%E7%BF%94" TargetMode="External" /><Relationship Id="rId311" Type="http://schemas.openxmlformats.org/officeDocument/2006/relationships/hyperlink" Target="https://baseball-data.com/player/d/%E5%B0%BE%E7%94%B0%E3%80%80%E5%89%9B%E6%A8%B9" TargetMode="External" /><Relationship Id="rId332" Type="http://schemas.openxmlformats.org/officeDocument/2006/relationships/hyperlink" Target="https://baseball-data.com/player/s/%E7%9F%A2%E9%87%8E%E3%80%80%E6%B3%B0%E4%BA%8C%E9%83%8E" TargetMode="External" /><Relationship Id="rId353" Type="http://schemas.openxmlformats.org/officeDocument/2006/relationships/hyperlink" Target="https://baseball-data.com/player/s/%E6%9F%BF%E6%B2%BC%E3%80%80%E5%8F%8B%E5%93%89" TargetMode="External" /><Relationship Id="rId71" Type="http://schemas.openxmlformats.org/officeDocument/2006/relationships/hyperlink" Target="https://baseball-data.com/player/bs/%E5%B1%B1%E4%B8%AD%E3%80%80%E7%A8%9C%E7%9C%9F" TargetMode="External" /><Relationship Id="rId92" Type="http://schemas.openxmlformats.org/officeDocument/2006/relationships/hyperlink" Target="https://baseball-data.com/player/e/%E5%A4%AA%E7%94%B0%E3%80%80%E5%85%89" TargetMode="External" /><Relationship Id="rId213" Type="http://schemas.openxmlformats.org/officeDocument/2006/relationships/hyperlink" Target="https://baseball-data.com/player/d/%E5%A4%A7%E5%B3%B6%E3%80%80%E6%B4%8B%E5%B9%B3" TargetMode="External" /><Relationship Id="rId234" Type="http://schemas.openxmlformats.org/officeDocument/2006/relationships/hyperlink" Target="https://baseball-data.com/player/h/%E4%B8%AD%E6%9D%91%E3%80%80%E6%99%83" TargetMode="External" /><Relationship Id="rId2" Type="http://schemas.openxmlformats.org/officeDocument/2006/relationships/hyperlink" Target="https://baseball-data.com/player/t/%E6%A3%AE%E4%B8%8B%E3%80%80%E7%BF%94%E5%A4%AA" TargetMode="External" /><Relationship Id="rId29" Type="http://schemas.openxmlformats.org/officeDocument/2006/relationships/hyperlink" Target="https://baseball-data.com/player/h/%E7%89%A7%E5%8E%9F%E3%80%80%E5%A4%A7%E6%88%90" TargetMode="External" /><Relationship Id="rId255" Type="http://schemas.openxmlformats.org/officeDocument/2006/relationships/hyperlink" Target="https://baseball-data.com/player/yb/%E3%83%93%E3%82%B7%E3%82%A8%E3%83%89" TargetMode="External" /><Relationship Id="rId276" Type="http://schemas.openxmlformats.org/officeDocument/2006/relationships/hyperlink" Target="https://baseball-data.com/player/g/%E9%88%B4%E6%9C%A8%E3%80%80%E5%A4%A7%E5%92%8C" TargetMode="External" /><Relationship Id="rId297" Type="http://schemas.openxmlformats.org/officeDocument/2006/relationships/hyperlink" Target="https://baseball-data.com/player/e/%E3%83%AF%E3%82%A9%E3%83%BC%E3%82%BF%E3%83%BC%E3%82%BA" TargetMode="External" /><Relationship Id="rId40" Type="http://schemas.openxmlformats.org/officeDocument/2006/relationships/hyperlink" Target="https://baseball-data.com/player/g/%E6%9D%BE%E6%9C%AC%E3%80%80%E5%89%9B" TargetMode="External" /><Relationship Id="rId115" Type="http://schemas.openxmlformats.org/officeDocument/2006/relationships/hyperlink" Target="https://baseball-data.com/player/t/%E5%89%8D%E5%B7%9D%E3%80%80%E5%8F%B3%E4%BA%AC" TargetMode="External" /><Relationship Id="rId136" Type="http://schemas.openxmlformats.org/officeDocument/2006/relationships/hyperlink" Target="https://baseball-data.com/player/e/%E6%B8%A1%E9%82%8A%E3%80%80%E4%BD%B3%E6%98%8E" TargetMode="External" /><Relationship Id="rId157" Type="http://schemas.openxmlformats.org/officeDocument/2006/relationships/hyperlink" Target="https://baseball-data.com/player/m/%E4%BA%95%E4%B8%8A%E3%80%80%E5%BA%83%E5%A4%A7" TargetMode="External" /><Relationship Id="rId178" Type="http://schemas.openxmlformats.org/officeDocument/2006/relationships/hyperlink" Target="https://baseball-data.com/player/c/%E5%B9%B3%E5%B7%9D%E3%80%80%E8%93%AE" TargetMode="External" /><Relationship Id="rId301" Type="http://schemas.openxmlformats.org/officeDocument/2006/relationships/hyperlink" Target="https://baseball-data.com/player/f/%E5%B8%B8%E8%B0%B7%E3%80%80%E6%8B%93%E8%BC%9D" TargetMode="External" /><Relationship Id="rId322" Type="http://schemas.openxmlformats.org/officeDocument/2006/relationships/hyperlink" Target="https://baseball-data.com/player/g/%E8%90%A9%E5%B0%BE%E3%80%80%E5%8C%A1%E4%B9%9F" TargetMode="External" /><Relationship Id="rId343" Type="http://schemas.openxmlformats.org/officeDocument/2006/relationships/hyperlink" Target="https://baseball-data.com/player/t/%E5%B3%B6%E7%94%B0%E3%80%80%E6%B5%B7%E5%90%8F" TargetMode="External" /><Relationship Id="rId61" Type="http://schemas.openxmlformats.org/officeDocument/2006/relationships/hyperlink" Target="https://baseball-data.com/player/g/%E5%A4%A7%E5%9F%8E%E3%80%80%E5%8D%93%E4%B8%89" TargetMode="External" /><Relationship Id="rId82" Type="http://schemas.openxmlformats.org/officeDocument/2006/relationships/hyperlink" Target="https://baseball-data.com/player/t/%E5%9D%82%E6%9C%AC%E3%80%80%E8%AA%A0%E5%BF%97%E9%83%8E" TargetMode="External" /><Relationship Id="rId199" Type="http://schemas.openxmlformats.org/officeDocument/2006/relationships/hyperlink" Target="https://baseball-data.com/player/e/%E7%B9%81%E6%B0%B8%E3%80%80%E6%99%9F" TargetMode="External" /><Relationship Id="rId203" Type="http://schemas.openxmlformats.org/officeDocument/2006/relationships/hyperlink" Target="https://baseball-data.com/player/yb/%E6%88%90%E7%80%AC%E3%80%80%E8%84%A9%E4%BA%BA" TargetMode="External" /><Relationship Id="rId19" Type="http://schemas.openxmlformats.org/officeDocument/2006/relationships/hyperlink" Target="https://baseball-data.com/player/bs/%E7%B4%85%E6%9E%97%E3%80%80%E5%BC%98%E5%A4%AA%E9%83%8E" TargetMode="External" /><Relationship Id="rId224" Type="http://schemas.openxmlformats.org/officeDocument/2006/relationships/hyperlink" Target="https://baseball-data.com/player/e/%E9%88%B4%E6%9C%A8%E3%80%80%E5%A4%A7%E5%9C%B0" TargetMode="External" /><Relationship Id="rId245" Type="http://schemas.openxmlformats.org/officeDocument/2006/relationships/hyperlink" Target="https://baseball-data.com/player/m/%E7%9F%B3%E5%B7%9D%E3%80%80%E6%85%8E%E5%90%BE" TargetMode="External" /><Relationship Id="rId266" Type="http://schemas.openxmlformats.org/officeDocument/2006/relationships/hyperlink" Target="https://baseball-data.com/player/m/%E8%97%A4%E5%B2%A1%E3%80%80%E8%A3%95%E5%A4%A7" TargetMode="External" /><Relationship Id="rId287" Type="http://schemas.openxmlformats.org/officeDocument/2006/relationships/hyperlink" Target="https://baseball-data.com/player/f/%E5%AE%AE%E5%B4%8E%E3%80%80%E4%B8%80%E6%A8%B9" TargetMode="External" /><Relationship Id="rId30" Type="http://schemas.openxmlformats.org/officeDocument/2006/relationships/hyperlink" Target="https://baseball-data.com/player/m/%E5%B0%8F%E5%B7%9D%E3%80%80%E9%BE%8D%E6%88%90" TargetMode="External" /><Relationship Id="rId105" Type="http://schemas.openxmlformats.org/officeDocument/2006/relationships/hyperlink" Target="https://baseball-data.com/player/bs/%E6%A3%AE%E3%80%80%E5%8F%8B%E5%93%89" TargetMode="External" /><Relationship Id="rId126" Type="http://schemas.openxmlformats.org/officeDocument/2006/relationships/hyperlink" Target="https://baseball-data.com/player/t/%E5%85%83%E5%B1%B1%E3%80%80%E9%A3%9B%E5%84%AA" TargetMode="External" /><Relationship Id="rId147" Type="http://schemas.openxmlformats.org/officeDocument/2006/relationships/hyperlink" Target="https://baseball-data.com/player/c/%E4%BD%90%E8%97%A4%E3%80%80%E5%95%93%E4%BB%8B" TargetMode="External" /><Relationship Id="rId168" Type="http://schemas.openxmlformats.org/officeDocument/2006/relationships/hyperlink" Target="https://baseball-data.com/player/e/%E5%A0%80%E5%86%85%E3%80%80%E8%AC%99%E4%BC%8D" TargetMode="External" /><Relationship Id="rId312" Type="http://schemas.openxmlformats.org/officeDocument/2006/relationships/hyperlink" Target="https://baseball-data.com/player/e/%E9%99%BD%E3%80%80%E6%9F%8F%E7%BF%94" TargetMode="External" /><Relationship Id="rId333" Type="http://schemas.openxmlformats.org/officeDocument/2006/relationships/hyperlink" Target="https://baseball-data.com/player/f/%E6%A2%85%E6%9E%97%E3%80%80%E5%84%AA%E8%B2%B4" TargetMode="External" /><Relationship Id="rId354" Type="http://schemas.openxmlformats.org/officeDocument/2006/relationships/hyperlink" Target="https://baseball-data.com/player/t/%E6%A6%AE%E6%9E%9D%E3%80%80%E8%A3%95%E8%B2%B4" TargetMode="External" /><Relationship Id="rId51" Type="http://schemas.openxmlformats.org/officeDocument/2006/relationships/hyperlink" Target="https://baseball-data.com/player/t/%E8%BF%91%E6%9C%AC%E3%80%80%E5%85%89%E5%8F%B8" TargetMode="External" /><Relationship Id="rId72" Type="http://schemas.openxmlformats.org/officeDocument/2006/relationships/hyperlink" Target="https://baseball-data.com/player/c/%E5%A4%A7%E7%9B%9B%E3%80%80%E7%A9%82" TargetMode="External" /><Relationship Id="rId93" Type="http://schemas.openxmlformats.org/officeDocument/2006/relationships/hyperlink" Target="https://baseball-data.com/player/c/%E5%90%8D%E5%8E%9F%E3%80%80%E5%85%B8%E5%BD%A6" TargetMode="External" /><Relationship Id="rId189" Type="http://schemas.openxmlformats.org/officeDocument/2006/relationships/hyperlink" Target="https://baseball-data.com/player/yb/%E7%9F%B3%E4%B8%8A%E3%80%80%E6%B3%B0%E8%BC%9D" TargetMode="External" /><Relationship Id="rId3" Type="http://schemas.openxmlformats.org/officeDocument/2006/relationships/hyperlink" Target="https://baseball-data.com/player/t/%E4%BD%90%E8%97%A4%E3%80%80%E8%BC%9D%E6%98%8E" TargetMode="External" /><Relationship Id="rId214" Type="http://schemas.openxmlformats.org/officeDocument/2006/relationships/hyperlink" Target="https://baseball-data.com/player/s/%E4%B8%AD%E6%9D%91%E3%80%80%E6%82%A0%E5%B9%B3" TargetMode="External" /><Relationship Id="rId235" Type="http://schemas.openxmlformats.org/officeDocument/2006/relationships/hyperlink" Target="https://baseball-data.com/player/h/%E5%B7%9D%E6%9D%91%E3%80%80%E5%8F%8B%E6%96%97" TargetMode="External" /><Relationship Id="rId256" Type="http://schemas.openxmlformats.org/officeDocument/2006/relationships/hyperlink" Target="https://baseball-data.com/player/m/%E5%92%8C%E7%94%B0%E3%80%80%E5%BA%B7%E5%A3%AB%E6%9C%97" TargetMode="External" /><Relationship Id="rId277" Type="http://schemas.openxmlformats.org/officeDocument/2006/relationships/hyperlink" Target="https://baseball-data.com/player/bs/%E5%86%85%E8%97%A4%E3%80%80%E9%B5%AC" TargetMode="External" /><Relationship Id="rId298" Type="http://schemas.openxmlformats.org/officeDocument/2006/relationships/hyperlink" Target="https://baseball-data.com/player/l/%E7%A7%8B%E5%B1%B1%E3%80%80%E4%BF%8A" TargetMode="External" /><Relationship Id="rId116" Type="http://schemas.openxmlformats.org/officeDocument/2006/relationships/hyperlink" Target="https://baseball-data.com/player/h/%E5%B1%B1%E5%B7%9D%E3%80%80%E7%A9%82%E9%AB%98" TargetMode="External" /><Relationship Id="rId137" Type="http://schemas.openxmlformats.org/officeDocument/2006/relationships/hyperlink" Target="https://baseball-data.com/player/e/%E5%B0%8F%E6%B7%B1%E7%94%B0%E3%80%80%E5%A4%A7%E7%BF%94" TargetMode="External" /><Relationship Id="rId158" Type="http://schemas.openxmlformats.org/officeDocument/2006/relationships/hyperlink" Target="https://baseball-data.com/player/yb/%E4%B8%89%E6%A3%AE%E3%80%80%E5%A4%A7%E8%B2%B4" TargetMode="External" /><Relationship Id="rId302" Type="http://schemas.openxmlformats.org/officeDocument/2006/relationships/hyperlink" Target="https://baseball-data.com/player/h/%E3%83%80%E3%82%A6%E3%83%B3%E3%82%BA" TargetMode="External" /><Relationship Id="rId323" Type="http://schemas.openxmlformats.org/officeDocument/2006/relationships/hyperlink" Target="https://baseball-data.com/player/d/%E6%A3%AE%E3%80%80%E9%A7%BF%E5%A4%AA" TargetMode="External" /><Relationship Id="rId344" Type="http://schemas.openxmlformats.org/officeDocument/2006/relationships/hyperlink" Target="https://baseball-data.com/player/d/%E7%9F%B3%E6%A9%8B%E3%80%80%E5%BA%B7%E5%A4%AA" TargetMode="External" /><Relationship Id="rId20" Type="http://schemas.openxmlformats.org/officeDocument/2006/relationships/hyperlink" Target="https://baseball-data.com/player/f/%E3%83%AC%E3%82%A4%E3%82%A8%E3%82%B9" TargetMode="External" /><Relationship Id="rId41" Type="http://schemas.openxmlformats.org/officeDocument/2006/relationships/hyperlink" Target="https://baseball-data.com/player/m/%E4%BD%90%E8%97%A4%E3%80%80%E9%83%BD%E5%BF%97%E4%B9%9F" TargetMode="External" /><Relationship Id="rId62" Type="http://schemas.openxmlformats.org/officeDocument/2006/relationships/hyperlink" Target="https://baseball-data.com/player/yb/%E5%AE%AE%EF%A8%91%E3%80%80%E6%95%8F%E9%83%8E" TargetMode="External" /><Relationship Id="rId83" Type="http://schemas.openxmlformats.org/officeDocument/2006/relationships/hyperlink" Target="https://baseball-data.com/player/h/%E6%9F%B3%E7%94%BA%E3%80%80%E9%81%94" TargetMode="External" /><Relationship Id="rId179" Type="http://schemas.openxmlformats.org/officeDocument/2006/relationships/hyperlink" Target="https://baseball-data.com/player/f/%E5%B1%B1%E7%B8%A3%E3%80%80%E7%A7%8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64"/>
  <sheetViews>
    <sheetView topLeftCell="A341" workbookViewId="0">
      <selection activeCell="E435" sqref="E435"/>
    </sheetView>
  </sheetViews>
  <sheetFormatPr defaultColWidth="14.42578125" defaultRowHeight="15" customHeight="1" x14ac:dyDescent="0.15"/>
  <cols>
    <col min="1" max="1" width="6.7421875" customWidth="1"/>
    <col min="2" max="2" width="7.01171875" customWidth="1"/>
    <col min="3" max="5" width="12.5390625" customWidth="1"/>
    <col min="6" max="6" width="10.11328125" customWidth="1"/>
    <col min="7" max="7" width="9.9765625" customWidth="1"/>
    <col min="8" max="8" width="10.3828125" customWidth="1"/>
    <col min="9" max="9" width="9.16796875" customWidth="1"/>
    <col min="10" max="10" width="8.76171875" customWidth="1"/>
    <col min="11" max="11" width="6.7421875" customWidth="1"/>
    <col min="12" max="12" width="13.484375" customWidth="1"/>
    <col min="13" max="13" width="12.5390625" customWidth="1"/>
    <col min="14" max="14" width="7.14453125" customWidth="1"/>
  </cols>
  <sheetData>
    <row r="1" spans="1:14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ht="15.75" customHeight="1" x14ac:dyDescent="0.15">
      <c r="A2" s="6" t="s">
        <v>14</v>
      </c>
      <c r="B2" s="6" t="s">
        <v>15</v>
      </c>
      <c r="C2" s="7" t="s">
        <v>16</v>
      </c>
      <c r="D2" s="8" t="s">
        <v>17</v>
      </c>
      <c r="E2" s="9">
        <v>34500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10" t="s">
        <v>25</v>
      </c>
      <c r="N2" s="11" t="s">
        <v>26</v>
      </c>
    </row>
    <row r="3" spans="1:14" ht="15.75" customHeight="1" x14ac:dyDescent="0.15">
      <c r="A3" s="12" t="s">
        <v>27</v>
      </c>
      <c r="B3" s="12" t="s">
        <v>28</v>
      </c>
      <c r="C3" s="7" t="s">
        <v>29</v>
      </c>
      <c r="D3" s="13" t="s">
        <v>17</v>
      </c>
      <c r="E3" s="14">
        <v>36133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23</v>
      </c>
      <c r="L3" s="13" t="s">
        <v>35</v>
      </c>
      <c r="M3" s="15" t="s">
        <v>36</v>
      </c>
      <c r="N3" s="11" t="s">
        <v>26</v>
      </c>
    </row>
    <row r="4" spans="1:14" ht="15.75" customHeight="1" x14ac:dyDescent="0.15">
      <c r="A4" s="6" t="s">
        <v>37</v>
      </c>
      <c r="B4" s="6" t="s">
        <v>14</v>
      </c>
      <c r="C4" s="7" t="s">
        <v>38</v>
      </c>
      <c r="D4" s="8" t="s">
        <v>39</v>
      </c>
      <c r="E4" s="9">
        <v>36752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22</v>
      </c>
      <c r="K4" s="8" t="s">
        <v>44</v>
      </c>
      <c r="L4" s="8" t="s">
        <v>45</v>
      </c>
      <c r="M4" s="10" t="s">
        <v>46</v>
      </c>
      <c r="N4" s="11" t="s">
        <v>26</v>
      </c>
    </row>
    <row r="5" spans="1:14" ht="15.75" customHeight="1" x14ac:dyDescent="0.15">
      <c r="A5" s="12" t="s">
        <v>47</v>
      </c>
      <c r="B5" s="12" t="s">
        <v>27</v>
      </c>
      <c r="C5" s="7" t="s">
        <v>48</v>
      </c>
      <c r="D5" s="13" t="s">
        <v>49</v>
      </c>
      <c r="E5" s="14">
        <v>33406</v>
      </c>
      <c r="F5" s="13" t="s">
        <v>50</v>
      </c>
      <c r="G5" s="13" t="s">
        <v>51</v>
      </c>
      <c r="H5" s="13" t="s">
        <v>52</v>
      </c>
      <c r="I5" s="13" t="s">
        <v>53</v>
      </c>
      <c r="J5" s="13" t="s">
        <v>54</v>
      </c>
      <c r="K5" s="13" t="s">
        <v>44</v>
      </c>
      <c r="L5" s="13" t="s">
        <v>55</v>
      </c>
      <c r="M5" s="15" t="s">
        <v>56</v>
      </c>
      <c r="N5" s="11" t="s">
        <v>26</v>
      </c>
    </row>
    <row r="6" spans="1:14" ht="15.75" customHeight="1" x14ac:dyDescent="0.15">
      <c r="A6" s="6" t="s">
        <v>57</v>
      </c>
      <c r="B6" s="6" t="s">
        <v>37</v>
      </c>
      <c r="C6" s="7" t="s">
        <v>58</v>
      </c>
      <c r="D6" s="8" t="s">
        <v>17</v>
      </c>
      <c r="E6" s="16">
        <v>34687</v>
      </c>
      <c r="F6" s="8" t="s">
        <v>59</v>
      </c>
      <c r="G6" s="8" t="s">
        <v>60</v>
      </c>
      <c r="H6" s="8" t="s">
        <v>32</v>
      </c>
      <c r="I6" s="8" t="s">
        <v>61</v>
      </c>
      <c r="J6" s="8" t="s">
        <v>22</v>
      </c>
      <c r="K6" s="8" t="s">
        <v>44</v>
      </c>
      <c r="L6" s="8" t="s">
        <v>62</v>
      </c>
      <c r="M6" s="10" t="s">
        <v>63</v>
      </c>
      <c r="N6" s="11" t="s">
        <v>26</v>
      </c>
    </row>
    <row r="7" spans="1:14" ht="15.75" customHeight="1" x14ac:dyDescent="0.15">
      <c r="A7" s="6" t="s">
        <v>64</v>
      </c>
      <c r="B7" s="12" t="s">
        <v>47</v>
      </c>
      <c r="C7" s="7" t="s">
        <v>65</v>
      </c>
      <c r="D7" s="13" t="s">
        <v>17</v>
      </c>
      <c r="E7" s="17">
        <v>35013</v>
      </c>
      <c r="F7" s="13" t="s">
        <v>66</v>
      </c>
      <c r="G7" s="13" t="s">
        <v>67</v>
      </c>
      <c r="H7" s="13" t="s">
        <v>68</v>
      </c>
      <c r="I7" s="13" t="s">
        <v>69</v>
      </c>
      <c r="J7" s="13" t="s">
        <v>54</v>
      </c>
      <c r="K7" s="13" t="s">
        <v>44</v>
      </c>
      <c r="L7" s="13" t="s">
        <v>70</v>
      </c>
      <c r="M7" s="15" t="s">
        <v>71</v>
      </c>
      <c r="N7" s="11" t="s">
        <v>26</v>
      </c>
    </row>
    <row r="8" spans="1:14" ht="15.75" customHeight="1" x14ac:dyDescent="0.15">
      <c r="A8" s="12" t="s">
        <v>72</v>
      </c>
      <c r="B8" s="6" t="s">
        <v>57</v>
      </c>
      <c r="C8" s="7" t="s">
        <v>73</v>
      </c>
      <c r="D8" s="8" t="s">
        <v>39</v>
      </c>
      <c r="E8" s="9">
        <v>34647</v>
      </c>
      <c r="F8" s="8" t="s">
        <v>59</v>
      </c>
      <c r="G8" s="8" t="s">
        <v>19</v>
      </c>
      <c r="H8" s="8" t="s">
        <v>74</v>
      </c>
      <c r="I8" s="8" t="s">
        <v>75</v>
      </c>
      <c r="J8" s="8" t="s">
        <v>76</v>
      </c>
      <c r="K8" s="8" t="s">
        <v>77</v>
      </c>
      <c r="L8" s="8" t="s">
        <v>78</v>
      </c>
      <c r="M8" s="10" t="s">
        <v>79</v>
      </c>
      <c r="N8" s="11" t="s">
        <v>26</v>
      </c>
    </row>
    <row r="9" spans="1:14" ht="15.75" customHeight="1" x14ac:dyDescent="0.15">
      <c r="A9" s="6" t="s">
        <v>80</v>
      </c>
      <c r="B9" s="12" t="s">
        <v>72</v>
      </c>
      <c r="C9" s="7" t="s">
        <v>81</v>
      </c>
      <c r="D9" s="13" t="s">
        <v>17</v>
      </c>
      <c r="E9" s="14">
        <v>35244</v>
      </c>
      <c r="F9" s="13" t="s">
        <v>66</v>
      </c>
      <c r="G9" s="13" t="s">
        <v>31</v>
      </c>
      <c r="H9" s="13" t="s">
        <v>82</v>
      </c>
      <c r="I9" s="13" t="s">
        <v>83</v>
      </c>
      <c r="J9" s="13" t="s">
        <v>54</v>
      </c>
      <c r="K9" s="13" t="s">
        <v>23</v>
      </c>
      <c r="L9" s="13" t="s">
        <v>84</v>
      </c>
      <c r="M9" s="15" t="s">
        <v>85</v>
      </c>
      <c r="N9" s="11" t="s">
        <v>26</v>
      </c>
    </row>
    <row r="10" spans="1:14" ht="15.75" customHeight="1" x14ac:dyDescent="0.15">
      <c r="A10" s="12" t="s">
        <v>86</v>
      </c>
      <c r="B10" s="6" t="s">
        <v>80</v>
      </c>
      <c r="C10" s="7" t="s">
        <v>87</v>
      </c>
      <c r="D10" s="8" t="s">
        <v>17</v>
      </c>
      <c r="E10" s="9">
        <v>36232</v>
      </c>
      <c r="F10" s="8" t="s">
        <v>30</v>
      </c>
      <c r="G10" s="8" t="s">
        <v>31</v>
      </c>
      <c r="H10" s="8" t="s">
        <v>88</v>
      </c>
      <c r="I10" s="8" t="s">
        <v>61</v>
      </c>
      <c r="J10" s="8" t="s">
        <v>76</v>
      </c>
      <c r="K10" s="8" t="s">
        <v>23</v>
      </c>
      <c r="L10" s="8" t="s">
        <v>78</v>
      </c>
      <c r="M10" s="10" t="s">
        <v>89</v>
      </c>
      <c r="N10" s="11" t="s">
        <v>26</v>
      </c>
    </row>
    <row r="11" spans="1:14" ht="15.75" customHeight="1" x14ac:dyDescent="0.15">
      <c r="A11" s="6" t="s">
        <v>90</v>
      </c>
      <c r="B11" s="12" t="s">
        <v>86</v>
      </c>
      <c r="C11" s="7" t="s">
        <v>91</v>
      </c>
      <c r="D11" s="13" t="s">
        <v>17</v>
      </c>
      <c r="E11" s="14">
        <v>37926</v>
      </c>
      <c r="F11" s="13" t="s">
        <v>92</v>
      </c>
      <c r="G11" s="13" t="s">
        <v>93</v>
      </c>
      <c r="H11" s="13" t="s">
        <v>94</v>
      </c>
      <c r="I11" s="13" t="s">
        <v>95</v>
      </c>
      <c r="J11" s="13" t="s">
        <v>22</v>
      </c>
      <c r="K11" s="13" t="s">
        <v>44</v>
      </c>
      <c r="L11" s="13" t="s">
        <v>96</v>
      </c>
      <c r="M11" s="15" t="s">
        <v>97</v>
      </c>
      <c r="N11" s="11" t="s">
        <v>26</v>
      </c>
    </row>
    <row r="12" spans="1:14" ht="15.75" customHeight="1" x14ac:dyDescent="0.15">
      <c r="A12" s="6" t="s">
        <v>98</v>
      </c>
      <c r="B12" s="6" t="s">
        <v>99</v>
      </c>
      <c r="C12" s="7" t="s">
        <v>100</v>
      </c>
      <c r="D12" s="8" t="s">
        <v>49</v>
      </c>
      <c r="E12" s="16">
        <v>34283</v>
      </c>
      <c r="F12" s="8" t="s">
        <v>18</v>
      </c>
      <c r="G12" s="8" t="s">
        <v>101</v>
      </c>
      <c r="H12" s="8" t="s">
        <v>102</v>
      </c>
      <c r="I12" s="8" t="s">
        <v>103</v>
      </c>
      <c r="J12" s="8" t="s">
        <v>22</v>
      </c>
      <c r="K12" s="8" t="s">
        <v>44</v>
      </c>
      <c r="L12" s="8" t="s">
        <v>78</v>
      </c>
      <c r="M12" s="10" t="s">
        <v>104</v>
      </c>
      <c r="N12" s="11" t="s">
        <v>26</v>
      </c>
    </row>
    <row r="13" spans="1:14" ht="15.75" customHeight="1" x14ac:dyDescent="0.15">
      <c r="A13" s="12" t="s">
        <v>99</v>
      </c>
      <c r="B13" s="12" t="s">
        <v>105</v>
      </c>
      <c r="C13" s="7" t="s">
        <v>106</v>
      </c>
      <c r="D13" s="13" t="s">
        <v>107</v>
      </c>
      <c r="E13" s="14">
        <v>33408</v>
      </c>
      <c r="F13" s="13" t="s">
        <v>50</v>
      </c>
      <c r="G13" s="13" t="s">
        <v>51</v>
      </c>
      <c r="H13" s="13" t="s">
        <v>108</v>
      </c>
      <c r="I13" s="13" t="s">
        <v>109</v>
      </c>
      <c r="J13" s="13" t="s">
        <v>76</v>
      </c>
      <c r="K13" s="13" t="s">
        <v>77</v>
      </c>
      <c r="L13" s="13" t="s">
        <v>110</v>
      </c>
      <c r="M13" s="15" t="s">
        <v>111</v>
      </c>
      <c r="N13" s="11" t="s">
        <v>26</v>
      </c>
    </row>
    <row r="14" spans="1:14" ht="15.75" customHeight="1" x14ac:dyDescent="0.15">
      <c r="A14" s="6" t="s">
        <v>105</v>
      </c>
      <c r="B14" s="6" t="s">
        <v>112</v>
      </c>
      <c r="C14" s="7" t="s">
        <v>113</v>
      </c>
      <c r="D14" s="8" t="s">
        <v>107</v>
      </c>
      <c r="E14" s="9">
        <v>33486</v>
      </c>
      <c r="F14" s="8" t="s">
        <v>50</v>
      </c>
      <c r="G14" s="8" t="s">
        <v>51</v>
      </c>
      <c r="H14" s="8" t="s">
        <v>114</v>
      </c>
      <c r="I14" s="8" t="s">
        <v>115</v>
      </c>
      <c r="J14" s="8" t="s">
        <v>54</v>
      </c>
      <c r="K14" s="8" t="s">
        <v>77</v>
      </c>
      <c r="L14" s="8" t="s">
        <v>116</v>
      </c>
      <c r="M14" s="10" t="s">
        <v>104</v>
      </c>
      <c r="N14" s="11" t="s">
        <v>26</v>
      </c>
    </row>
    <row r="15" spans="1:14" ht="15.75" customHeight="1" x14ac:dyDescent="0.15">
      <c r="A15" s="12" t="s">
        <v>112</v>
      </c>
      <c r="B15" s="12" t="s">
        <v>117</v>
      </c>
      <c r="C15" s="7" t="s">
        <v>118</v>
      </c>
      <c r="D15" s="13" t="s">
        <v>107</v>
      </c>
      <c r="E15" s="17">
        <v>33187</v>
      </c>
      <c r="F15" s="13" t="s">
        <v>50</v>
      </c>
      <c r="G15" s="13" t="s">
        <v>119</v>
      </c>
      <c r="H15" s="13" t="s">
        <v>32</v>
      </c>
      <c r="I15" s="13" t="s">
        <v>120</v>
      </c>
      <c r="J15" s="13" t="s">
        <v>76</v>
      </c>
      <c r="K15" s="13" t="s">
        <v>44</v>
      </c>
      <c r="L15" s="13" t="s">
        <v>121</v>
      </c>
      <c r="M15" s="15" t="s">
        <v>85</v>
      </c>
      <c r="N15" s="11" t="s">
        <v>26</v>
      </c>
    </row>
    <row r="16" spans="1:14" ht="15.75" customHeight="1" x14ac:dyDescent="0.15">
      <c r="A16" s="6" t="s">
        <v>122</v>
      </c>
      <c r="B16" s="6" t="s">
        <v>123</v>
      </c>
      <c r="C16" s="7" t="s">
        <v>124</v>
      </c>
      <c r="D16" s="8" t="s">
        <v>49</v>
      </c>
      <c r="E16" s="9">
        <v>33005</v>
      </c>
      <c r="F16" s="8" t="s">
        <v>125</v>
      </c>
      <c r="G16" s="8" t="s">
        <v>126</v>
      </c>
      <c r="H16" s="8" t="s">
        <v>42</v>
      </c>
      <c r="I16" s="8" t="s">
        <v>127</v>
      </c>
      <c r="J16" s="8" t="s">
        <v>34</v>
      </c>
      <c r="K16" s="8" t="s">
        <v>44</v>
      </c>
      <c r="L16" s="8" t="s">
        <v>128</v>
      </c>
      <c r="M16" s="10" t="s">
        <v>104</v>
      </c>
      <c r="N16" s="11" t="s">
        <v>26</v>
      </c>
    </row>
    <row r="17" spans="1:14" ht="15.75" customHeight="1" x14ac:dyDescent="0.15">
      <c r="A17" s="6" t="s">
        <v>117</v>
      </c>
      <c r="B17" s="12" t="s">
        <v>129</v>
      </c>
      <c r="C17" s="7" t="s">
        <v>130</v>
      </c>
      <c r="D17" s="13" t="s">
        <v>107</v>
      </c>
      <c r="E17" s="14">
        <v>36745</v>
      </c>
      <c r="F17" s="13" t="s">
        <v>40</v>
      </c>
      <c r="G17" s="13" t="s">
        <v>131</v>
      </c>
      <c r="H17" s="13" t="s">
        <v>132</v>
      </c>
      <c r="I17" s="13" t="s">
        <v>53</v>
      </c>
      <c r="J17" s="13" t="s">
        <v>76</v>
      </c>
      <c r="K17" s="13" t="s">
        <v>77</v>
      </c>
      <c r="L17" s="13" t="s">
        <v>133</v>
      </c>
      <c r="M17" s="15" t="s">
        <v>134</v>
      </c>
      <c r="N17" s="11" t="s">
        <v>26</v>
      </c>
    </row>
    <row r="18" spans="1:14" ht="15.75" customHeight="1" x14ac:dyDescent="0.15">
      <c r="A18" s="12" t="s">
        <v>123</v>
      </c>
      <c r="B18" s="6" t="s">
        <v>135</v>
      </c>
      <c r="C18" s="7" t="s">
        <v>136</v>
      </c>
      <c r="D18" s="8" t="s">
        <v>107</v>
      </c>
      <c r="E18" s="9">
        <v>37342</v>
      </c>
      <c r="F18" s="8" t="s">
        <v>137</v>
      </c>
      <c r="G18" s="8" t="s">
        <v>138</v>
      </c>
      <c r="H18" s="8" t="s">
        <v>139</v>
      </c>
      <c r="I18" s="8" t="s">
        <v>140</v>
      </c>
      <c r="J18" s="8" t="s">
        <v>54</v>
      </c>
      <c r="K18" s="8" t="s">
        <v>44</v>
      </c>
      <c r="L18" s="8" t="s">
        <v>78</v>
      </c>
      <c r="M18" s="10" t="s">
        <v>141</v>
      </c>
      <c r="N18" s="11" t="s">
        <v>26</v>
      </c>
    </row>
    <row r="19" spans="1:14" ht="15.75" customHeight="1" x14ac:dyDescent="0.15">
      <c r="A19" s="6" t="s">
        <v>129</v>
      </c>
      <c r="B19" s="12" t="s">
        <v>142</v>
      </c>
      <c r="C19" s="7" t="s">
        <v>143</v>
      </c>
      <c r="D19" s="13" t="s">
        <v>107</v>
      </c>
      <c r="E19" s="14">
        <v>34879</v>
      </c>
      <c r="F19" s="13" t="s">
        <v>59</v>
      </c>
      <c r="G19" s="13" t="s">
        <v>67</v>
      </c>
      <c r="H19" s="13" t="s">
        <v>144</v>
      </c>
      <c r="I19" s="13" t="s">
        <v>95</v>
      </c>
      <c r="J19" s="13" t="s">
        <v>54</v>
      </c>
      <c r="K19" s="13" t="s">
        <v>77</v>
      </c>
      <c r="L19" s="13" t="s">
        <v>116</v>
      </c>
      <c r="M19" s="15" t="s">
        <v>145</v>
      </c>
      <c r="N19" s="11" t="s">
        <v>26</v>
      </c>
    </row>
    <row r="20" spans="1:14" ht="15.75" customHeight="1" x14ac:dyDescent="0.15">
      <c r="A20" s="12" t="s">
        <v>135</v>
      </c>
      <c r="B20" s="6" t="s">
        <v>146</v>
      </c>
      <c r="C20" s="7" t="s">
        <v>147</v>
      </c>
      <c r="D20" s="8" t="s">
        <v>17</v>
      </c>
      <c r="E20" s="9">
        <v>35533</v>
      </c>
      <c r="F20" s="8" t="s">
        <v>148</v>
      </c>
      <c r="G20" s="8" t="s">
        <v>93</v>
      </c>
      <c r="H20" s="8" t="s">
        <v>108</v>
      </c>
      <c r="I20" s="8" t="s">
        <v>149</v>
      </c>
      <c r="J20" s="8" t="s">
        <v>150</v>
      </c>
      <c r="K20" s="8" t="s">
        <v>44</v>
      </c>
      <c r="L20" s="8" t="s">
        <v>151</v>
      </c>
      <c r="M20" s="10" t="s">
        <v>152</v>
      </c>
      <c r="N20" s="11" t="s">
        <v>26</v>
      </c>
    </row>
    <row r="21" spans="1:14" ht="15.75" customHeight="1" x14ac:dyDescent="0.15">
      <c r="A21" s="6" t="s">
        <v>153</v>
      </c>
      <c r="B21" s="12" t="s">
        <v>154</v>
      </c>
      <c r="C21" s="7" t="s">
        <v>155</v>
      </c>
      <c r="D21" s="13" t="s">
        <v>17</v>
      </c>
      <c r="E21" s="14">
        <v>38063</v>
      </c>
      <c r="F21" s="13" t="s">
        <v>92</v>
      </c>
      <c r="G21" s="13" t="s">
        <v>93</v>
      </c>
      <c r="H21" s="13" t="s">
        <v>156</v>
      </c>
      <c r="I21" s="13" t="s">
        <v>157</v>
      </c>
      <c r="J21" s="13" t="s">
        <v>76</v>
      </c>
      <c r="K21" s="13" t="s">
        <v>44</v>
      </c>
      <c r="L21" s="13" t="s">
        <v>158</v>
      </c>
      <c r="M21" s="15" t="s">
        <v>36</v>
      </c>
      <c r="N21" s="11" t="s">
        <v>26</v>
      </c>
    </row>
    <row r="22" spans="1:14" ht="15.75" customHeight="1" x14ac:dyDescent="0.15">
      <c r="A22" s="6" t="s">
        <v>142</v>
      </c>
      <c r="B22" s="6" t="s">
        <v>159</v>
      </c>
      <c r="C22" s="7" t="s">
        <v>160</v>
      </c>
      <c r="D22" s="8" t="s">
        <v>107</v>
      </c>
      <c r="E22" s="9">
        <v>37333</v>
      </c>
      <c r="F22" s="8" t="s">
        <v>137</v>
      </c>
      <c r="G22" s="8" t="s">
        <v>138</v>
      </c>
      <c r="H22" s="8" t="s">
        <v>114</v>
      </c>
      <c r="I22" s="8" t="s">
        <v>109</v>
      </c>
      <c r="J22" s="8" t="s">
        <v>54</v>
      </c>
      <c r="K22" s="8" t="s">
        <v>44</v>
      </c>
      <c r="L22" s="8" t="s">
        <v>35</v>
      </c>
      <c r="M22" s="10" t="s">
        <v>161</v>
      </c>
      <c r="N22" s="11" t="s">
        <v>26</v>
      </c>
    </row>
    <row r="23" spans="1:14" ht="15.75" customHeight="1" x14ac:dyDescent="0.15">
      <c r="A23" s="12" t="s">
        <v>162</v>
      </c>
      <c r="B23" s="12" t="s">
        <v>163</v>
      </c>
      <c r="C23" s="7" t="s">
        <v>164</v>
      </c>
      <c r="D23" s="13" t="s">
        <v>107</v>
      </c>
      <c r="E23" s="14">
        <v>35193</v>
      </c>
      <c r="F23" s="13" t="s">
        <v>66</v>
      </c>
      <c r="G23" s="13" t="s">
        <v>31</v>
      </c>
      <c r="H23" s="13" t="s">
        <v>20</v>
      </c>
      <c r="I23" s="13" t="s">
        <v>120</v>
      </c>
      <c r="J23" s="13" t="s">
        <v>34</v>
      </c>
      <c r="K23" s="13" t="s">
        <v>77</v>
      </c>
      <c r="L23" s="13" t="s">
        <v>165</v>
      </c>
      <c r="M23" s="15" t="s">
        <v>166</v>
      </c>
      <c r="N23" s="11" t="s">
        <v>26</v>
      </c>
    </row>
    <row r="24" spans="1:14" ht="15.75" customHeight="1" x14ac:dyDescent="0.15">
      <c r="A24" s="6" t="s">
        <v>167</v>
      </c>
      <c r="B24" s="6" t="s">
        <v>168</v>
      </c>
      <c r="C24" s="7" t="s">
        <v>169</v>
      </c>
      <c r="D24" s="8" t="s">
        <v>107</v>
      </c>
      <c r="E24" s="9">
        <v>38870</v>
      </c>
      <c r="F24" s="8" t="s">
        <v>170</v>
      </c>
      <c r="G24" s="8" t="s">
        <v>131</v>
      </c>
      <c r="H24" s="8" t="s">
        <v>171</v>
      </c>
      <c r="I24" s="8" t="s">
        <v>53</v>
      </c>
      <c r="J24" s="8" t="s">
        <v>54</v>
      </c>
      <c r="K24" s="8" t="s">
        <v>44</v>
      </c>
      <c r="L24" s="8" t="s">
        <v>78</v>
      </c>
      <c r="M24" s="10" t="s">
        <v>172</v>
      </c>
      <c r="N24" s="11" t="s">
        <v>26</v>
      </c>
    </row>
    <row r="25" spans="1:14" ht="15.75" customHeight="1" x14ac:dyDescent="0.15">
      <c r="A25" s="12" t="s">
        <v>146</v>
      </c>
      <c r="B25" s="12" t="s">
        <v>173</v>
      </c>
      <c r="C25" s="7" t="s">
        <v>174</v>
      </c>
      <c r="D25" s="13" t="s">
        <v>107</v>
      </c>
      <c r="E25" s="14">
        <v>35010</v>
      </c>
      <c r="F25" s="13" t="s">
        <v>66</v>
      </c>
      <c r="G25" s="13" t="s">
        <v>67</v>
      </c>
      <c r="H25" s="13" t="s">
        <v>32</v>
      </c>
      <c r="I25" s="13" t="s">
        <v>33</v>
      </c>
      <c r="J25" s="13" t="s">
        <v>54</v>
      </c>
      <c r="K25" s="13" t="s">
        <v>77</v>
      </c>
      <c r="L25" s="13" t="s">
        <v>110</v>
      </c>
      <c r="M25" s="15" t="s">
        <v>71</v>
      </c>
      <c r="N25" s="11" t="s">
        <v>26</v>
      </c>
    </row>
    <row r="26" spans="1:14" ht="15.75" customHeight="1" x14ac:dyDescent="0.15">
      <c r="A26" s="6" t="s">
        <v>154</v>
      </c>
      <c r="B26" s="6" t="s">
        <v>175</v>
      </c>
      <c r="C26" s="7" t="s">
        <v>176</v>
      </c>
      <c r="D26" s="8" t="s">
        <v>107</v>
      </c>
      <c r="E26" s="9">
        <v>38178</v>
      </c>
      <c r="F26" s="8" t="s">
        <v>92</v>
      </c>
      <c r="G26" s="8" t="s">
        <v>41</v>
      </c>
      <c r="H26" s="8" t="s">
        <v>114</v>
      </c>
      <c r="I26" s="8" t="s">
        <v>115</v>
      </c>
      <c r="J26" s="8" t="s">
        <v>54</v>
      </c>
      <c r="K26" s="8" t="s">
        <v>77</v>
      </c>
      <c r="L26" s="8" t="s">
        <v>128</v>
      </c>
      <c r="M26" s="10" t="s">
        <v>36</v>
      </c>
      <c r="N26" s="11" t="s">
        <v>26</v>
      </c>
    </row>
    <row r="27" spans="1:14" ht="15.75" customHeight="1" x14ac:dyDescent="0.15">
      <c r="A27" s="6" t="s">
        <v>159</v>
      </c>
      <c r="B27" s="12" t="s">
        <v>177</v>
      </c>
      <c r="C27" s="7" t="s">
        <v>178</v>
      </c>
      <c r="D27" s="13" t="s">
        <v>39</v>
      </c>
      <c r="E27" s="14">
        <v>36773</v>
      </c>
      <c r="F27" s="13" t="s">
        <v>40</v>
      </c>
      <c r="G27" s="13" t="s">
        <v>19</v>
      </c>
      <c r="H27" s="13" t="s">
        <v>179</v>
      </c>
      <c r="I27" s="13" t="s">
        <v>21</v>
      </c>
      <c r="J27" s="13" t="s">
        <v>54</v>
      </c>
      <c r="K27" s="13" t="s">
        <v>44</v>
      </c>
      <c r="L27" s="13" t="s">
        <v>55</v>
      </c>
      <c r="M27" s="15" t="s">
        <v>97</v>
      </c>
      <c r="N27" s="11" t="s">
        <v>26</v>
      </c>
    </row>
    <row r="28" spans="1:14" ht="15.75" customHeight="1" x14ac:dyDescent="0.15">
      <c r="A28" s="12" t="s">
        <v>163</v>
      </c>
      <c r="B28" s="6" t="s">
        <v>180</v>
      </c>
      <c r="C28" s="7" t="s">
        <v>181</v>
      </c>
      <c r="D28" s="8" t="s">
        <v>17</v>
      </c>
      <c r="E28" s="16">
        <v>33919</v>
      </c>
      <c r="F28" s="8" t="s">
        <v>182</v>
      </c>
      <c r="G28" s="8" t="s">
        <v>60</v>
      </c>
      <c r="H28" s="8" t="s">
        <v>68</v>
      </c>
      <c r="I28" s="8" t="s">
        <v>157</v>
      </c>
      <c r="J28" s="8" t="s">
        <v>22</v>
      </c>
      <c r="K28" s="8" t="s">
        <v>23</v>
      </c>
      <c r="L28" s="8" t="s">
        <v>183</v>
      </c>
      <c r="M28" s="10" t="s">
        <v>25</v>
      </c>
      <c r="N28" s="11" t="s">
        <v>26</v>
      </c>
    </row>
    <row r="29" spans="1:14" ht="15.75" customHeight="1" x14ac:dyDescent="0.15">
      <c r="A29" s="6" t="s">
        <v>168</v>
      </c>
      <c r="B29" s="12" t="s">
        <v>184</v>
      </c>
      <c r="C29" s="7" t="s">
        <v>185</v>
      </c>
      <c r="D29" s="13" t="s">
        <v>39</v>
      </c>
      <c r="E29" s="14">
        <v>37795</v>
      </c>
      <c r="F29" s="13" t="s">
        <v>186</v>
      </c>
      <c r="G29" s="13" t="s">
        <v>93</v>
      </c>
      <c r="H29" s="13" t="s">
        <v>114</v>
      </c>
      <c r="I29" s="13" t="s">
        <v>120</v>
      </c>
      <c r="J29" s="13" t="s">
        <v>22</v>
      </c>
      <c r="K29" s="13" t="s">
        <v>44</v>
      </c>
      <c r="L29" s="13" t="s">
        <v>187</v>
      </c>
      <c r="M29" s="15" t="s">
        <v>188</v>
      </c>
      <c r="N29" s="11" t="s">
        <v>26</v>
      </c>
    </row>
    <row r="30" spans="1:14" ht="15.75" customHeight="1" x14ac:dyDescent="0.15">
      <c r="A30" s="12" t="s">
        <v>173</v>
      </c>
      <c r="B30" s="6" t="s">
        <v>189</v>
      </c>
      <c r="C30" s="7" t="s">
        <v>190</v>
      </c>
      <c r="D30" s="8" t="s">
        <v>107</v>
      </c>
      <c r="E30" s="9">
        <v>36106</v>
      </c>
      <c r="F30" s="8" t="s">
        <v>30</v>
      </c>
      <c r="G30" s="8" t="s">
        <v>60</v>
      </c>
      <c r="H30" s="8" t="s">
        <v>191</v>
      </c>
      <c r="I30" s="8" t="s">
        <v>192</v>
      </c>
      <c r="J30" s="8" t="s">
        <v>54</v>
      </c>
      <c r="K30" s="8" t="s">
        <v>44</v>
      </c>
      <c r="L30" s="8" t="s">
        <v>78</v>
      </c>
      <c r="M30" s="10" t="s">
        <v>193</v>
      </c>
      <c r="N30" s="11" t="s">
        <v>26</v>
      </c>
    </row>
    <row r="31" spans="1:14" ht="15.75" customHeight="1" x14ac:dyDescent="0.15">
      <c r="A31" s="6" t="s">
        <v>175</v>
      </c>
      <c r="B31" s="12" t="s">
        <v>194</v>
      </c>
      <c r="C31" s="7" t="s">
        <v>195</v>
      </c>
      <c r="D31" s="13" t="s">
        <v>107</v>
      </c>
      <c r="E31" s="14">
        <v>34485</v>
      </c>
      <c r="F31" s="13" t="s">
        <v>18</v>
      </c>
      <c r="G31" s="13" t="s">
        <v>60</v>
      </c>
      <c r="H31" s="13" t="s">
        <v>196</v>
      </c>
      <c r="I31" s="13" t="s">
        <v>197</v>
      </c>
      <c r="J31" s="13" t="s">
        <v>34</v>
      </c>
      <c r="K31" s="13" t="s">
        <v>23</v>
      </c>
      <c r="L31" s="13" t="s">
        <v>198</v>
      </c>
      <c r="M31" s="15" t="s">
        <v>199</v>
      </c>
      <c r="N31" s="11" t="s">
        <v>26</v>
      </c>
    </row>
    <row r="32" spans="1:14" ht="15.75" customHeight="1" x14ac:dyDescent="0.15">
      <c r="A32" s="6" t="s">
        <v>200</v>
      </c>
      <c r="B32" s="6" t="s">
        <v>201</v>
      </c>
      <c r="C32" s="7" t="s">
        <v>202</v>
      </c>
      <c r="D32" s="8" t="s">
        <v>107</v>
      </c>
      <c r="E32" s="9">
        <v>36999</v>
      </c>
      <c r="F32" s="8" t="s">
        <v>203</v>
      </c>
      <c r="G32" s="8" t="s">
        <v>204</v>
      </c>
      <c r="H32" s="8" t="s">
        <v>144</v>
      </c>
      <c r="I32" s="8" t="s">
        <v>115</v>
      </c>
      <c r="J32" s="8" t="s">
        <v>22</v>
      </c>
      <c r="K32" s="8" t="s">
        <v>77</v>
      </c>
      <c r="L32" s="8" t="s">
        <v>165</v>
      </c>
      <c r="M32" s="10" t="s">
        <v>104</v>
      </c>
      <c r="N32" s="11" t="s">
        <v>26</v>
      </c>
    </row>
    <row r="33" spans="1:14" ht="15.75" customHeight="1" x14ac:dyDescent="0.15">
      <c r="A33" s="12" t="s">
        <v>177</v>
      </c>
      <c r="B33" s="12" t="s">
        <v>205</v>
      </c>
      <c r="C33" s="7" t="s">
        <v>206</v>
      </c>
      <c r="D33" s="13" t="s">
        <v>17</v>
      </c>
      <c r="E33" s="14">
        <v>36790</v>
      </c>
      <c r="F33" s="13" t="s">
        <v>203</v>
      </c>
      <c r="G33" s="13" t="s">
        <v>19</v>
      </c>
      <c r="H33" s="13" t="s">
        <v>144</v>
      </c>
      <c r="I33" s="13" t="s">
        <v>207</v>
      </c>
      <c r="J33" s="13" t="s">
        <v>76</v>
      </c>
      <c r="K33" s="13" t="s">
        <v>23</v>
      </c>
      <c r="L33" s="13" t="s">
        <v>208</v>
      </c>
      <c r="M33" s="15" t="s">
        <v>209</v>
      </c>
      <c r="N33" s="11" t="s">
        <v>26</v>
      </c>
    </row>
    <row r="34" spans="1:14" ht="15.75" customHeight="1" x14ac:dyDescent="0.15">
      <c r="A34" s="6" t="s">
        <v>180</v>
      </c>
      <c r="B34" s="6" t="s">
        <v>210</v>
      </c>
      <c r="C34" s="7" t="s">
        <v>211</v>
      </c>
      <c r="D34" s="8" t="s">
        <v>49</v>
      </c>
      <c r="E34" s="9">
        <v>35931</v>
      </c>
      <c r="F34" s="8" t="s">
        <v>212</v>
      </c>
      <c r="G34" s="8" t="s">
        <v>31</v>
      </c>
      <c r="H34" s="8" t="s">
        <v>94</v>
      </c>
      <c r="I34" s="8" t="s">
        <v>213</v>
      </c>
      <c r="J34" s="8" t="s">
        <v>54</v>
      </c>
      <c r="K34" s="8" t="s">
        <v>44</v>
      </c>
      <c r="L34" s="8" t="s">
        <v>214</v>
      </c>
      <c r="M34" s="10" t="s">
        <v>161</v>
      </c>
      <c r="N34" s="11" t="s">
        <v>26</v>
      </c>
    </row>
    <row r="35" spans="1:14" ht="15.75" customHeight="1" x14ac:dyDescent="0.15">
      <c r="A35" s="12" t="s">
        <v>184</v>
      </c>
      <c r="B35" s="12" t="s">
        <v>215</v>
      </c>
      <c r="C35" s="7" t="s">
        <v>216</v>
      </c>
      <c r="D35" s="13" t="s">
        <v>39</v>
      </c>
      <c r="E35" s="14">
        <v>38428</v>
      </c>
      <c r="F35" s="13" t="s">
        <v>217</v>
      </c>
      <c r="G35" s="13" t="s">
        <v>41</v>
      </c>
      <c r="H35" s="13" t="s">
        <v>179</v>
      </c>
      <c r="I35" s="13" t="s">
        <v>127</v>
      </c>
      <c r="J35" s="13" t="s">
        <v>54</v>
      </c>
      <c r="K35" s="13" t="s">
        <v>44</v>
      </c>
      <c r="L35" s="13" t="s">
        <v>218</v>
      </c>
      <c r="M35" s="15" t="s">
        <v>219</v>
      </c>
      <c r="N35" s="11" t="s">
        <v>26</v>
      </c>
    </row>
    <row r="36" spans="1:14" ht="15.75" customHeight="1" x14ac:dyDescent="0.15">
      <c r="A36" s="6" t="s">
        <v>189</v>
      </c>
      <c r="B36" s="6" t="s">
        <v>220</v>
      </c>
      <c r="C36" s="7" t="s">
        <v>221</v>
      </c>
      <c r="D36" s="8" t="s">
        <v>107</v>
      </c>
      <c r="E36" s="9">
        <v>35971</v>
      </c>
      <c r="F36" s="8" t="s">
        <v>212</v>
      </c>
      <c r="G36" s="8" t="s">
        <v>31</v>
      </c>
      <c r="H36" s="8" t="s">
        <v>68</v>
      </c>
      <c r="I36" s="8" t="s">
        <v>213</v>
      </c>
      <c r="J36" s="8" t="s">
        <v>54</v>
      </c>
      <c r="K36" s="8" t="s">
        <v>23</v>
      </c>
      <c r="L36" s="8" t="s">
        <v>78</v>
      </c>
      <c r="M36" s="10" t="s">
        <v>222</v>
      </c>
      <c r="N36" s="11" t="s">
        <v>26</v>
      </c>
    </row>
    <row r="37" spans="1:14" ht="15.75" customHeight="1" x14ac:dyDescent="0.15">
      <c r="A37" s="6" t="s">
        <v>194</v>
      </c>
      <c r="B37" s="12" t="s">
        <v>223</v>
      </c>
      <c r="C37" s="7" t="s">
        <v>224</v>
      </c>
      <c r="D37" s="13" t="s">
        <v>107</v>
      </c>
      <c r="E37" s="14">
        <v>35331</v>
      </c>
      <c r="F37" s="13" t="s">
        <v>148</v>
      </c>
      <c r="G37" s="13" t="s">
        <v>93</v>
      </c>
      <c r="H37" s="13" t="s">
        <v>225</v>
      </c>
      <c r="I37" s="13" t="s">
        <v>197</v>
      </c>
      <c r="J37" s="13" t="s">
        <v>150</v>
      </c>
      <c r="K37" s="13" t="s">
        <v>77</v>
      </c>
      <c r="L37" s="13" t="s">
        <v>151</v>
      </c>
      <c r="M37" s="15" t="s">
        <v>226</v>
      </c>
      <c r="N37" s="11" t="s">
        <v>26</v>
      </c>
    </row>
    <row r="38" spans="1:14" ht="15.75" customHeight="1" x14ac:dyDescent="0.15">
      <c r="A38" s="12" t="s">
        <v>201</v>
      </c>
      <c r="B38" s="6" t="s">
        <v>227</v>
      </c>
      <c r="C38" s="7" t="s">
        <v>228</v>
      </c>
      <c r="D38" s="8" t="s">
        <v>49</v>
      </c>
      <c r="E38" s="9">
        <v>37714</v>
      </c>
      <c r="F38" s="8" t="s">
        <v>186</v>
      </c>
      <c r="G38" s="8" t="s">
        <v>131</v>
      </c>
      <c r="H38" s="8" t="s">
        <v>196</v>
      </c>
      <c r="I38" s="8" t="s">
        <v>115</v>
      </c>
      <c r="J38" s="8" t="s">
        <v>54</v>
      </c>
      <c r="K38" s="8" t="s">
        <v>44</v>
      </c>
      <c r="L38" s="8" t="s">
        <v>45</v>
      </c>
      <c r="M38" s="10" t="s">
        <v>229</v>
      </c>
      <c r="N38" s="11" t="s">
        <v>26</v>
      </c>
    </row>
    <row r="39" spans="1:14" ht="15.75" customHeight="1" x14ac:dyDescent="0.15">
      <c r="A39" s="6" t="s">
        <v>205</v>
      </c>
      <c r="B39" s="12" t="s">
        <v>230</v>
      </c>
      <c r="C39" s="7" t="s">
        <v>231</v>
      </c>
      <c r="D39" s="13" t="s">
        <v>107</v>
      </c>
      <c r="E39" s="14">
        <v>39324</v>
      </c>
      <c r="F39" s="13" t="s">
        <v>232</v>
      </c>
      <c r="G39" s="13" t="s">
        <v>93</v>
      </c>
      <c r="H39" s="13" t="s">
        <v>108</v>
      </c>
      <c r="I39" s="13" t="s">
        <v>103</v>
      </c>
      <c r="J39" s="13" t="s">
        <v>22</v>
      </c>
      <c r="K39" s="13" t="s">
        <v>23</v>
      </c>
      <c r="L39" s="13" t="s">
        <v>78</v>
      </c>
      <c r="M39" s="15" t="s">
        <v>233</v>
      </c>
      <c r="N39" s="11" t="s">
        <v>26</v>
      </c>
    </row>
    <row r="40" spans="1:14" ht="15.75" customHeight="1" x14ac:dyDescent="0.15">
      <c r="A40" s="12" t="s">
        <v>210</v>
      </c>
      <c r="B40" s="6" t="s">
        <v>234</v>
      </c>
      <c r="C40" s="7" t="s">
        <v>235</v>
      </c>
      <c r="D40" s="8" t="s">
        <v>17</v>
      </c>
      <c r="E40" s="9">
        <v>37301</v>
      </c>
      <c r="F40" s="8" t="s">
        <v>137</v>
      </c>
      <c r="G40" s="8" t="s">
        <v>131</v>
      </c>
      <c r="H40" s="8" t="s">
        <v>156</v>
      </c>
      <c r="I40" s="8" t="s">
        <v>103</v>
      </c>
      <c r="J40" s="8" t="s">
        <v>54</v>
      </c>
      <c r="K40" s="8" t="s">
        <v>44</v>
      </c>
      <c r="L40" s="8" t="s">
        <v>110</v>
      </c>
      <c r="M40" s="10" t="s">
        <v>229</v>
      </c>
      <c r="N40" s="11" t="s">
        <v>26</v>
      </c>
    </row>
    <row r="41" spans="1:14" ht="15.75" customHeight="1" x14ac:dyDescent="0.15">
      <c r="A41" s="6" t="s">
        <v>215</v>
      </c>
      <c r="B41" s="12" t="s">
        <v>236</v>
      </c>
      <c r="C41" s="7" t="s">
        <v>237</v>
      </c>
      <c r="D41" s="13" t="s">
        <v>107</v>
      </c>
      <c r="E41" s="14">
        <v>35940</v>
      </c>
      <c r="F41" s="13" t="s">
        <v>212</v>
      </c>
      <c r="G41" s="13" t="s">
        <v>93</v>
      </c>
      <c r="H41" s="13" t="s">
        <v>238</v>
      </c>
      <c r="I41" s="13" t="s">
        <v>239</v>
      </c>
      <c r="J41" s="13" t="s">
        <v>150</v>
      </c>
      <c r="K41" s="13" t="s">
        <v>44</v>
      </c>
      <c r="L41" s="13" t="s">
        <v>151</v>
      </c>
      <c r="M41" s="15" t="s">
        <v>240</v>
      </c>
      <c r="N41" s="11" t="s">
        <v>26</v>
      </c>
    </row>
    <row r="42" spans="1:14" ht="15.75" customHeight="1" x14ac:dyDescent="0.15">
      <c r="A42" s="6" t="s">
        <v>220</v>
      </c>
      <c r="B42" s="6" t="s">
        <v>241</v>
      </c>
      <c r="C42" s="7" t="s">
        <v>242</v>
      </c>
      <c r="D42" s="8" t="s">
        <v>107</v>
      </c>
      <c r="E42" s="9">
        <v>36331</v>
      </c>
      <c r="F42" s="8" t="s">
        <v>30</v>
      </c>
      <c r="G42" s="8" t="s">
        <v>243</v>
      </c>
      <c r="H42" s="8" t="s">
        <v>20</v>
      </c>
      <c r="I42" s="8" t="s">
        <v>109</v>
      </c>
      <c r="J42" s="8" t="s">
        <v>22</v>
      </c>
      <c r="K42" s="8" t="s">
        <v>77</v>
      </c>
      <c r="L42" s="8" t="s">
        <v>244</v>
      </c>
      <c r="M42" s="10" t="s">
        <v>245</v>
      </c>
      <c r="N42" s="11" t="s">
        <v>26</v>
      </c>
    </row>
    <row r="43" spans="1:14" ht="15.75" customHeight="1" x14ac:dyDescent="0.15">
      <c r="A43" s="12" t="s">
        <v>223</v>
      </c>
      <c r="B43" s="12" t="s">
        <v>246</v>
      </c>
      <c r="C43" s="7" t="s">
        <v>247</v>
      </c>
      <c r="D43" s="13" t="s">
        <v>107</v>
      </c>
      <c r="E43" s="14">
        <v>38146</v>
      </c>
      <c r="F43" s="13" t="s">
        <v>92</v>
      </c>
      <c r="G43" s="13" t="s">
        <v>41</v>
      </c>
      <c r="H43" s="13" t="s">
        <v>114</v>
      </c>
      <c r="I43" s="13" t="s">
        <v>95</v>
      </c>
      <c r="J43" s="13" t="s">
        <v>54</v>
      </c>
      <c r="K43" s="13" t="s">
        <v>44</v>
      </c>
      <c r="L43" s="13" t="s">
        <v>128</v>
      </c>
      <c r="M43" s="15" t="s">
        <v>248</v>
      </c>
      <c r="N43" s="11" t="s">
        <v>26</v>
      </c>
    </row>
    <row r="44" spans="1:14" ht="15.75" customHeight="1" x14ac:dyDescent="0.15">
      <c r="A44" s="6" t="s">
        <v>227</v>
      </c>
      <c r="B44" s="6" t="s">
        <v>249</v>
      </c>
      <c r="C44" s="7" t="s">
        <v>250</v>
      </c>
      <c r="D44" s="8" t="s">
        <v>107</v>
      </c>
      <c r="E44" s="16">
        <v>37214</v>
      </c>
      <c r="F44" s="8" t="s">
        <v>137</v>
      </c>
      <c r="G44" s="8" t="s">
        <v>131</v>
      </c>
      <c r="H44" s="8" t="s">
        <v>179</v>
      </c>
      <c r="I44" s="8" t="s">
        <v>33</v>
      </c>
      <c r="J44" s="8" t="s">
        <v>54</v>
      </c>
      <c r="K44" s="8" t="s">
        <v>23</v>
      </c>
      <c r="L44" s="8" t="s">
        <v>251</v>
      </c>
      <c r="M44" s="10" t="s">
        <v>252</v>
      </c>
      <c r="N44" s="11" t="s">
        <v>26</v>
      </c>
    </row>
    <row r="45" spans="1:14" ht="15.75" customHeight="1" x14ac:dyDescent="0.15">
      <c r="A45" s="12" t="s">
        <v>230</v>
      </c>
      <c r="B45" s="12" t="s">
        <v>253</v>
      </c>
      <c r="C45" s="7" t="s">
        <v>254</v>
      </c>
      <c r="D45" s="13" t="s">
        <v>107</v>
      </c>
      <c r="E45" s="14">
        <v>37140</v>
      </c>
      <c r="F45" s="13" t="s">
        <v>137</v>
      </c>
      <c r="G45" s="13" t="s">
        <v>41</v>
      </c>
      <c r="H45" s="13" t="s">
        <v>102</v>
      </c>
      <c r="I45" s="13" t="s">
        <v>207</v>
      </c>
      <c r="J45" s="13" t="s">
        <v>76</v>
      </c>
      <c r="K45" s="13" t="s">
        <v>77</v>
      </c>
      <c r="L45" s="13" t="s">
        <v>255</v>
      </c>
      <c r="M45" s="15" t="s">
        <v>256</v>
      </c>
      <c r="N45" s="11" t="s">
        <v>26</v>
      </c>
    </row>
    <row r="46" spans="1:14" ht="15.75" customHeight="1" x14ac:dyDescent="0.15">
      <c r="A46" s="6" t="s">
        <v>234</v>
      </c>
      <c r="B46" s="6" t="s">
        <v>257</v>
      </c>
      <c r="C46" s="7" t="s">
        <v>258</v>
      </c>
      <c r="D46" s="8" t="s">
        <v>107</v>
      </c>
      <c r="E46" s="16">
        <v>36512</v>
      </c>
      <c r="F46" s="8" t="s">
        <v>40</v>
      </c>
      <c r="G46" s="8" t="s">
        <v>131</v>
      </c>
      <c r="H46" s="8" t="s">
        <v>196</v>
      </c>
      <c r="I46" s="8" t="s">
        <v>43</v>
      </c>
      <c r="J46" s="8" t="s">
        <v>22</v>
      </c>
      <c r="K46" s="8" t="s">
        <v>44</v>
      </c>
      <c r="L46" s="8" t="s">
        <v>128</v>
      </c>
      <c r="M46" s="10" t="s">
        <v>172</v>
      </c>
      <c r="N46" s="11" t="s">
        <v>26</v>
      </c>
    </row>
    <row r="47" spans="1:14" ht="15.75" customHeight="1" x14ac:dyDescent="0.15">
      <c r="A47" s="6" t="s">
        <v>236</v>
      </c>
      <c r="B47" s="12" t="s">
        <v>259</v>
      </c>
      <c r="C47" s="7" t="s">
        <v>260</v>
      </c>
      <c r="D47" s="13" t="s">
        <v>17</v>
      </c>
      <c r="E47" s="14">
        <v>38584</v>
      </c>
      <c r="F47" s="13" t="s">
        <v>217</v>
      </c>
      <c r="G47" s="13" t="s">
        <v>138</v>
      </c>
      <c r="H47" s="13" t="s">
        <v>179</v>
      </c>
      <c r="I47" s="13" t="s">
        <v>261</v>
      </c>
      <c r="J47" s="13" t="s">
        <v>54</v>
      </c>
      <c r="K47" s="13" t="s">
        <v>44</v>
      </c>
      <c r="L47" s="13" t="s">
        <v>70</v>
      </c>
      <c r="M47" s="15" t="s">
        <v>262</v>
      </c>
      <c r="N47" s="11" t="s">
        <v>26</v>
      </c>
    </row>
    <row r="48" spans="1:14" ht="15.75" customHeight="1" x14ac:dyDescent="0.15">
      <c r="A48" s="12" t="s">
        <v>241</v>
      </c>
      <c r="B48" s="6" t="s">
        <v>263</v>
      </c>
      <c r="C48" s="7" t="s">
        <v>264</v>
      </c>
      <c r="D48" s="8" t="s">
        <v>39</v>
      </c>
      <c r="E48" s="9">
        <v>35101</v>
      </c>
      <c r="F48" s="8" t="s">
        <v>66</v>
      </c>
      <c r="G48" s="8" t="s">
        <v>67</v>
      </c>
      <c r="H48" s="8" t="s">
        <v>102</v>
      </c>
      <c r="I48" s="8" t="s">
        <v>265</v>
      </c>
      <c r="J48" s="8" t="s">
        <v>34</v>
      </c>
      <c r="K48" s="8" t="s">
        <v>23</v>
      </c>
      <c r="L48" s="8" t="s">
        <v>116</v>
      </c>
      <c r="M48" s="10" t="s">
        <v>71</v>
      </c>
      <c r="N48" s="11" t="s">
        <v>26</v>
      </c>
    </row>
    <row r="49" spans="1:14" ht="15.75" customHeight="1" x14ac:dyDescent="0.15">
      <c r="A49" s="6" t="s">
        <v>246</v>
      </c>
      <c r="B49" s="12" t="s">
        <v>266</v>
      </c>
      <c r="C49" s="7" t="s">
        <v>267</v>
      </c>
      <c r="D49" s="13" t="s">
        <v>107</v>
      </c>
      <c r="E49" s="14">
        <v>36918</v>
      </c>
      <c r="F49" s="13" t="s">
        <v>203</v>
      </c>
      <c r="G49" s="13" t="s">
        <v>131</v>
      </c>
      <c r="H49" s="13" t="s">
        <v>114</v>
      </c>
      <c r="I49" s="13" t="s">
        <v>127</v>
      </c>
      <c r="J49" s="13" t="s">
        <v>54</v>
      </c>
      <c r="K49" s="13" t="s">
        <v>44</v>
      </c>
      <c r="L49" s="13" t="s">
        <v>55</v>
      </c>
      <c r="M49" s="15" t="s">
        <v>36</v>
      </c>
      <c r="N49" s="11" t="s">
        <v>26</v>
      </c>
    </row>
    <row r="50" spans="1:14" ht="15.75" customHeight="1" x14ac:dyDescent="0.15">
      <c r="A50" s="12" t="s">
        <v>249</v>
      </c>
      <c r="B50" s="6" t="s">
        <v>268</v>
      </c>
      <c r="C50" s="7" t="s">
        <v>269</v>
      </c>
      <c r="D50" s="8" t="s">
        <v>107</v>
      </c>
      <c r="E50" s="9">
        <v>37163</v>
      </c>
      <c r="F50" s="8" t="s">
        <v>137</v>
      </c>
      <c r="G50" s="8" t="s">
        <v>93</v>
      </c>
      <c r="H50" s="8" t="s">
        <v>144</v>
      </c>
      <c r="I50" s="8" t="s">
        <v>149</v>
      </c>
      <c r="J50" s="8" t="s">
        <v>54</v>
      </c>
      <c r="K50" s="8" t="s">
        <v>44</v>
      </c>
      <c r="L50" s="8" t="s">
        <v>128</v>
      </c>
      <c r="M50" s="10" t="s">
        <v>270</v>
      </c>
      <c r="N50" s="11" t="s">
        <v>26</v>
      </c>
    </row>
    <row r="51" spans="1:14" ht="15.75" customHeight="1" x14ac:dyDescent="0.15">
      <c r="A51" s="6" t="s">
        <v>253</v>
      </c>
      <c r="B51" s="12" t="s">
        <v>271</v>
      </c>
      <c r="C51" s="7" t="s">
        <v>272</v>
      </c>
      <c r="D51" s="13" t="s">
        <v>17</v>
      </c>
      <c r="E51" s="14">
        <v>38606</v>
      </c>
      <c r="F51" s="13" t="s">
        <v>170</v>
      </c>
      <c r="G51" s="13" t="s">
        <v>138</v>
      </c>
      <c r="H51" s="13" t="s">
        <v>20</v>
      </c>
      <c r="I51" s="13" t="s">
        <v>273</v>
      </c>
      <c r="J51" s="13" t="s">
        <v>76</v>
      </c>
      <c r="K51" s="13" t="s">
        <v>44</v>
      </c>
      <c r="L51" s="13" t="s">
        <v>116</v>
      </c>
      <c r="M51" s="15" t="s">
        <v>274</v>
      </c>
      <c r="N51" s="11" t="s">
        <v>26</v>
      </c>
    </row>
    <row r="52" spans="1:14" ht="15.75" customHeight="1" x14ac:dyDescent="0.15">
      <c r="A52" s="6" t="s">
        <v>257</v>
      </c>
      <c r="B52" s="6" t="s">
        <v>275</v>
      </c>
      <c r="C52" s="7" t="s">
        <v>276</v>
      </c>
      <c r="D52" s="8" t="s">
        <v>49</v>
      </c>
      <c r="E52" s="9">
        <v>34452</v>
      </c>
      <c r="F52" s="8" t="s">
        <v>18</v>
      </c>
      <c r="G52" s="8" t="s">
        <v>60</v>
      </c>
      <c r="H52" s="8" t="s">
        <v>52</v>
      </c>
      <c r="I52" s="8" t="s">
        <v>213</v>
      </c>
      <c r="J52" s="8" t="s">
        <v>76</v>
      </c>
      <c r="K52" s="8" t="s">
        <v>44</v>
      </c>
      <c r="L52" s="8" t="s">
        <v>277</v>
      </c>
      <c r="M52" s="10" t="s">
        <v>36</v>
      </c>
      <c r="N52" s="11" t="s">
        <v>26</v>
      </c>
    </row>
    <row r="53" spans="1:14" ht="15.75" customHeight="1" x14ac:dyDescent="0.15">
      <c r="A53" s="12" t="s">
        <v>259</v>
      </c>
      <c r="B53" s="12" t="s">
        <v>278</v>
      </c>
      <c r="C53" s="7" t="s">
        <v>279</v>
      </c>
      <c r="D53" s="13" t="s">
        <v>39</v>
      </c>
      <c r="E53" s="14">
        <v>37759</v>
      </c>
      <c r="F53" s="13" t="s">
        <v>186</v>
      </c>
      <c r="G53" s="13" t="s">
        <v>243</v>
      </c>
      <c r="H53" s="13" t="s">
        <v>102</v>
      </c>
      <c r="I53" s="13" t="s">
        <v>109</v>
      </c>
      <c r="J53" s="13" t="s">
        <v>22</v>
      </c>
      <c r="K53" s="13" t="s">
        <v>77</v>
      </c>
      <c r="L53" s="13" t="s">
        <v>121</v>
      </c>
      <c r="M53" s="15" t="s">
        <v>280</v>
      </c>
      <c r="N53" s="11" t="s">
        <v>26</v>
      </c>
    </row>
    <row r="54" spans="1:14" ht="15.75" customHeight="1" x14ac:dyDescent="0.15">
      <c r="A54" s="6" t="s">
        <v>263</v>
      </c>
      <c r="B54" s="6" t="s">
        <v>281</v>
      </c>
      <c r="C54" s="7" t="s">
        <v>282</v>
      </c>
      <c r="D54" s="8" t="s">
        <v>49</v>
      </c>
      <c r="E54" s="16">
        <v>37182</v>
      </c>
      <c r="F54" s="8" t="s">
        <v>137</v>
      </c>
      <c r="G54" s="8" t="s">
        <v>204</v>
      </c>
      <c r="H54" s="8" t="s">
        <v>52</v>
      </c>
      <c r="I54" s="8" t="s">
        <v>207</v>
      </c>
      <c r="J54" s="8" t="s">
        <v>54</v>
      </c>
      <c r="K54" s="8" t="s">
        <v>44</v>
      </c>
      <c r="L54" s="8" t="s">
        <v>283</v>
      </c>
      <c r="M54" s="10" t="s">
        <v>284</v>
      </c>
      <c r="N54" s="11" t="s">
        <v>26</v>
      </c>
    </row>
    <row r="55" spans="1:14" ht="15.75" customHeight="1" x14ac:dyDescent="0.15">
      <c r="A55" s="12" t="s">
        <v>266</v>
      </c>
      <c r="B55" s="12" t="s">
        <v>285</v>
      </c>
      <c r="C55" s="7" t="s">
        <v>286</v>
      </c>
      <c r="D55" s="13" t="s">
        <v>39</v>
      </c>
      <c r="E55" s="14">
        <v>35871</v>
      </c>
      <c r="F55" s="13" t="s">
        <v>212</v>
      </c>
      <c r="G55" s="13" t="s">
        <v>204</v>
      </c>
      <c r="H55" s="13" t="s">
        <v>114</v>
      </c>
      <c r="I55" s="13" t="s">
        <v>21</v>
      </c>
      <c r="J55" s="13" t="s">
        <v>54</v>
      </c>
      <c r="K55" s="13" t="s">
        <v>44</v>
      </c>
      <c r="L55" s="13" t="s">
        <v>133</v>
      </c>
      <c r="M55" s="15" t="s">
        <v>287</v>
      </c>
      <c r="N55" s="11" t="s">
        <v>26</v>
      </c>
    </row>
    <row r="56" spans="1:14" ht="15.75" customHeight="1" x14ac:dyDescent="0.15">
      <c r="A56" s="6" t="s">
        <v>268</v>
      </c>
      <c r="B56" s="6" t="s">
        <v>288</v>
      </c>
      <c r="C56" s="7" t="s">
        <v>289</v>
      </c>
      <c r="D56" s="8" t="s">
        <v>39</v>
      </c>
      <c r="E56" s="9">
        <v>35548</v>
      </c>
      <c r="F56" s="8" t="s">
        <v>148</v>
      </c>
      <c r="G56" s="8" t="s">
        <v>243</v>
      </c>
      <c r="H56" s="8" t="s">
        <v>156</v>
      </c>
      <c r="I56" s="8" t="s">
        <v>95</v>
      </c>
      <c r="J56" s="8" t="s">
        <v>76</v>
      </c>
      <c r="K56" s="8" t="s">
        <v>44</v>
      </c>
      <c r="L56" s="8" t="s">
        <v>45</v>
      </c>
      <c r="M56" s="10" t="s">
        <v>290</v>
      </c>
      <c r="N56" s="11" t="s">
        <v>26</v>
      </c>
    </row>
    <row r="57" spans="1:14" ht="15.75" customHeight="1" x14ac:dyDescent="0.15">
      <c r="A57" s="6" t="s">
        <v>271</v>
      </c>
      <c r="B57" s="12" t="s">
        <v>291</v>
      </c>
      <c r="C57" s="7" t="s">
        <v>292</v>
      </c>
      <c r="D57" s="13" t="s">
        <v>17</v>
      </c>
      <c r="E57" s="14">
        <v>35174</v>
      </c>
      <c r="F57" s="13" t="s">
        <v>66</v>
      </c>
      <c r="G57" s="13" t="s">
        <v>293</v>
      </c>
      <c r="H57" s="13" t="s">
        <v>68</v>
      </c>
      <c r="I57" s="13" t="s">
        <v>69</v>
      </c>
      <c r="J57" s="13" t="s">
        <v>22</v>
      </c>
      <c r="K57" s="13" t="s">
        <v>294</v>
      </c>
      <c r="L57" s="13" t="s">
        <v>283</v>
      </c>
      <c r="M57" s="15" t="s">
        <v>256</v>
      </c>
      <c r="N57" s="11" t="s">
        <v>26</v>
      </c>
    </row>
    <row r="58" spans="1:14" ht="15.75" customHeight="1" x14ac:dyDescent="0.15">
      <c r="A58" s="12" t="s">
        <v>275</v>
      </c>
      <c r="B58" s="6" t="s">
        <v>295</v>
      </c>
      <c r="C58" s="7" t="s">
        <v>296</v>
      </c>
      <c r="D58" s="8" t="s">
        <v>107</v>
      </c>
      <c r="E58" s="9">
        <v>37062</v>
      </c>
      <c r="F58" s="8" t="s">
        <v>203</v>
      </c>
      <c r="G58" s="8" t="s">
        <v>138</v>
      </c>
      <c r="H58" s="8" t="s">
        <v>94</v>
      </c>
      <c r="I58" s="8" t="s">
        <v>115</v>
      </c>
      <c r="J58" s="8" t="s">
        <v>22</v>
      </c>
      <c r="K58" s="8" t="s">
        <v>44</v>
      </c>
      <c r="L58" s="8" t="s">
        <v>297</v>
      </c>
      <c r="M58" s="10" t="s">
        <v>298</v>
      </c>
      <c r="N58" s="11" t="s">
        <v>26</v>
      </c>
    </row>
    <row r="59" spans="1:14" ht="15.75" customHeight="1" x14ac:dyDescent="0.15">
      <c r="A59" s="6" t="s">
        <v>278</v>
      </c>
      <c r="B59" s="12" t="s">
        <v>299</v>
      </c>
      <c r="C59" s="7" t="s">
        <v>300</v>
      </c>
      <c r="D59" s="13" t="s">
        <v>107</v>
      </c>
      <c r="E59" s="14">
        <v>36471</v>
      </c>
      <c r="F59" s="13" t="s">
        <v>40</v>
      </c>
      <c r="G59" s="13" t="s">
        <v>243</v>
      </c>
      <c r="H59" s="13" t="s">
        <v>32</v>
      </c>
      <c r="I59" s="13" t="s">
        <v>61</v>
      </c>
      <c r="J59" s="13" t="s">
        <v>22</v>
      </c>
      <c r="K59" s="13" t="s">
        <v>44</v>
      </c>
      <c r="L59" s="13" t="s">
        <v>301</v>
      </c>
      <c r="M59" s="15" t="s">
        <v>302</v>
      </c>
      <c r="N59" s="11" t="s">
        <v>26</v>
      </c>
    </row>
    <row r="60" spans="1:14" ht="15.75" customHeight="1" x14ac:dyDescent="0.15">
      <c r="A60" s="12" t="s">
        <v>281</v>
      </c>
      <c r="B60" s="6" t="s">
        <v>303</v>
      </c>
      <c r="C60" s="7" t="s">
        <v>304</v>
      </c>
      <c r="D60" s="8" t="s">
        <v>107</v>
      </c>
      <c r="E60" s="9">
        <v>36358</v>
      </c>
      <c r="F60" s="8" t="s">
        <v>30</v>
      </c>
      <c r="G60" s="8" t="s">
        <v>19</v>
      </c>
      <c r="H60" s="8" t="s">
        <v>114</v>
      </c>
      <c r="I60" s="8" t="s">
        <v>115</v>
      </c>
      <c r="J60" s="8" t="s">
        <v>22</v>
      </c>
      <c r="K60" s="8" t="s">
        <v>44</v>
      </c>
      <c r="L60" s="8" t="s">
        <v>121</v>
      </c>
      <c r="M60" s="10" t="s">
        <v>305</v>
      </c>
      <c r="N60" s="11" t="s">
        <v>26</v>
      </c>
    </row>
    <row r="61" spans="1:14" ht="15.75" customHeight="1" x14ac:dyDescent="0.15">
      <c r="A61" s="6" t="s">
        <v>285</v>
      </c>
      <c r="B61" s="12" t="s">
        <v>306</v>
      </c>
      <c r="C61" s="7" t="s">
        <v>307</v>
      </c>
      <c r="D61" s="13" t="s">
        <v>107</v>
      </c>
      <c r="E61" s="14">
        <v>37130</v>
      </c>
      <c r="F61" s="13" t="s">
        <v>203</v>
      </c>
      <c r="G61" s="13" t="s">
        <v>138</v>
      </c>
      <c r="H61" s="13" t="s">
        <v>20</v>
      </c>
      <c r="I61" s="13" t="s">
        <v>33</v>
      </c>
      <c r="J61" s="13" t="s">
        <v>22</v>
      </c>
      <c r="K61" s="13" t="s">
        <v>44</v>
      </c>
      <c r="L61" s="13" t="s">
        <v>133</v>
      </c>
      <c r="M61" s="15" t="s">
        <v>172</v>
      </c>
      <c r="N61" s="11" t="s">
        <v>26</v>
      </c>
    </row>
    <row r="62" spans="1:14" ht="15.75" customHeight="1" x14ac:dyDescent="0.15">
      <c r="A62" s="6" t="s">
        <v>288</v>
      </c>
      <c r="B62" s="6" t="s">
        <v>308</v>
      </c>
      <c r="C62" s="7" t="s">
        <v>309</v>
      </c>
      <c r="D62" s="8" t="s">
        <v>17</v>
      </c>
      <c r="E62" s="16">
        <v>37546</v>
      </c>
      <c r="F62" s="8" t="s">
        <v>186</v>
      </c>
      <c r="G62" s="8" t="s">
        <v>31</v>
      </c>
      <c r="H62" s="8" t="s">
        <v>156</v>
      </c>
      <c r="I62" s="8" t="s">
        <v>207</v>
      </c>
      <c r="J62" s="8" t="s">
        <v>22</v>
      </c>
      <c r="K62" s="8" t="s">
        <v>23</v>
      </c>
      <c r="L62" s="8" t="s">
        <v>310</v>
      </c>
      <c r="M62" s="10" t="s">
        <v>199</v>
      </c>
      <c r="N62" s="11" t="s">
        <v>26</v>
      </c>
    </row>
    <row r="63" spans="1:14" ht="15.75" customHeight="1" x14ac:dyDescent="0.15">
      <c r="A63" s="12" t="s">
        <v>291</v>
      </c>
      <c r="B63" s="12" t="s">
        <v>311</v>
      </c>
      <c r="C63" s="7" t="s">
        <v>312</v>
      </c>
      <c r="D63" s="13" t="s">
        <v>49</v>
      </c>
      <c r="E63" s="14">
        <v>38013</v>
      </c>
      <c r="F63" s="13" t="s">
        <v>92</v>
      </c>
      <c r="G63" s="13" t="s">
        <v>243</v>
      </c>
      <c r="H63" s="13" t="s">
        <v>82</v>
      </c>
      <c r="I63" s="13" t="s">
        <v>313</v>
      </c>
      <c r="J63" s="13" t="s">
        <v>22</v>
      </c>
      <c r="K63" s="13" t="s">
        <v>44</v>
      </c>
      <c r="L63" s="13" t="s">
        <v>297</v>
      </c>
      <c r="M63" s="15" t="s">
        <v>161</v>
      </c>
      <c r="N63" s="11" t="s">
        <v>26</v>
      </c>
    </row>
    <row r="64" spans="1:14" ht="15.75" customHeight="1" x14ac:dyDescent="0.15">
      <c r="A64" s="6" t="s">
        <v>295</v>
      </c>
      <c r="B64" s="6" t="s">
        <v>314</v>
      </c>
      <c r="C64" s="7" t="s">
        <v>315</v>
      </c>
      <c r="D64" s="8" t="s">
        <v>107</v>
      </c>
      <c r="E64" s="9">
        <v>35640</v>
      </c>
      <c r="F64" s="8" t="s">
        <v>148</v>
      </c>
      <c r="G64" s="8" t="s">
        <v>31</v>
      </c>
      <c r="H64" s="8" t="s">
        <v>68</v>
      </c>
      <c r="I64" s="8" t="s">
        <v>103</v>
      </c>
      <c r="J64" s="8" t="s">
        <v>22</v>
      </c>
      <c r="K64" s="8" t="s">
        <v>44</v>
      </c>
      <c r="L64" s="8" t="s">
        <v>251</v>
      </c>
      <c r="M64" s="10" t="s">
        <v>111</v>
      </c>
      <c r="N64" s="11" t="s">
        <v>26</v>
      </c>
    </row>
    <row r="65" spans="1:14" ht="15.75" customHeight="1" x14ac:dyDescent="0.15">
      <c r="A65" s="12" t="s">
        <v>299</v>
      </c>
      <c r="B65" s="12" t="s">
        <v>316</v>
      </c>
      <c r="C65" s="7" t="s">
        <v>317</v>
      </c>
      <c r="D65" s="13" t="s">
        <v>49</v>
      </c>
      <c r="E65" s="14">
        <v>37815</v>
      </c>
      <c r="F65" s="13" t="s">
        <v>186</v>
      </c>
      <c r="G65" s="13" t="s">
        <v>131</v>
      </c>
      <c r="H65" s="13" t="s">
        <v>179</v>
      </c>
      <c r="I65" s="13" t="s">
        <v>192</v>
      </c>
      <c r="J65" s="13" t="s">
        <v>22</v>
      </c>
      <c r="K65" s="13" t="s">
        <v>23</v>
      </c>
      <c r="L65" s="13" t="s">
        <v>214</v>
      </c>
      <c r="M65" s="15" t="s">
        <v>318</v>
      </c>
      <c r="N65" s="11" t="s">
        <v>26</v>
      </c>
    </row>
    <row r="66" spans="1:14" ht="15.75" customHeight="1" x14ac:dyDescent="0.15">
      <c r="A66" s="6" t="s">
        <v>303</v>
      </c>
      <c r="B66" s="6" t="s">
        <v>319</v>
      </c>
      <c r="C66" s="7" t="s">
        <v>320</v>
      </c>
      <c r="D66" s="8" t="s">
        <v>39</v>
      </c>
      <c r="E66" s="9">
        <v>37170</v>
      </c>
      <c r="F66" s="8" t="s">
        <v>137</v>
      </c>
      <c r="G66" s="8" t="s">
        <v>138</v>
      </c>
      <c r="H66" s="8" t="s">
        <v>74</v>
      </c>
      <c r="I66" s="8" t="s">
        <v>69</v>
      </c>
      <c r="J66" s="8" t="s">
        <v>22</v>
      </c>
      <c r="K66" s="8" t="s">
        <v>23</v>
      </c>
      <c r="L66" s="8" t="s">
        <v>244</v>
      </c>
      <c r="M66" s="10" t="s">
        <v>318</v>
      </c>
      <c r="N66" s="11" t="s">
        <v>26</v>
      </c>
    </row>
    <row r="67" spans="1:14" ht="15.75" customHeight="1" x14ac:dyDescent="0.15">
      <c r="A67" s="6" t="s">
        <v>306</v>
      </c>
      <c r="B67" s="12" t="s">
        <v>321</v>
      </c>
      <c r="C67" s="7" t="s">
        <v>322</v>
      </c>
      <c r="D67" s="13" t="s">
        <v>39</v>
      </c>
      <c r="E67" s="14">
        <v>35802</v>
      </c>
      <c r="F67" s="13" t="s">
        <v>212</v>
      </c>
      <c r="G67" s="13" t="s">
        <v>93</v>
      </c>
      <c r="H67" s="13" t="s">
        <v>171</v>
      </c>
      <c r="I67" s="13" t="s">
        <v>323</v>
      </c>
      <c r="J67" s="13" t="s">
        <v>22</v>
      </c>
      <c r="K67" s="13" t="s">
        <v>44</v>
      </c>
      <c r="L67" s="13" t="s">
        <v>324</v>
      </c>
      <c r="M67" s="15" t="s">
        <v>188</v>
      </c>
      <c r="N67" s="11" t="s">
        <v>26</v>
      </c>
    </row>
    <row r="68" spans="1:14" ht="15.75" customHeight="1" x14ac:dyDescent="0.15">
      <c r="A68" s="12" t="s">
        <v>308</v>
      </c>
      <c r="B68" s="6" t="s">
        <v>325</v>
      </c>
      <c r="C68" s="7" t="s">
        <v>326</v>
      </c>
      <c r="D68" s="8" t="s">
        <v>107</v>
      </c>
      <c r="E68" s="9">
        <v>37768</v>
      </c>
      <c r="F68" s="8" t="s">
        <v>186</v>
      </c>
      <c r="G68" s="8" t="s">
        <v>93</v>
      </c>
      <c r="H68" s="8" t="s">
        <v>156</v>
      </c>
      <c r="I68" s="8" t="s">
        <v>21</v>
      </c>
      <c r="J68" s="8" t="s">
        <v>54</v>
      </c>
      <c r="K68" s="8" t="s">
        <v>44</v>
      </c>
      <c r="L68" s="8" t="s">
        <v>277</v>
      </c>
      <c r="M68" s="10" t="s">
        <v>318</v>
      </c>
      <c r="N68" s="11" t="s">
        <v>26</v>
      </c>
    </row>
    <row r="69" spans="1:14" ht="15.75" customHeight="1" x14ac:dyDescent="0.15">
      <c r="A69" s="6" t="s">
        <v>311</v>
      </c>
      <c r="B69" s="12" t="s">
        <v>327</v>
      </c>
      <c r="C69" s="7" t="s">
        <v>328</v>
      </c>
      <c r="D69" s="13" t="s">
        <v>107</v>
      </c>
      <c r="E69" s="14">
        <v>34594</v>
      </c>
      <c r="F69" s="13" t="s">
        <v>59</v>
      </c>
      <c r="G69" s="13" t="s">
        <v>93</v>
      </c>
      <c r="H69" s="13" t="s">
        <v>156</v>
      </c>
      <c r="I69" s="13" t="s">
        <v>115</v>
      </c>
      <c r="J69" s="13" t="s">
        <v>150</v>
      </c>
      <c r="K69" s="13" t="s">
        <v>77</v>
      </c>
      <c r="L69" s="13" t="s">
        <v>324</v>
      </c>
      <c r="M69" s="15" t="s">
        <v>329</v>
      </c>
      <c r="N69" s="11" t="s">
        <v>26</v>
      </c>
    </row>
    <row r="70" spans="1:14" ht="15.75" customHeight="1" x14ac:dyDescent="0.15">
      <c r="A70" s="12" t="s">
        <v>314</v>
      </c>
      <c r="B70" s="6" t="s">
        <v>330</v>
      </c>
      <c r="C70" s="7" t="s">
        <v>331</v>
      </c>
      <c r="D70" s="8" t="s">
        <v>107</v>
      </c>
      <c r="E70" s="9">
        <v>32152</v>
      </c>
      <c r="F70" s="8" t="s">
        <v>332</v>
      </c>
      <c r="G70" s="8" t="s">
        <v>31</v>
      </c>
      <c r="H70" s="8" t="s">
        <v>333</v>
      </c>
      <c r="I70" s="8" t="s">
        <v>239</v>
      </c>
      <c r="J70" s="8" t="s">
        <v>150</v>
      </c>
      <c r="K70" s="8" t="s">
        <v>44</v>
      </c>
      <c r="L70" s="8" t="s">
        <v>324</v>
      </c>
      <c r="M70" s="10" t="s">
        <v>104</v>
      </c>
      <c r="N70" s="11" t="s">
        <v>26</v>
      </c>
    </row>
    <row r="71" spans="1:14" ht="15.75" customHeight="1" x14ac:dyDescent="0.15">
      <c r="A71" s="6" t="s">
        <v>334</v>
      </c>
      <c r="B71" s="12" t="s">
        <v>335</v>
      </c>
      <c r="C71" s="7" t="s">
        <v>336</v>
      </c>
      <c r="D71" s="13" t="s">
        <v>107</v>
      </c>
      <c r="E71" s="14">
        <v>35170</v>
      </c>
      <c r="F71" s="13" t="s">
        <v>66</v>
      </c>
      <c r="G71" s="13" t="s">
        <v>93</v>
      </c>
      <c r="H71" s="13" t="s">
        <v>171</v>
      </c>
      <c r="I71" s="13" t="s">
        <v>337</v>
      </c>
      <c r="J71" s="13" t="s">
        <v>150</v>
      </c>
      <c r="K71" s="13" t="s">
        <v>44</v>
      </c>
      <c r="L71" s="13" t="s">
        <v>324</v>
      </c>
      <c r="M71" s="15" t="s">
        <v>338</v>
      </c>
      <c r="N71" s="11" t="s">
        <v>26</v>
      </c>
    </row>
    <row r="72" spans="1:14" ht="15.75" customHeight="1" x14ac:dyDescent="0.15">
      <c r="A72" s="6" t="s">
        <v>339</v>
      </c>
      <c r="B72" s="6" t="s">
        <v>340</v>
      </c>
      <c r="C72" s="7" t="s">
        <v>341</v>
      </c>
      <c r="D72" s="8" t="s">
        <v>39</v>
      </c>
      <c r="E72" s="9">
        <v>37147</v>
      </c>
      <c r="F72" s="8" t="s">
        <v>137</v>
      </c>
      <c r="G72" s="8" t="s">
        <v>204</v>
      </c>
      <c r="H72" s="8" t="s">
        <v>144</v>
      </c>
      <c r="I72" s="8" t="s">
        <v>342</v>
      </c>
      <c r="J72" s="8" t="s">
        <v>22</v>
      </c>
      <c r="K72" s="8" t="s">
        <v>44</v>
      </c>
      <c r="L72" s="8" t="s">
        <v>198</v>
      </c>
      <c r="M72" s="10" t="s">
        <v>287</v>
      </c>
      <c r="N72" s="11" t="s">
        <v>26</v>
      </c>
    </row>
    <row r="73" spans="1:14" ht="15.75" customHeight="1" x14ac:dyDescent="0.15">
      <c r="A73" s="12" t="s">
        <v>343</v>
      </c>
      <c r="B73" s="12" t="s">
        <v>344</v>
      </c>
      <c r="C73" s="7" t="s">
        <v>345</v>
      </c>
      <c r="D73" s="13" t="s">
        <v>17</v>
      </c>
      <c r="E73" s="14">
        <v>38370</v>
      </c>
      <c r="F73" s="13" t="s">
        <v>217</v>
      </c>
      <c r="G73" s="13" t="s">
        <v>41</v>
      </c>
      <c r="H73" s="13" t="s">
        <v>32</v>
      </c>
      <c r="I73" s="13" t="s">
        <v>157</v>
      </c>
      <c r="J73" s="13" t="s">
        <v>54</v>
      </c>
      <c r="K73" s="13" t="s">
        <v>44</v>
      </c>
      <c r="L73" s="13" t="s">
        <v>35</v>
      </c>
      <c r="M73" s="15" t="s">
        <v>233</v>
      </c>
      <c r="N73" s="11" t="s">
        <v>26</v>
      </c>
    </row>
    <row r="74" spans="1:14" ht="15.75" customHeight="1" x14ac:dyDescent="0.15">
      <c r="A74" s="6" t="s">
        <v>346</v>
      </c>
      <c r="B74" s="6" t="s">
        <v>347</v>
      </c>
      <c r="C74" s="7" t="s">
        <v>348</v>
      </c>
      <c r="D74" s="8" t="s">
        <v>107</v>
      </c>
      <c r="E74" s="9">
        <v>35584</v>
      </c>
      <c r="F74" s="8" t="s">
        <v>148</v>
      </c>
      <c r="G74" s="8" t="s">
        <v>204</v>
      </c>
      <c r="H74" s="8" t="s">
        <v>114</v>
      </c>
      <c r="I74" s="8" t="s">
        <v>115</v>
      </c>
      <c r="J74" s="8" t="s">
        <v>54</v>
      </c>
      <c r="K74" s="8" t="s">
        <v>44</v>
      </c>
      <c r="L74" s="8" t="s">
        <v>45</v>
      </c>
      <c r="M74" s="10" t="s">
        <v>349</v>
      </c>
      <c r="N74" s="11" t="s">
        <v>26</v>
      </c>
    </row>
    <row r="75" spans="1:14" ht="15.75" customHeight="1" x14ac:dyDescent="0.15">
      <c r="A75" s="12" t="s">
        <v>350</v>
      </c>
      <c r="B75" s="12" t="s">
        <v>351</v>
      </c>
      <c r="C75" s="7" t="s">
        <v>352</v>
      </c>
      <c r="D75" s="13" t="s">
        <v>107</v>
      </c>
      <c r="E75" s="14">
        <v>36396</v>
      </c>
      <c r="F75" s="13" t="s">
        <v>30</v>
      </c>
      <c r="G75" s="13" t="s">
        <v>138</v>
      </c>
      <c r="H75" s="13" t="s">
        <v>94</v>
      </c>
      <c r="I75" s="13" t="s">
        <v>43</v>
      </c>
      <c r="J75" s="13" t="s">
        <v>22</v>
      </c>
      <c r="K75" s="13" t="s">
        <v>44</v>
      </c>
      <c r="L75" s="13" t="s">
        <v>353</v>
      </c>
      <c r="M75" s="15" t="s">
        <v>318</v>
      </c>
      <c r="N75" s="11" t="s">
        <v>26</v>
      </c>
    </row>
    <row r="76" spans="1:14" ht="15.75" customHeight="1" x14ac:dyDescent="0.15">
      <c r="A76" s="6" t="s">
        <v>354</v>
      </c>
      <c r="B76" s="6" t="s">
        <v>355</v>
      </c>
      <c r="C76" s="7" t="s">
        <v>356</v>
      </c>
      <c r="D76" s="8" t="s">
        <v>107</v>
      </c>
      <c r="E76" s="9">
        <v>36472</v>
      </c>
      <c r="F76" s="8" t="s">
        <v>40</v>
      </c>
      <c r="G76" s="8" t="s">
        <v>243</v>
      </c>
      <c r="H76" s="8" t="s">
        <v>156</v>
      </c>
      <c r="I76" s="8" t="s">
        <v>149</v>
      </c>
      <c r="J76" s="8" t="s">
        <v>76</v>
      </c>
      <c r="K76" s="8" t="s">
        <v>77</v>
      </c>
      <c r="L76" s="8" t="s">
        <v>297</v>
      </c>
      <c r="M76" s="10" t="s">
        <v>357</v>
      </c>
      <c r="N76" s="11" t="s">
        <v>26</v>
      </c>
    </row>
    <row r="77" spans="1:14" ht="15.75" customHeight="1" x14ac:dyDescent="0.15">
      <c r="A77" s="6" t="s">
        <v>358</v>
      </c>
      <c r="B77" s="12" t="s">
        <v>359</v>
      </c>
      <c r="C77" s="7" t="s">
        <v>360</v>
      </c>
      <c r="D77" s="13" t="s">
        <v>39</v>
      </c>
      <c r="E77" s="14">
        <v>37591</v>
      </c>
      <c r="F77" s="13" t="s">
        <v>186</v>
      </c>
      <c r="G77" s="13" t="s">
        <v>93</v>
      </c>
      <c r="H77" s="13" t="s">
        <v>139</v>
      </c>
      <c r="I77" s="13" t="s">
        <v>361</v>
      </c>
      <c r="J77" s="13" t="s">
        <v>54</v>
      </c>
      <c r="K77" s="13" t="s">
        <v>23</v>
      </c>
      <c r="L77" s="13" t="s">
        <v>362</v>
      </c>
      <c r="M77" s="15" t="s">
        <v>318</v>
      </c>
      <c r="N77" s="11" t="s">
        <v>26</v>
      </c>
    </row>
    <row r="78" spans="1:14" ht="15.75" customHeight="1" x14ac:dyDescent="0.15">
      <c r="A78" s="12" t="s">
        <v>363</v>
      </c>
      <c r="B78" s="6" t="s">
        <v>364</v>
      </c>
      <c r="C78" s="7" t="s">
        <v>365</v>
      </c>
      <c r="D78" s="8" t="s">
        <v>17</v>
      </c>
      <c r="E78" s="9">
        <v>37013</v>
      </c>
      <c r="F78" s="8" t="s">
        <v>203</v>
      </c>
      <c r="G78" s="8" t="s">
        <v>131</v>
      </c>
      <c r="H78" s="8" t="s">
        <v>139</v>
      </c>
      <c r="I78" s="8" t="s">
        <v>261</v>
      </c>
      <c r="J78" s="8" t="s">
        <v>76</v>
      </c>
      <c r="K78" s="8" t="s">
        <v>23</v>
      </c>
      <c r="L78" s="8" t="s">
        <v>158</v>
      </c>
      <c r="M78" s="10" t="s">
        <v>318</v>
      </c>
      <c r="N78" s="11" t="s">
        <v>26</v>
      </c>
    </row>
    <row r="79" spans="1:14" ht="15.75" customHeight="1" x14ac:dyDescent="0.15">
      <c r="A79" s="6" t="s">
        <v>366</v>
      </c>
      <c r="B79" s="12" t="s">
        <v>367</v>
      </c>
      <c r="C79" s="7" t="s">
        <v>368</v>
      </c>
      <c r="D79" s="13" t="s">
        <v>107</v>
      </c>
      <c r="E79" s="14">
        <v>36535</v>
      </c>
      <c r="F79" s="13" t="s">
        <v>40</v>
      </c>
      <c r="G79" s="13" t="s">
        <v>138</v>
      </c>
      <c r="H79" s="13" t="s">
        <v>369</v>
      </c>
      <c r="I79" s="13" t="s">
        <v>61</v>
      </c>
      <c r="J79" s="13" t="s">
        <v>150</v>
      </c>
      <c r="K79" s="13" t="s">
        <v>44</v>
      </c>
      <c r="L79" s="13" t="s">
        <v>324</v>
      </c>
      <c r="M79" s="15" t="s">
        <v>318</v>
      </c>
      <c r="N79" s="11" t="s">
        <v>26</v>
      </c>
    </row>
    <row r="80" spans="1:14" ht="15.75" customHeight="1" x14ac:dyDescent="0.15">
      <c r="A80" s="12" t="s">
        <v>370</v>
      </c>
      <c r="B80" s="6" t="s">
        <v>371</v>
      </c>
      <c r="C80" s="7" t="s">
        <v>372</v>
      </c>
      <c r="D80" s="8" t="s">
        <v>17</v>
      </c>
      <c r="E80" s="9">
        <v>37490</v>
      </c>
      <c r="F80" s="8" t="s">
        <v>137</v>
      </c>
      <c r="G80" s="8" t="s">
        <v>131</v>
      </c>
      <c r="H80" s="8" t="s">
        <v>102</v>
      </c>
      <c r="I80" s="8" t="s">
        <v>95</v>
      </c>
      <c r="J80" s="8" t="s">
        <v>150</v>
      </c>
      <c r="K80" s="8" t="s">
        <v>44</v>
      </c>
      <c r="L80" s="8" t="s">
        <v>373</v>
      </c>
      <c r="M80" s="10" t="s">
        <v>318</v>
      </c>
      <c r="N80" s="11" t="s">
        <v>26</v>
      </c>
    </row>
    <row r="81" spans="1:14" ht="15.75" customHeight="1" x14ac:dyDescent="0.15">
      <c r="A81" s="6" t="s">
        <v>374</v>
      </c>
      <c r="B81" s="12" t="s">
        <v>375</v>
      </c>
      <c r="C81" s="7" t="s">
        <v>376</v>
      </c>
      <c r="D81" s="13" t="s">
        <v>39</v>
      </c>
      <c r="E81" s="14">
        <v>36793</v>
      </c>
      <c r="F81" s="13" t="s">
        <v>203</v>
      </c>
      <c r="G81" s="13" t="s">
        <v>131</v>
      </c>
      <c r="H81" s="13" t="s">
        <v>369</v>
      </c>
      <c r="I81" s="13" t="s">
        <v>43</v>
      </c>
      <c r="J81" s="13" t="s">
        <v>150</v>
      </c>
      <c r="K81" s="13" t="s">
        <v>44</v>
      </c>
      <c r="L81" s="13" t="s">
        <v>324</v>
      </c>
      <c r="M81" s="15" t="s">
        <v>318</v>
      </c>
      <c r="N81" s="11" t="s">
        <v>26</v>
      </c>
    </row>
    <row r="82" spans="1:14" ht="15.75" customHeight="1" x14ac:dyDescent="0.15">
      <c r="A82" s="6" t="s">
        <v>377</v>
      </c>
      <c r="B82" s="6" t="s">
        <v>28</v>
      </c>
      <c r="C82" s="7" t="s">
        <v>378</v>
      </c>
      <c r="D82" s="8" t="s">
        <v>17</v>
      </c>
      <c r="E82" s="9">
        <v>36762</v>
      </c>
      <c r="F82" s="8" t="s">
        <v>40</v>
      </c>
      <c r="G82" s="8" t="s">
        <v>41</v>
      </c>
      <c r="H82" s="8" t="s">
        <v>74</v>
      </c>
      <c r="I82" s="8" t="s">
        <v>157</v>
      </c>
      <c r="J82" s="8" t="s">
        <v>54</v>
      </c>
      <c r="K82" s="8" t="s">
        <v>23</v>
      </c>
      <c r="L82" s="8" t="s">
        <v>297</v>
      </c>
      <c r="M82" s="10" t="s">
        <v>280</v>
      </c>
      <c r="N82" s="11" t="s">
        <v>379</v>
      </c>
    </row>
    <row r="83" spans="1:14" ht="15.75" customHeight="1" x14ac:dyDescent="0.15">
      <c r="A83" s="6" t="s">
        <v>380</v>
      </c>
      <c r="B83" s="6" t="s">
        <v>27</v>
      </c>
      <c r="C83" s="7" t="s">
        <v>381</v>
      </c>
      <c r="D83" s="8" t="s">
        <v>17</v>
      </c>
      <c r="E83" s="9">
        <v>35906</v>
      </c>
      <c r="F83" s="8" t="s">
        <v>212</v>
      </c>
      <c r="G83" s="8" t="s">
        <v>31</v>
      </c>
      <c r="H83" s="8" t="s">
        <v>156</v>
      </c>
      <c r="I83" s="8" t="s">
        <v>382</v>
      </c>
      <c r="J83" s="8" t="s">
        <v>22</v>
      </c>
      <c r="K83" s="8" t="s">
        <v>44</v>
      </c>
      <c r="L83" s="8" t="s">
        <v>310</v>
      </c>
      <c r="M83" s="10" t="s">
        <v>193</v>
      </c>
      <c r="N83" s="11" t="s">
        <v>379</v>
      </c>
    </row>
    <row r="84" spans="1:14" ht="15.75" customHeight="1" x14ac:dyDescent="0.15">
      <c r="A84" s="12" t="s">
        <v>383</v>
      </c>
      <c r="B84" s="12" t="s">
        <v>37</v>
      </c>
      <c r="C84" s="7" t="s">
        <v>384</v>
      </c>
      <c r="D84" s="13" t="s">
        <v>17</v>
      </c>
      <c r="E84" s="14">
        <v>37848</v>
      </c>
      <c r="F84" s="13" t="s">
        <v>186</v>
      </c>
      <c r="G84" s="13" t="s">
        <v>93</v>
      </c>
      <c r="H84" s="13" t="s">
        <v>52</v>
      </c>
      <c r="I84" s="13" t="s">
        <v>385</v>
      </c>
      <c r="J84" s="13" t="s">
        <v>150</v>
      </c>
      <c r="K84" s="13" t="s">
        <v>23</v>
      </c>
      <c r="L84" s="13" t="s">
        <v>218</v>
      </c>
      <c r="M84" s="15" t="s">
        <v>97</v>
      </c>
      <c r="N84" s="11" t="s">
        <v>379</v>
      </c>
    </row>
    <row r="85" spans="1:14" ht="15.75" customHeight="1" x14ac:dyDescent="0.15">
      <c r="A85" s="6" t="s">
        <v>316</v>
      </c>
      <c r="B85" s="6" t="s">
        <v>47</v>
      </c>
      <c r="C85" s="7" t="s">
        <v>386</v>
      </c>
      <c r="D85" s="8" t="s">
        <v>39</v>
      </c>
      <c r="E85" s="9">
        <v>37533</v>
      </c>
      <c r="F85" s="8" t="s">
        <v>186</v>
      </c>
      <c r="G85" s="8" t="s">
        <v>138</v>
      </c>
      <c r="H85" s="8" t="s">
        <v>114</v>
      </c>
      <c r="I85" s="8" t="s">
        <v>120</v>
      </c>
      <c r="J85" s="8" t="s">
        <v>54</v>
      </c>
      <c r="K85" s="8" t="s">
        <v>23</v>
      </c>
      <c r="L85" s="8" t="s">
        <v>165</v>
      </c>
      <c r="M85" s="10" t="s">
        <v>387</v>
      </c>
      <c r="N85" s="11" t="s">
        <v>379</v>
      </c>
    </row>
    <row r="86" spans="1:14" ht="15.75" customHeight="1" x14ac:dyDescent="0.15">
      <c r="A86" s="6" t="s">
        <v>388</v>
      </c>
      <c r="B86" s="12" t="s">
        <v>57</v>
      </c>
      <c r="C86" s="7" t="s">
        <v>389</v>
      </c>
      <c r="D86" s="13" t="s">
        <v>49</v>
      </c>
      <c r="E86" s="14">
        <v>38174</v>
      </c>
      <c r="F86" s="13" t="s">
        <v>92</v>
      </c>
      <c r="G86" s="13" t="s">
        <v>41</v>
      </c>
      <c r="H86" s="13" t="s">
        <v>156</v>
      </c>
      <c r="I86" s="13" t="s">
        <v>33</v>
      </c>
      <c r="J86" s="13" t="s">
        <v>54</v>
      </c>
      <c r="K86" s="13" t="s">
        <v>44</v>
      </c>
      <c r="L86" s="13" t="s">
        <v>390</v>
      </c>
      <c r="M86" s="15" t="s">
        <v>391</v>
      </c>
      <c r="N86" s="11" t="s">
        <v>379</v>
      </c>
    </row>
    <row r="87" spans="1:14" ht="15.75" customHeight="1" x14ac:dyDescent="0.15">
      <c r="A87" s="12" t="s">
        <v>392</v>
      </c>
      <c r="B87" s="6" t="s">
        <v>64</v>
      </c>
      <c r="C87" s="7" t="s">
        <v>393</v>
      </c>
      <c r="D87" s="8" t="s">
        <v>17</v>
      </c>
      <c r="E87" s="9">
        <v>37284</v>
      </c>
      <c r="F87" s="8" t="s">
        <v>137</v>
      </c>
      <c r="G87" s="8" t="s">
        <v>204</v>
      </c>
      <c r="H87" s="8" t="s">
        <v>179</v>
      </c>
      <c r="I87" s="8" t="s">
        <v>157</v>
      </c>
      <c r="J87" s="8" t="s">
        <v>54</v>
      </c>
      <c r="K87" s="8" t="s">
        <v>23</v>
      </c>
      <c r="L87" s="8" t="s">
        <v>110</v>
      </c>
      <c r="M87" s="10" t="s">
        <v>394</v>
      </c>
      <c r="N87" s="11" t="s">
        <v>379</v>
      </c>
    </row>
    <row r="88" spans="1:14" ht="15.75" customHeight="1" x14ac:dyDescent="0.15">
      <c r="A88" s="6" t="s">
        <v>395</v>
      </c>
      <c r="B88" s="12" t="s">
        <v>72</v>
      </c>
      <c r="C88" s="7" t="s">
        <v>396</v>
      </c>
      <c r="D88" s="13" t="s">
        <v>39</v>
      </c>
      <c r="E88" s="17">
        <v>34666</v>
      </c>
      <c r="F88" s="13" t="s">
        <v>59</v>
      </c>
      <c r="G88" s="13" t="s">
        <v>60</v>
      </c>
      <c r="H88" s="13" t="s">
        <v>156</v>
      </c>
      <c r="I88" s="13" t="s">
        <v>149</v>
      </c>
      <c r="J88" s="13" t="s">
        <v>54</v>
      </c>
      <c r="K88" s="13" t="s">
        <v>23</v>
      </c>
      <c r="L88" s="13" t="s">
        <v>187</v>
      </c>
      <c r="M88" s="15" t="s">
        <v>397</v>
      </c>
      <c r="N88" s="11" t="s">
        <v>379</v>
      </c>
    </row>
    <row r="89" spans="1:14" ht="15.75" customHeight="1" x14ac:dyDescent="0.15">
      <c r="A89" s="12" t="s">
        <v>398</v>
      </c>
      <c r="B89" s="6" t="s">
        <v>80</v>
      </c>
      <c r="C89" s="7" t="s">
        <v>399</v>
      </c>
      <c r="D89" s="8" t="s">
        <v>39</v>
      </c>
      <c r="E89" s="9">
        <v>34351</v>
      </c>
      <c r="F89" s="8" t="s">
        <v>18</v>
      </c>
      <c r="G89" s="8" t="s">
        <v>67</v>
      </c>
      <c r="H89" s="8" t="s">
        <v>20</v>
      </c>
      <c r="I89" s="8" t="s">
        <v>115</v>
      </c>
      <c r="J89" s="8" t="s">
        <v>54</v>
      </c>
      <c r="K89" s="8" t="s">
        <v>23</v>
      </c>
      <c r="L89" s="8" t="s">
        <v>301</v>
      </c>
      <c r="M89" s="10" t="s">
        <v>387</v>
      </c>
      <c r="N89" s="11" t="s">
        <v>379</v>
      </c>
    </row>
    <row r="90" spans="1:14" ht="15.75" customHeight="1" x14ac:dyDescent="0.15">
      <c r="A90" s="6" t="s">
        <v>400</v>
      </c>
      <c r="B90" s="12" t="s">
        <v>86</v>
      </c>
      <c r="C90" s="7" t="s">
        <v>401</v>
      </c>
      <c r="D90" s="13" t="s">
        <v>17</v>
      </c>
      <c r="E90" s="14">
        <v>34444</v>
      </c>
      <c r="F90" s="13" t="s">
        <v>18</v>
      </c>
      <c r="G90" s="13" t="s">
        <v>60</v>
      </c>
      <c r="H90" s="13" t="s">
        <v>144</v>
      </c>
      <c r="I90" s="13" t="s">
        <v>192</v>
      </c>
      <c r="J90" s="13" t="s">
        <v>22</v>
      </c>
      <c r="K90" s="13" t="s">
        <v>23</v>
      </c>
      <c r="L90" s="13" t="s">
        <v>158</v>
      </c>
      <c r="M90" s="15" t="s">
        <v>305</v>
      </c>
      <c r="N90" s="11" t="s">
        <v>379</v>
      </c>
    </row>
    <row r="91" spans="1:14" ht="15.75" customHeight="1" x14ac:dyDescent="0.15">
      <c r="A91" s="6" t="s">
        <v>402</v>
      </c>
      <c r="B91" s="6" t="s">
        <v>90</v>
      </c>
      <c r="C91" s="7" t="s">
        <v>403</v>
      </c>
      <c r="D91" s="8" t="s">
        <v>49</v>
      </c>
      <c r="E91" s="9">
        <v>32974</v>
      </c>
      <c r="F91" s="8" t="s">
        <v>125</v>
      </c>
      <c r="G91" s="8" t="s">
        <v>101</v>
      </c>
      <c r="H91" s="8" t="s">
        <v>20</v>
      </c>
      <c r="I91" s="8" t="s">
        <v>192</v>
      </c>
      <c r="J91" s="8" t="s">
        <v>54</v>
      </c>
      <c r="K91" s="8" t="s">
        <v>23</v>
      </c>
      <c r="L91" s="8" t="s">
        <v>404</v>
      </c>
      <c r="M91" s="10" t="s">
        <v>405</v>
      </c>
      <c r="N91" s="11" t="s">
        <v>379</v>
      </c>
    </row>
    <row r="92" spans="1:14" ht="15.75" customHeight="1" x14ac:dyDescent="0.15">
      <c r="A92" s="12" t="s">
        <v>319</v>
      </c>
      <c r="B92" s="12" t="s">
        <v>98</v>
      </c>
      <c r="C92" s="7" t="s">
        <v>406</v>
      </c>
      <c r="D92" s="13" t="s">
        <v>107</v>
      </c>
      <c r="E92" s="17">
        <v>35032</v>
      </c>
      <c r="F92" s="13" t="s">
        <v>66</v>
      </c>
      <c r="G92" s="13" t="s">
        <v>67</v>
      </c>
      <c r="H92" s="13" t="s">
        <v>132</v>
      </c>
      <c r="I92" s="13" t="s">
        <v>157</v>
      </c>
      <c r="J92" s="13" t="s">
        <v>76</v>
      </c>
      <c r="K92" s="13" t="s">
        <v>77</v>
      </c>
      <c r="L92" s="13" t="s">
        <v>121</v>
      </c>
      <c r="M92" s="15" t="s">
        <v>85</v>
      </c>
      <c r="N92" s="11" t="s">
        <v>379</v>
      </c>
    </row>
    <row r="93" spans="1:14" ht="15.75" customHeight="1" x14ac:dyDescent="0.15">
      <c r="A93" s="6" t="s">
        <v>407</v>
      </c>
      <c r="B93" s="6" t="s">
        <v>99</v>
      </c>
      <c r="C93" s="7" t="s">
        <v>408</v>
      </c>
      <c r="D93" s="8" t="s">
        <v>107</v>
      </c>
      <c r="E93" s="9">
        <v>36346</v>
      </c>
      <c r="F93" s="8" t="s">
        <v>30</v>
      </c>
      <c r="G93" s="8" t="s">
        <v>131</v>
      </c>
      <c r="H93" s="8" t="s">
        <v>144</v>
      </c>
      <c r="I93" s="8" t="s">
        <v>61</v>
      </c>
      <c r="J93" s="8" t="s">
        <v>22</v>
      </c>
      <c r="K93" s="8" t="s">
        <v>44</v>
      </c>
      <c r="L93" s="8" t="s">
        <v>35</v>
      </c>
      <c r="M93" s="10" t="s">
        <v>199</v>
      </c>
      <c r="N93" s="11" t="s">
        <v>379</v>
      </c>
    </row>
    <row r="94" spans="1:14" ht="15.75" customHeight="1" x14ac:dyDescent="0.15">
      <c r="A94" s="12" t="s">
        <v>321</v>
      </c>
      <c r="B94" s="12" t="s">
        <v>105</v>
      </c>
      <c r="C94" s="7" t="s">
        <v>409</v>
      </c>
      <c r="D94" s="13" t="s">
        <v>107</v>
      </c>
      <c r="E94" s="14">
        <v>35861</v>
      </c>
      <c r="F94" s="13" t="s">
        <v>212</v>
      </c>
      <c r="G94" s="13" t="s">
        <v>204</v>
      </c>
      <c r="H94" s="13" t="s">
        <v>114</v>
      </c>
      <c r="I94" s="13" t="s">
        <v>197</v>
      </c>
      <c r="J94" s="13" t="s">
        <v>54</v>
      </c>
      <c r="K94" s="13" t="s">
        <v>44</v>
      </c>
      <c r="L94" s="13" t="s">
        <v>116</v>
      </c>
      <c r="M94" s="15" t="s">
        <v>166</v>
      </c>
      <c r="N94" s="11" t="s">
        <v>379</v>
      </c>
    </row>
    <row r="95" spans="1:14" ht="15.75" customHeight="1" x14ac:dyDescent="0.15">
      <c r="A95" s="6" t="s">
        <v>325</v>
      </c>
      <c r="B95" s="6" t="s">
        <v>112</v>
      </c>
      <c r="C95" s="7" t="s">
        <v>410</v>
      </c>
      <c r="D95" s="8" t="s">
        <v>107</v>
      </c>
      <c r="E95" s="9">
        <v>34029</v>
      </c>
      <c r="F95" s="8" t="s">
        <v>182</v>
      </c>
      <c r="G95" s="8" t="s">
        <v>293</v>
      </c>
      <c r="H95" s="8" t="s">
        <v>94</v>
      </c>
      <c r="I95" s="8" t="s">
        <v>385</v>
      </c>
      <c r="J95" s="8" t="s">
        <v>22</v>
      </c>
      <c r="K95" s="8" t="s">
        <v>77</v>
      </c>
      <c r="L95" s="8" t="s">
        <v>198</v>
      </c>
      <c r="M95" s="10" t="s">
        <v>411</v>
      </c>
      <c r="N95" s="11" t="s">
        <v>379</v>
      </c>
    </row>
    <row r="96" spans="1:14" ht="15.75" customHeight="1" x14ac:dyDescent="0.15">
      <c r="A96" s="6" t="s">
        <v>412</v>
      </c>
      <c r="B96" s="12" t="s">
        <v>122</v>
      </c>
      <c r="C96" s="7" t="s">
        <v>413</v>
      </c>
      <c r="D96" s="13" t="s">
        <v>107</v>
      </c>
      <c r="E96" s="14">
        <v>37741</v>
      </c>
      <c r="F96" s="13" t="s">
        <v>186</v>
      </c>
      <c r="G96" s="13" t="s">
        <v>93</v>
      </c>
      <c r="H96" s="13" t="s">
        <v>108</v>
      </c>
      <c r="I96" s="13" t="s">
        <v>414</v>
      </c>
      <c r="J96" s="13" t="s">
        <v>150</v>
      </c>
      <c r="K96" s="13" t="s">
        <v>44</v>
      </c>
      <c r="L96" s="13" t="s">
        <v>45</v>
      </c>
      <c r="M96" s="15" t="s">
        <v>36</v>
      </c>
      <c r="N96" s="11" t="s">
        <v>379</v>
      </c>
    </row>
    <row r="97" spans="1:14" ht="15.75" customHeight="1" x14ac:dyDescent="0.15">
      <c r="A97" s="12" t="s">
        <v>327</v>
      </c>
      <c r="B97" s="6" t="s">
        <v>117</v>
      </c>
      <c r="C97" s="7" t="s">
        <v>415</v>
      </c>
      <c r="D97" s="8" t="s">
        <v>107</v>
      </c>
      <c r="E97" s="9">
        <v>34368</v>
      </c>
      <c r="F97" s="8" t="s">
        <v>18</v>
      </c>
      <c r="G97" s="8" t="s">
        <v>19</v>
      </c>
      <c r="H97" s="8" t="s">
        <v>32</v>
      </c>
      <c r="I97" s="8" t="s">
        <v>313</v>
      </c>
      <c r="J97" s="8" t="s">
        <v>34</v>
      </c>
      <c r="K97" s="8" t="s">
        <v>44</v>
      </c>
      <c r="L97" s="8" t="s">
        <v>45</v>
      </c>
      <c r="M97" s="10" t="s">
        <v>416</v>
      </c>
      <c r="N97" s="11" t="s">
        <v>379</v>
      </c>
    </row>
    <row r="98" spans="1:14" ht="15.75" customHeight="1" x14ac:dyDescent="0.15">
      <c r="A98" s="6" t="s">
        <v>330</v>
      </c>
      <c r="B98" s="12" t="s">
        <v>129</v>
      </c>
      <c r="C98" s="7" t="s">
        <v>417</v>
      </c>
      <c r="D98" s="13" t="s">
        <v>107</v>
      </c>
      <c r="E98" s="14">
        <v>37720</v>
      </c>
      <c r="F98" s="13" t="s">
        <v>186</v>
      </c>
      <c r="G98" s="13" t="s">
        <v>243</v>
      </c>
      <c r="H98" s="13" t="s">
        <v>108</v>
      </c>
      <c r="I98" s="13" t="s">
        <v>192</v>
      </c>
      <c r="J98" s="13" t="s">
        <v>22</v>
      </c>
      <c r="K98" s="13" t="s">
        <v>44</v>
      </c>
      <c r="L98" s="13" t="s">
        <v>35</v>
      </c>
      <c r="M98" s="15" t="s">
        <v>270</v>
      </c>
      <c r="N98" s="11" t="s">
        <v>379</v>
      </c>
    </row>
    <row r="99" spans="1:14" ht="15.75" customHeight="1" x14ac:dyDescent="0.15">
      <c r="A99" s="12" t="s">
        <v>335</v>
      </c>
      <c r="B99" s="6" t="s">
        <v>135</v>
      </c>
      <c r="C99" s="7" t="s">
        <v>418</v>
      </c>
      <c r="D99" s="8" t="s">
        <v>107</v>
      </c>
      <c r="E99" s="9">
        <v>33879</v>
      </c>
      <c r="F99" s="8" t="s">
        <v>182</v>
      </c>
      <c r="G99" s="8" t="s">
        <v>293</v>
      </c>
      <c r="H99" s="8" t="s">
        <v>20</v>
      </c>
      <c r="I99" s="8" t="s">
        <v>149</v>
      </c>
      <c r="J99" s="8" t="s">
        <v>22</v>
      </c>
      <c r="K99" s="8" t="s">
        <v>44</v>
      </c>
      <c r="L99" s="8" t="s">
        <v>218</v>
      </c>
      <c r="M99" s="10" t="s">
        <v>85</v>
      </c>
      <c r="N99" s="11" t="s">
        <v>379</v>
      </c>
    </row>
    <row r="100" spans="1:14" ht="15.75" customHeight="1" x14ac:dyDescent="0.15">
      <c r="A100" s="6" t="s">
        <v>419</v>
      </c>
      <c r="B100" s="12" t="s">
        <v>153</v>
      </c>
      <c r="C100" s="7" t="s">
        <v>420</v>
      </c>
      <c r="D100" s="13" t="s">
        <v>107</v>
      </c>
      <c r="E100" s="14">
        <v>35639</v>
      </c>
      <c r="F100" s="13" t="s">
        <v>148</v>
      </c>
      <c r="G100" s="13" t="s">
        <v>204</v>
      </c>
      <c r="H100" s="13" t="s">
        <v>32</v>
      </c>
      <c r="I100" s="13" t="s">
        <v>149</v>
      </c>
      <c r="J100" s="13" t="s">
        <v>22</v>
      </c>
      <c r="K100" s="13" t="s">
        <v>77</v>
      </c>
      <c r="L100" s="13" t="s">
        <v>55</v>
      </c>
      <c r="M100" s="15" t="s">
        <v>421</v>
      </c>
      <c r="N100" s="11" t="s">
        <v>379</v>
      </c>
    </row>
    <row r="101" spans="1:14" ht="15.75" customHeight="1" x14ac:dyDescent="0.15">
      <c r="A101" s="6" t="s">
        <v>422</v>
      </c>
      <c r="B101" s="6" t="s">
        <v>162</v>
      </c>
      <c r="C101" s="7" t="s">
        <v>423</v>
      </c>
      <c r="D101" s="8" t="s">
        <v>107</v>
      </c>
      <c r="E101" s="9">
        <v>36033</v>
      </c>
      <c r="F101" s="8" t="s">
        <v>212</v>
      </c>
      <c r="G101" s="8" t="s">
        <v>31</v>
      </c>
      <c r="H101" s="8" t="s">
        <v>88</v>
      </c>
      <c r="I101" s="8" t="s">
        <v>192</v>
      </c>
      <c r="J101" s="8" t="s">
        <v>22</v>
      </c>
      <c r="K101" s="8" t="s">
        <v>44</v>
      </c>
      <c r="L101" s="8" t="s">
        <v>424</v>
      </c>
      <c r="M101" s="10" t="s">
        <v>425</v>
      </c>
      <c r="N101" s="11" t="s">
        <v>379</v>
      </c>
    </row>
    <row r="102" spans="1:14" ht="15.75" customHeight="1" x14ac:dyDescent="0.15">
      <c r="A102" s="12" t="s">
        <v>426</v>
      </c>
      <c r="B102" s="12" t="s">
        <v>146</v>
      </c>
      <c r="C102" s="7" t="s">
        <v>427</v>
      </c>
      <c r="D102" s="13" t="s">
        <v>107</v>
      </c>
      <c r="E102" s="14">
        <v>35995</v>
      </c>
      <c r="F102" s="13" t="s">
        <v>212</v>
      </c>
      <c r="G102" s="13" t="s">
        <v>41</v>
      </c>
      <c r="H102" s="13" t="s">
        <v>102</v>
      </c>
      <c r="I102" s="13" t="s">
        <v>157</v>
      </c>
      <c r="J102" s="13" t="s">
        <v>22</v>
      </c>
      <c r="K102" s="13" t="s">
        <v>44</v>
      </c>
      <c r="L102" s="13" t="s">
        <v>116</v>
      </c>
      <c r="M102" s="15" t="s">
        <v>141</v>
      </c>
      <c r="N102" s="11" t="s">
        <v>379</v>
      </c>
    </row>
    <row r="103" spans="1:14" ht="15.75" customHeight="1" x14ac:dyDescent="0.15">
      <c r="A103" s="6" t="s">
        <v>428</v>
      </c>
      <c r="B103" s="6" t="s">
        <v>154</v>
      </c>
      <c r="C103" s="7" t="s">
        <v>429</v>
      </c>
      <c r="D103" s="8" t="s">
        <v>17</v>
      </c>
      <c r="E103" s="16">
        <v>33568</v>
      </c>
      <c r="F103" s="8" t="s">
        <v>430</v>
      </c>
      <c r="G103" s="8" t="s">
        <v>51</v>
      </c>
      <c r="H103" s="8" t="s">
        <v>108</v>
      </c>
      <c r="I103" s="8" t="s">
        <v>382</v>
      </c>
      <c r="J103" s="8" t="s">
        <v>54</v>
      </c>
      <c r="K103" s="8" t="s">
        <v>23</v>
      </c>
      <c r="L103" s="8" t="s">
        <v>431</v>
      </c>
      <c r="M103" s="10" t="s">
        <v>85</v>
      </c>
      <c r="N103" s="11" t="s">
        <v>379</v>
      </c>
    </row>
    <row r="104" spans="1:14" ht="15.75" customHeight="1" x14ac:dyDescent="0.15">
      <c r="A104" s="12" t="s">
        <v>432</v>
      </c>
      <c r="B104" s="12" t="s">
        <v>159</v>
      </c>
      <c r="C104" s="7" t="s">
        <v>433</v>
      </c>
      <c r="D104" s="13" t="s">
        <v>17</v>
      </c>
      <c r="E104" s="14">
        <v>36212</v>
      </c>
      <c r="F104" s="13" t="s">
        <v>30</v>
      </c>
      <c r="G104" s="13" t="s">
        <v>60</v>
      </c>
      <c r="H104" s="13" t="s">
        <v>196</v>
      </c>
      <c r="I104" s="13" t="s">
        <v>313</v>
      </c>
      <c r="J104" s="13" t="s">
        <v>54</v>
      </c>
      <c r="K104" s="13" t="s">
        <v>23</v>
      </c>
      <c r="L104" s="13" t="s">
        <v>244</v>
      </c>
      <c r="M104" s="15" t="s">
        <v>434</v>
      </c>
      <c r="N104" s="11" t="s">
        <v>379</v>
      </c>
    </row>
    <row r="105" spans="1:14" ht="15.75" customHeight="1" x14ac:dyDescent="0.15">
      <c r="A105" s="6" t="s">
        <v>435</v>
      </c>
      <c r="B105" s="6" t="s">
        <v>163</v>
      </c>
      <c r="C105" s="7" t="s">
        <v>436</v>
      </c>
      <c r="D105" s="8" t="s">
        <v>107</v>
      </c>
      <c r="E105" s="9">
        <v>34436</v>
      </c>
      <c r="F105" s="8" t="s">
        <v>18</v>
      </c>
      <c r="G105" s="8" t="s">
        <v>293</v>
      </c>
      <c r="H105" s="8" t="s">
        <v>437</v>
      </c>
      <c r="I105" s="8" t="s">
        <v>438</v>
      </c>
      <c r="J105" s="8" t="s">
        <v>54</v>
      </c>
      <c r="K105" s="8" t="s">
        <v>44</v>
      </c>
      <c r="L105" s="8" t="s">
        <v>35</v>
      </c>
      <c r="M105" s="10" t="s">
        <v>411</v>
      </c>
      <c r="N105" s="11" t="s">
        <v>379</v>
      </c>
    </row>
    <row r="106" spans="1:14" ht="15.75" customHeight="1" x14ac:dyDescent="0.15">
      <c r="A106" s="6" t="s">
        <v>439</v>
      </c>
      <c r="B106" s="12" t="s">
        <v>168</v>
      </c>
      <c r="C106" s="7" t="s">
        <v>440</v>
      </c>
      <c r="D106" s="13" t="s">
        <v>39</v>
      </c>
      <c r="E106" s="14">
        <v>36668</v>
      </c>
      <c r="F106" s="13" t="s">
        <v>40</v>
      </c>
      <c r="G106" s="13" t="s">
        <v>19</v>
      </c>
      <c r="H106" s="13" t="s">
        <v>94</v>
      </c>
      <c r="I106" s="13" t="s">
        <v>192</v>
      </c>
      <c r="J106" s="13" t="s">
        <v>150</v>
      </c>
      <c r="K106" s="13" t="s">
        <v>23</v>
      </c>
      <c r="L106" s="13" t="s">
        <v>218</v>
      </c>
      <c r="M106" s="15" t="s">
        <v>441</v>
      </c>
      <c r="N106" s="11" t="s">
        <v>379</v>
      </c>
    </row>
    <row r="107" spans="1:14" ht="15.75" customHeight="1" x14ac:dyDescent="0.15">
      <c r="A107" s="12" t="s">
        <v>442</v>
      </c>
      <c r="B107" s="6" t="s">
        <v>175</v>
      </c>
      <c r="C107" s="7" t="s">
        <v>443</v>
      </c>
      <c r="D107" s="8" t="s">
        <v>107</v>
      </c>
      <c r="E107" s="9">
        <v>37383</v>
      </c>
      <c r="F107" s="8" t="s">
        <v>137</v>
      </c>
      <c r="G107" s="8" t="s">
        <v>131</v>
      </c>
      <c r="H107" s="8" t="s">
        <v>179</v>
      </c>
      <c r="I107" s="8" t="s">
        <v>157</v>
      </c>
      <c r="J107" s="8" t="s">
        <v>76</v>
      </c>
      <c r="K107" s="8" t="s">
        <v>23</v>
      </c>
      <c r="L107" s="8" t="s">
        <v>277</v>
      </c>
      <c r="M107" s="10" t="s">
        <v>36</v>
      </c>
      <c r="N107" s="11" t="s">
        <v>379</v>
      </c>
    </row>
    <row r="108" spans="1:14" ht="15.75" customHeight="1" x14ac:dyDescent="0.15">
      <c r="A108" s="6" t="s">
        <v>444</v>
      </c>
      <c r="B108" s="12" t="s">
        <v>200</v>
      </c>
      <c r="C108" s="7" t="s">
        <v>445</v>
      </c>
      <c r="D108" s="13" t="s">
        <v>17</v>
      </c>
      <c r="E108" s="17">
        <v>34319</v>
      </c>
      <c r="F108" s="13" t="s">
        <v>18</v>
      </c>
      <c r="G108" s="13" t="s">
        <v>101</v>
      </c>
      <c r="H108" s="13" t="s">
        <v>446</v>
      </c>
      <c r="I108" s="13" t="s">
        <v>83</v>
      </c>
      <c r="J108" s="13" t="s">
        <v>22</v>
      </c>
      <c r="K108" s="13" t="s">
        <v>23</v>
      </c>
      <c r="L108" s="13" t="s">
        <v>187</v>
      </c>
      <c r="M108" s="15" t="s">
        <v>209</v>
      </c>
      <c r="N108" s="11" t="s">
        <v>379</v>
      </c>
    </row>
    <row r="109" spans="1:14" ht="15.75" customHeight="1" x14ac:dyDescent="0.15">
      <c r="A109" s="12" t="s">
        <v>447</v>
      </c>
      <c r="B109" s="6" t="s">
        <v>177</v>
      </c>
      <c r="C109" s="7" t="s">
        <v>448</v>
      </c>
      <c r="D109" s="8" t="s">
        <v>49</v>
      </c>
      <c r="E109" s="16">
        <v>36887</v>
      </c>
      <c r="F109" s="8" t="s">
        <v>203</v>
      </c>
      <c r="G109" s="8" t="s">
        <v>19</v>
      </c>
      <c r="H109" s="8" t="s">
        <v>102</v>
      </c>
      <c r="I109" s="8" t="s">
        <v>414</v>
      </c>
      <c r="J109" s="8" t="s">
        <v>54</v>
      </c>
      <c r="K109" s="8" t="s">
        <v>44</v>
      </c>
      <c r="L109" s="8" t="s">
        <v>424</v>
      </c>
      <c r="M109" s="10" t="s">
        <v>449</v>
      </c>
      <c r="N109" s="11" t="s">
        <v>379</v>
      </c>
    </row>
    <row r="110" spans="1:14" ht="15.75" customHeight="1" x14ac:dyDescent="0.15">
      <c r="A110" s="6" t="s">
        <v>450</v>
      </c>
      <c r="B110" s="12" t="s">
        <v>180</v>
      </c>
      <c r="C110" s="7" t="s">
        <v>451</v>
      </c>
      <c r="D110" s="13" t="s">
        <v>107</v>
      </c>
      <c r="E110" s="14">
        <v>38509</v>
      </c>
      <c r="F110" s="13" t="s">
        <v>217</v>
      </c>
      <c r="G110" s="13" t="s">
        <v>138</v>
      </c>
      <c r="H110" s="13" t="s">
        <v>52</v>
      </c>
      <c r="I110" s="13" t="s">
        <v>207</v>
      </c>
      <c r="J110" s="13" t="s">
        <v>76</v>
      </c>
      <c r="K110" s="13" t="s">
        <v>77</v>
      </c>
      <c r="L110" s="13" t="s">
        <v>84</v>
      </c>
      <c r="M110" s="15" t="s">
        <v>449</v>
      </c>
      <c r="N110" s="11" t="s">
        <v>379</v>
      </c>
    </row>
    <row r="111" spans="1:14" ht="15.75" customHeight="1" x14ac:dyDescent="0.15">
      <c r="A111" s="6" t="s">
        <v>452</v>
      </c>
      <c r="B111" s="6" t="s">
        <v>184</v>
      </c>
      <c r="C111" s="7" t="s">
        <v>453</v>
      </c>
      <c r="D111" s="8" t="s">
        <v>17</v>
      </c>
      <c r="E111" s="9">
        <v>38012</v>
      </c>
      <c r="F111" s="8" t="s">
        <v>92</v>
      </c>
      <c r="G111" s="8" t="s">
        <v>93</v>
      </c>
      <c r="H111" s="8" t="s">
        <v>42</v>
      </c>
      <c r="I111" s="8" t="s">
        <v>149</v>
      </c>
      <c r="J111" s="8" t="s">
        <v>150</v>
      </c>
      <c r="K111" s="8" t="s">
        <v>44</v>
      </c>
      <c r="L111" s="8" t="s">
        <v>128</v>
      </c>
      <c r="M111" s="10" t="s">
        <v>298</v>
      </c>
      <c r="N111" s="11" t="s">
        <v>379</v>
      </c>
    </row>
    <row r="112" spans="1:14" ht="15.75" customHeight="1" x14ac:dyDescent="0.15">
      <c r="A112" s="12" t="s">
        <v>454</v>
      </c>
      <c r="B112" s="12" t="s">
        <v>189</v>
      </c>
      <c r="C112" s="7" t="s">
        <v>455</v>
      </c>
      <c r="D112" s="13" t="s">
        <v>107</v>
      </c>
      <c r="E112" s="14">
        <v>36725</v>
      </c>
      <c r="F112" s="13" t="s">
        <v>40</v>
      </c>
      <c r="G112" s="13" t="s">
        <v>41</v>
      </c>
      <c r="H112" s="13" t="s">
        <v>32</v>
      </c>
      <c r="I112" s="13" t="s">
        <v>213</v>
      </c>
      <c r="J112" s="13" t="s">
        <v>76</v>
      </c>
      <c r="K112" s="13" t="s">
        <v>44</v>
      </c>
      <c r="L112" s="13" t="s">
        <v>78</v>
      </c>
      <c r="M112" s="15" t="s">
        <v>349</v>
      </c>
      <c r="N112" s="11" t="s">
        <v>379</v>
      </c>
    </row>
    <row r="113" spans="1:14" ht="15.75" customHeight="1" x14ac:dyDescent="0.15">
      <c r="A113" s="6" t="s">
        <v>456</v>
      </c>
      <c r="B113" s="6" t="s">
        <v>194</v>
      </c>
      <c r="C113" s="7" t="s">
        <v>457</v>
      </c>
      <c r="D113" s="8" t="s">
        <v>107</v>
      </c>
      <c r="E113" s="9">
        <v>36295</v>
      </c>
      <c r="F113" s="8" t="s">
        <v>30</v>
      </c>
      <c r="G113" s="8" t="s">
        <v>67</v>
      </c>
      <c r="H113" s="8" t="s">
        <v>42</v>
      </c>
      <c r="I113" s="8" t="s">
        <v>192</v>
      </c>
      <c r="J113" s="8" t="s">
        <v>22</v>
      </c>
      <c r="K113" s="8" t="s">
        <v>23</v>
      </c>
      <c r="L113" s="8" t="s">
        <v>70</v>
      </c>
      <c r="M113" s="10" t="s">
        <v>458</v>
      </c>
      <c r="N113" s="11" t="s">
        <v>379</v>
      </c>
    </row>
    <row r="114" spans="1:14" ht="15.75" customHeight="1" x14ac:dyDescent="0.15">
      <c r="A114" s="12" t="s">
        <v>459</v>
      </c>
      <c r="B114" s="12" t="s">
        <v>201</v>
      </c>
      <c r="C114" s="7" t="s">
        <v>460</v>
      </c>
      <c r="D114" s="13" t="s">
        <v>17</v>
      </c>
      <c r="E114" s="14">
        <v>37422</v>
      </c>
      <c r="F114" s="13" t="s">
        <v>137</v>
      </c>
      <c r="G114" s="13" t="s">
        <v>131</v>
      </c>
      <c r="H114" s="13" t="s">
        <v>94</v>
      </c>
      <c r="I114" s="13" t="s">
        <v>385</v>
      </c>
      <c r="J114" s="13" t="s">
        <v>54</v>
      </c>
      <c r="K114" s="13" t="s">
        <v>44</v>
      </c>
      <c r="L114" s="13" t="s">
        <v>45</v>
      </c>
      <c r="M114" s="15" t="s">
        <v>461</v>
      </c>
      <c r="N114" s="11" t="s">
        <v>379</v>
      </c>
    </row>
    <row r="115" spans="1:14" ht="15.75" customHeight="1" x14ac:dyDescent="0.15">
      <c r="A115" s="6" t="s">
        <v>462</v>
      </c>
      <c r="B115" s="6" t="s">
        <v>205</v>
      </c>
      <c r="C115" s="7" t="s">
        <v>463</v>
      </c>
      <c r="D115" s="8" t="s">
        <v>107</v>
      </c>
      <c r="E115" s="9">
        <v>37230</v>
      </c>
      <c r="F115" s="8" t="s">
        <v>137</v>
      </c>
      <c r="G115" s="8" t="s">
        <v>138</v>
      </c>
      <c r="H115" s="8" t="s">
        <v>108</v>
      </c>
      <c r="I115" s="8" t="s">
        <v>109</v>
      </c>
      <c r="J115" s="8" t="s">
        <v>34</v>
      </c>
      <c r="K115" s="8" t="s">
        <v>44</v>
      </c>
      <c r="L115" s="8" t="s">
        <v>35</v>
      </c>
      <c r="M115" s="10" t="s">
        <v>464</v>
      </c>
      <c r="N115" s="11" t="s">
        <v>379</v>
      </c>
    </row>
    <row r="116" spans="1:14" ht="15.75" customHeight="1" x14ac:dyDescent="0.15">
      <c r="A116" s="6" t="s">
        <v>465</v>
      </c>
      <c r="B116" s="12" t="s">
        <v>210</v>
      </c>
      <c r="C116" s="7" t="s">
        <v>466</v>
      </c>
      <c r="D116" s="13" t="s">
        <v>107</v>
      </c>
      <c r="E116" s="14">
        <v>36656</v>
      </c>
      <c r="F116" s="13" t="s">
        <v>40</v>
      </c>
      <c r="G116" s="13" t="s">
        <v>131</v>
      </c>
      <c r="H116" s="13" t="s">
        <v>144</v>
      </c>
      <c r="I116" s="13" t="s">
        <v>43</v>
      </c>
      <c r="J116" s="13" t="s">
        <v>54</v>
      </c>
      <c r="K116" s="13" t="s">
        <v>44</v>
      </c>
      <c r="L116" s="13" t="s">
        <v>128</v>
      </c>
      <c r="M116" s="15" t="s">
        <v>467</v>
      </c>
      <c r="N116" s="11" t="s">
        <v>379</v>
      </c>
    </row>
    <row r="117" spans="1:14" ht="15.75" customHeight="1" x14ac:dyDescent="0.15">
      <c r="A117" s="12" t="s">
        <v>468</v>
      </c>
      <c r="B117" s="6" t="s">
        <v>215</v>
      </c>
      <c r="C117" s="7" t="s">
        <v>469</v>
      </c>
      <c r="D117" s="8" t="s">
        <v>17</v>
      </c>
      <c r="E117" s="9">
        <v>37649</v>
      </c>
      <c r="F117" s="8" t="s">
        <v>186</v>
      </c>
      <c r="G117" s="8" t="s">
        <v>31</v>
      </c>
      <c r="H117" s="8" t="s">
        <v>42</v>
      </c>
      <c r="I117" s="8" t="s">
        <v>470</v>
      </c>
      <c r="J117" s="8" t="s">
        <v>54</v>
      </c>
      <c r="K117" s="8" t="s">
        <v>44</v>
      </c>
      <c r="L117" s="8" t="s">
        <v>35</v>
      </c>
      <c r="M117" s="10" t="s">
        <v>471</v>
      </c>
      <c r="N117" s="11" t="s">
        <v>379</v>
      </c>
    </row>
    <row r="118" spans="1:14" ht="15.75" customHeight="1" x14ac:dyDescent="0.15">
      <c r="A118" s="6" t="s">
        <v>472</v>
      </c>
      <c r="B118" s="12" t="s">
        <v>220</v>
      </c>
      <c r="C118" s="7" t="s">
        <v>473</v>
      </c>
      <c r="D118" s="13" t="s">
        <v>107</v>
      </c>
      <c r="E118" s="14">
        <v>34493</v>
      </c>
      <c r="F118" s="13" t="s">
        <v>18</v>
      </c>
      <c r="G118" s="13" t="s">
        <v>60</v>
      </c>
      <c r="H118" s="13" t="s">
        <v>32</v>
      </c>
      <c r="I118" s="13" t="s">
        <v>120</v>
      </c>
      <c r="J118" s="13" t="s">
        <v>22</v>
      </c>
      <c r="K118" s="13" t="s">
        <v>44</v>
      </c>
      <c r="L118" s="13" t="s">
        <v>218</v>
      </c>
      <c r="M118" s="15" t="s">
        <v>474</v>
      </c>
      <c r="N118" s="11" t="s">
        <v>379</v>
      </c>
    </row>
    <row r="119" spans="1:14" ht="15.75" customHeight="1" x14ac:dyDescent="0.15">
      <c r="A119" s="12" t="s">
        <v>475</v>
      </c>
      <c r="B119" s="6" t="s">
        <v>223</v>
      </c>
      <c r="C119" s="7" t="s">
        <v>476</v>
      </c>
      <c r="D119" s="8" t="s">
        <v>107</v>
      </c>
      <c r="E119" s="16">
        <v>34990</v>
      </c>
      <c r="F119" s="8" t="s">
        <v>66</v>
      </c>
      <c r="G119" s="8" t="s">
        <v>93</v>
      </c>
      <c r="H119" s="8" t="s">
        <v>369</v>
      </c>
      <c r="I119" s="8" t="s">
        <v>103</v>
      </c>
      <c r="J119" s="8" t="s">
        <v>150</v>
      </c>
      <c r="K119" s="8" t="s">
        <v>44</v>
      </c>
      <c r="L119" s="8" t="s">
        <v>324</v>
      </c>
      <c r="M119" s="10" t="s">
        <v>338</v>
      </c>
      <c r="N119" s="11" t="s">
        <v>379</v>
      </c>
    </row>
    <row r="120" spans="1:14" ht="15.75" customHeight="1" x14ac:dyDescent="0.15">
      <c r="A120" s="6" t="s">
        <v>344</v>
      </c>
      <c r="B120" s="6" t="s">
        <v>227</v>
      </c>
      <c r="C120" s="7" t="s">
        <v>477</v>
      </c>
      <c r="D120" s="8" t="s">
        <v>107</v>
      </c>
      <c r="E120" s="9">
        <v>37930</v>
      </c>
      <c r="F120" s="8" t="s">
        <v>92</v>
      </c>
      <c r="G120" s="8" t="s">
        <v>243</v>
      </c>
      <c r="H120" s="8" t="s">
        <v>179</v>
      </c>
      <c r="I120" s="8" t="s">
        <v>157</v>
      </c>
      <c r="J120" s="8" t="s">
        <v>54</v>
      </c>
      <c r="K120" s="8" t="s">
        <v>44</v>
      </c>
      <c r="L120" s="8" t="s">
        <v>218</v>
      </c>
      <c r="M120" s="10" t="s">
        <v>274</v>
      </c>
      <c r="N120" s="11" t="s">
        <v>379</v>
      </c>
    </row>
    <row r="121" spans="1:14" ht="15.75" customHeight="1" x14ac:dyDescent="0.15">
      <c r="A121" s="12" t="s">
        <v>347</v>
      </c>
      <c r="B121" s="12" t="s">
        <v>230</v>
      </c>
      <c r="C121" s="7" t="s">
        <v>478</v>
      </c>
      <c r="D121" s="13" t="s">
        <v>17</v>
      </c>
      <c r="E121" s="14">
        <v>37029</v>
      </c>
      <c r="F121" s="13" t="s">
        <v>203</v>
      </c>
      <c r="G121" s="13" t="s">
        <v>138</v>
      </c>
      <c r="H121" s="13" t="s">
        <v>82</v>
      </c>
      <c r="I121" s="13" t="s">
        <v>385</v>
      </c>
      <c r="J121" s="13" t="s">
        <v>54</v>
      </c>
      <c r="K121" s="13" t="s">
        <v>23</v>
      </c>
      <c r="L121" s="13" t="s">
        <v>479</v>
      </c>
      <c r="M121" s="15" t="s">
        <v>287</v>
      </c>
      <c r="N121" s="11" t="s">
        <v>379</v>
      </c>
    </row>
    <row r="122" spans="1:14" ht="15.75" customHeight="1" x14ac:dyDescent="0.15">
      <c r="A122" s="6" t="s">
        <v>351</v>
      </c>
      <c r="B122" s="6" t="s">
        <v>234</v>
      </c>
      <c r="C122" s="7" t="s">
        <v>480</v>
      </c>
      <c r="D122" s="8" t="s">
        <v>107</v>
      </c>
      <c r="E122" s="16">
        <v>33598</v>
      </c>
      <c r="F122" s="8" t="s">
        <v>430</v>
      </c>
      <c r="G122" s="8" t="s">
        <v>60</v>
      </c>
      <c r="H122" s="8" t="s">
        <v>108</v>
      </c>
      <c r="I122" s="8" t="s">
        <v>149</v>
      </c>
      <c r="J122" s="8" t="s">
        <v>34</v>
      </c>
      <c r="K122" s="8" t="s">
        <v>23</v>
      </c>
      <c r="L122" s="8" t="s">
        <v>198</v>
      </c>
      <c r="M122" s="10" t="s">
        <v>104</v>
      </c>
      <c r="N122" s="11" t="s">
        <v>379</v>
      </c>
    </row>
    <row r="123" spans="1:14" ht="15.75" customHeight="1" x14ac:dyDescent="0.15">
      <c r="A123" s="12" t="s">
        <v>481</v>
      </c>
      <c r="B123" s="12" t="s">
        <v>236</v>
      </c>
      <c r="C123" s="7" t="s">
        <v>482</v>
      </c>
      <c r="D123" s="13" t="s">
        <v>107</v>
      </c>
      <c r="E123" s="14">
        <v>37511</v>
      </c>
      <c r="F123" s="13" t="s">
        <v>186</v>
      </c>
      <c r="G123" s="13" t="s">
        <v>131</v>
      </c>
      <c r="H123" s="13" t="s">
        <v>94</v>
      </c>
      <c r="I123" s="13" t="s">
        <v>213</v>
      </c>
      <c r="J123" s="13" t="s">
        <v>34</v>
      </c>
      <c r="K123" s="13" t="s">
        <v>44</v>
      </c>
      <c r="L123" s="13" t="s">
        <v>78</v>
      </c>
      <c r="M123" s="15" t="s">
        <v>219</v>
      </c>
      <c r="N123" s="11" t="s">
        <v>379</v>
      </c>
    </row>
    <row r="124" spans="1:14" ht="15.75" customHeight="1" x14ac:dyDescent="0.15">
      <c r="A124" s="6" t="s">
        <v>355</v>
      </c>
      <c r="B124" s="6" t="s">
        <v>241</v>
      </c>
      <c r="C124" s="7" t="s">
        <v>483</v>
      </c>
      <c r="D124" s="8" t="s">
        <v>107</v>
      </c>
      <c r="E124" s="16">
        <v>36099</v>
      </c>
      <c r="F124" s="8" t="s">
        <v>30</v>
      </c>
      <c r="G124" s="8" t="s">
        <v>93</v>
      </c>
      <c r="H124" s="8" t="s">
        <v>68</v>
      </c>
      <c r="I124" s="8" t="s">
        <v>213</v>
      </c>
      <c r="J124" s="8" t="s">
        <v>150</v>
      </c>
      <c r="K124" s="8" t="s">
        <v>77</v>
      </c>
      <c r="L124" s="8" t="s">
        <v>62</v>
      </c>
      <c r="M124" s="10" t="s">
        <v>161</v>
      </c>
      <c r="N124" s="11" t="s">
        <v>379</v>
      </c>
    </row>
    <row r="125" spans="1:14" ht="15.75" customHeight="1" x14ac:dyDescent="0.15">
      <c r="A125" s="6" t="s">
        <v>484</v>
      </c>
      <c r="B125" s="12" t="s">
        <v>246</v>
      </c>
      <c r="C125" s="7" t="s">
        <v>485</v>
      </c>
      <c r="D125" s="13" t="s">
        <v>17</v>
      </c>
      <c r="E125" s="14">
        <v>37034</v>
      </c>
      <c r="F125" s="13" t="s">
        <v>203</v>
      </c>
      <c r="G125" s="13" t="s">
        <v>93</v>
      </c>
      <c r="H125" s="13" t="s">
        <v>68</v>
      </c>
      <c r="I125" s="13" t="s">
        <v>53</v>
      </c>
      <c r="J125" s="13" t="s">
        <v>150</v>
      </c>
      <c r="K125" s="13" t="s">
        <v>44</v>
      </c>
      <c r="L125" s="13" t="s">
        <v>297</v>
      </c>
      <c r="M125" s="15" t="s">
        <v>486</v>
      </c>
      <c r="N125" s="11" t="s">
        <v>379</v>
      </c>
    </row>
    <row r="126" spans="1:14" ht="15.75" customHeight="1" x14ac:dyDescent="0.15">
      <c r="A126" s="12" t="s">
        <v>487</v>
      </c>
      <c r="B126" s="6" t="s">
        <v>249</v>
      </c>
      <c r="C126" s="7" t="s">
        <v>488</v>
      </c>
      <c r="D126" s="8" t="s">
        <v>107</v>
      </c>
      <c r="E126" s="16">
        <v>34628</v>
      </c>
      <c r="F126" s="8" t="s">
        <v>59</v>
      </c>
      <c r="G126" s="8" t="s">
        <v>93</v>
      </c>
      <c r="H126" s="8" t="s">
        <v>108</v>
      </c>
      <c r="I126" s="8" t="s">
        <v>489</v>
      </c>
      <c r="J126" s="8" t="s">
        <v>150</v>
      </c>
      <c r="K126" s="8" t="s">
        <v>44</v>
      </c>
      <c r="L126" s="8" t="s">
        <v>490</v>
      </c>
      <c r="M126" s="10" t="s">
        <v>338</v>
      </c>
      <c r="N126" s="11" t="s">
        <v>379</v>
      </c>
    </row>
    <row r="127" spans="1:14" ht="15.75" customHeight="1" x14ac:dyDescent="0.15">
      <c r="A127" s="6" t="s">
        <v>491</v>
      </c>
      <c r="B127" s="12" t="s">
        <v>257</v>
      </c>
      <c r="C127" s="7" t="s">
        <v>492</v>
      </c>
      <c r="D127" s="13" t="s">
        <v>17</v>
      </c>
      <c r="E127" s="17">
        <v>32489</v>
      </c>
      <c r="F127" s="13" t="s">
        <v>493</v>
      </c>
      <c r="G127" s="13" t="s">
        <v>126</v>
      </c>
      <c r="H127" s="13" t="s">
        <v>82</v>
      </c>
      <c r="I127" s="13" t="s">
        <v>385</v>
      </c>
      <c r="J127" s="13" t="s">
        <v>76</v>
      </c>
      <c r="K127" s="13" t="s">
        <v>44</v>
      </c>
      <c r="L127" s="13" t="s">
        <v>494</v>
      </c>
      <c r="M127" s="15" t="s">
        <v>111</v>
      </c>
      <c r="N127" s="11" t="s">
        <v>379</v>
      </c>
    </row>
    <row r="128" spans="1:14" ht="15.75" customHeight="1" x14ac:dyDescent="0.15">
      <c r="A128" s="12" t="s">
        <v>359</v>
      </c>
      <c r="B128" s="6" t="s">
        <v>259</v>
      </c>
      <c r="C128" s="7" t="s">
        <v>495</v>
      </c>
      <c r="D128" s="8" t="s">
        <v>107</v>
      </c>
      <c r="E128" s="9">
        <v>35940</v>
      </c>
      <c r="F128" s="8" t="s">
        <v>212</v>
      </c>
      <c r="G128" s="8" t="s">
        <v>60</v>
      </c>
      <c r="H128" s="8" t="s">
        <v>108</v>
      </c>
      <c r="I128" s="8" t="s">
        <v>149</v>
      </c>
      <c r="J128" s="8" t="s">
        <v>22</v>
      </c>
      <c r="K128" s="8" t="s">
        <v>44</v>
      </c>
      <c r="L128" s="8" t="s">
        <v>55</v>
      </c>
      <c r="M128" s="10" t="s">
        <v>496</v>
      </c>
      <c r="N128" s="11" t="s">
        <v>379</v>
      </c>
    </row>
    <row r="129" spans="1:14" ht="15.75" customHeight="1" x14ac:dyDescent="0.15">
      <c r="A129" s="6" t="s">
        <v>364</v>
      </c>
      <c r="B129" s="12" t="s">
        <v>263</v>
      </c>
      <c r="C129" s="7" t="s">
        <v>497</v>
      </c>
      <c r="D129" s="13" t="s">
        <v>107</v>
      </c>
      <c r="E129" s="17">
        <v>36078</v>
      </c>
      <c r="F129" s="13" t="s">
        <v>30</v>
      </c>
      <c r="G129" s="13" t="s">
        <v>31</v>
      </c>
      <c r="H129" s="13" t="s">
        <v>144</v>
      </c>
      <c r="I129" s="13" t="s">
        <v>157</v>
      </c>
      <c r="J129" s="13" t="s">
        <v>54</v>
      </c>
      <c r="K129" s="13" t="s">
        <v>23</v>
      </c>
      <c r="L129" s="13" t="s">
        <v>45</v>
      </c>
      <c r="M129" s="15" t="s">
        <v>302</v>
      </c>
      <c r="N129" s="11" t="s">
        <v>379</v>
      </c>
    </row>
    <row r="130" spans="1:14" ht="15.75" customHeight="1" x14ac:dyDescent="0.15">
      <c r="A130" s="6" t="s">
        <v>498</v>
      </c>
      <c r="B130" s="6" t="s">
        <v>266</v>
      </c>
      <c r="C130" s="7" t="s">
        <v>499</v>
      </c>
      <c r="D130" s="8" t="s">
        <v>107</v>
      </c>
      <c r="E130" s="9">
        <v>37278</v>
      </c>
      <c r="F130" s="8" t="s">
        <v>137</v>
      </c>
      <c r="G130" s="8" t="s">
        <v>138</v>
      </c>
      <c r="H130" s="8" t="s">
        <v>94</v>
      </c>
      <c r="I130" s="8" t="s">
        <v>265</v>
      </c>
      <c r="J130" s="8" t="s">
        <v>54</v>
      </c>
      <c r="K130" s="8" t="s">
        <v>44</v>
      </c>
      <c r="L130" s="8" t="s">
        <v>45</v>
      </c>
      <c r="M130" s="10" t="s">
        <v>71</v>
      </c>
      <c r="N130" s="11" t="s">
        <v>379</v>
      </c>
    </row>
    <row r="131" spans="1:14" ht="15.75" customHeight="1" x14ac:dyDescent="0.15">
      <c r="A131" s="12" t="s">
        <v>367</v>
      </c>
      <c r="B131" s="12" t="s">
        <v>268</v>
      </c>
      <c r="C131" s="7" t="s">
        <v>500</v>
      </c>
      <c r="D131" s="13" t="s">
        <v>39</v>
      </c>
      <c r="E131" s="14">
        <v>36579</v>
      </c>
      <c r="F131" s="13" t="s">
        <v>40</v>
      </c>
      <c r="G131" s="13" t="s">
        <v>138</v>
      </c>
      <c r="H131" s="13" t="s">
        <v>156</v>
      </c>
      <c r="I131" s="13" t="s">
        <v>192</v>
      </c>
      <c r="J131" s="13" t="s">
        <v>22</v>
      </c>
      <c r="K131" s="13" t="s">
        <v>23</v>
      </c>
      <c r="L131" s="13" t="s">
        <v>55</v>
      </c>
      <c r="M131" s="15" t="s">
        <v>298</v>
      </c>
      <c r="N131" s="11" t="s">
        <v>379</v>
      </c>
    </row>
    <row r="132" spans="1:14" ht="15.75" customHeight="1" x14ac:dyDescent="0.15">
      <c r="A132" s="6" t="s">
        <v>371</v>
      </c>
      <c r="B132" s="6" t="s">
        <v>271</v>
      </c>
      <c r="C132" s="7" t="s">
        <v>501</v>
      </c>
      <c r="D132" s="8" t="s">
        <v>17</v>
      </c>
      <c r="E132" s="9">
        <v>39147</v>
      </c>
      <c r="F132" s="8" t="s">
        <v>232</v>
      </c>
      <c r="G132" s="8" t="s">
        <v>131</v>
      </c>
      <c r="H132" s="8" t="s">
        <v>179</v>
      </c>
      <c r="I132" s="8" t="s">
        <v>21</v>
      </c>
      <c r="J132" s="8" t="s">
        <v>22</v>
      </c>
      <c r="K132" s="8" t="s">
        <v>44</v>
      </c>
      <c r="L132" s="8" t="s">
        <v>198</v>
      </c>
      <c r="M132" s="10" t="s">
        <v>502</v>
      </c>
      <c r="N132" s="11" t="s">
        <v>379</v>
      </c>
    </row>
    <row r="133" spans="1:14" ht="15.75" customHeight="1" x14ac:dyDescent="0.15">
      <c r="A133" s="12" t="s">
        <v>375</v>
      </c>
      <c r="B133" s="12" t="s">
        <v>275</v>
      </c>
      <c r="C133" s="7" t="s">
        <v>503</v>
      </c>
      <c r="D133" s="13" t="s">
        <v>49</v>
      </c>
      <c r="E133" s="14">
        <v>37075</v>
      </c>
      <c r="F133" s="13" t="s">
        <v>203</v>
      </c>
      <c r="G133" s="13" t="s">
        <v>204</v>
      </c>
      <c r="H133" s="13" t="s">
        <v>139</v>
      </c>
      <c r="I133" s="13" t="s">
        <v>120</v>
      </c>
      <c r="J133" s="13" t="s">
        <v>34</v>
      </c>
      <c r="K133" s="13" t="s">
        <v>44</v>
      </c>
      <c r="L133" s="13" t="s">
        <v>431</v>
      </c>
      <c r="M133" s="15" t="s">
        <v>262</v>
      </c>
      <c r="N133" s="11" t="s">
        <v>379</v>
      </c>
    </row>
    <row r="134" spans="1:14" ht="15.75" customHeight="1" x14ac:dyDescent="0.15">
      <c r="A134" s="6" t="s">
        <v>504</v>
      </c>
      <c r="B134" s="6" t="s">
        <v>278</v>
      </c>
      <c r="C134" s="7" t="s">
        <v>505</v>
      </c>
      <c r="D134" s="8" t="s">
        <v>39</v>
      </c>
      <c r="E134" s="9">
        <v>36422</v>
      </c>
      <c r="F134" s="8" t="s">
        <v>40</v>
      </c>
      <c r="G134" s="8" t="s">
        <v>243</v>
      </c>
      <c r="H134" s="8" t="s">
        <v>191</v>
      </c>
      <c r="I134" s="8" t="s">
        <v>192</v>
      </c>
      <c r="J134" s="8" t="s">
        <v>54</v>
      </c>
      <c r="K134" s="8" t="s">
        <v>23</v>
      </c>
      <c r="L134" s="8" t="s">
        <v>208</v>
      </c>
      <c r="M134" s="10" t="s">
        <v>506</v>
      </c>
      <c r="N134" s="11" t="s">
        <v>379</v>
      </c>
    </row>
    <row r="135" spans="1:14" ht="15.75" customHeight="1" x14ac:dyDescent="0.15">
      <c r="A135" s="6" t="s">
        <v>507</v>
      </c>
      <c r="B135" s="12" t="s">
        <v>281</v>
      </c>
      <c r="C135" s="7" t="s">
        <v>508</v>
      </c>
      <c r="D135" s="13" t="s">
        <v>107</v>
      </c>
      <c r="E135" s="14">
        <v>34892</v>
      </c>
      <c r="F135" s="13" t="s">
        <v>59</v>
      </c>
      <c r="G135" s="13" t="s">
        <v>51</v>
      </c>
      <c r="H135" s="13" t="s">
        <v>94</v>
      </c>
      <c r="I135" s="13" t="s">
        <v>157</v>
      </c>
      <c r="J135" s="13" t="s">
        <v>22</v>
      </c>
      <c r="K135" s="13" t="s">
        <v>44</v>
      </c>
      <c r="L135" s="13" t="s">
        <v>301</v>
      </c>
      <c r="M135" s="15" t="s">
        <v>71</v>
      </c>
      <c r="N135" s="11" t="s">
        <v>379</v>
      </c>
    </row>
    <row r="136" spans="1:14" ht="15.75" customHeight="1" x14ac:dyDescent="0.15">
      <c r="A136" s="12" t="s">
        <v>509</v>
      </c>
      <c r="B136" s="6" t="s">
        <v>285</v>
      </c>
      <c r="C136" s="7" t="s">
        <v>510</v>
      </c>
      <c r="D136" s="8" t="s">
        <v>49</v>
      </c>
      <c r="E136" s="9">
        <v>37422</v>
      </c>
      <c r="F136" s="8" t="s">
        <v>137</v>
      </c>
      <c r="G136" s="8" t="s">
        <v>243</v>
      </c>
      <c r="H136" s="8" t="s">
        <v>102</v>
      </c>
      <c r="I136" s="8" t="s">
        <v>265</v>
      </c>
      <c r="J136" s="8" t="s">
        <v>22</v>
      </c>
      <c r="K136" s="8" t="s">
        <v>44</v>
      </c>
      <c r="L136" s="8" t="s">
        <v>511</v>
      </c>
      <c r="M136" s="10" t="s">
        <v>467</v>
      </c>
      <c r="N136" s="11" t="s">
        <v>379</v>
      </c>
    </row>
    <row r="137" spans="1:14" ht="15.75" customHeight="1" x14ac:dyDescent="0.15">
      <c r="A137" s="6" t="s">
        <v>512</v>
      </c>
      <c r="B137" s="12" t="s">
        <v>288</v>
      </c>
      <c r="C137" s="7" t="s">
        <v>513</v>
      </c>
      <c r="D137" s="13" t="s">
        <v>39</v>
      </c>
      <c r="E137" s="14">
        <v>35693</v>
      </c>
      <c r="F137" s="13" t="s">
        <v>212</v>
      </c>
      <c r="G137" s="13" t="s">
        <v>204</v>
      </c>
      <c r="H137" s="13" t="s">
        <v>108</v>
      </c>
      <c r="I137" s="13" t="s">
        <v>43</v>
      </c>
      <c r="J137" s="13" t="s">
        <v>76</v>
      </c>
      <c r="K137" s="13" t="s">
        <v>44</v>
      </c>
      <c r="L137" s="13" t="s">
        <v>24</v>
      </c>
      <c r="M137" s="15" t="s">
        <v>514</v>
      </c>
      <c r="N137" s="11" t="s">
        <v>379</v>
      </c>
    </row>
    <row r="138" spans="1:14" ht="15.75" customHeight="1" x14ac:dyDescent="0.15">
      <c r="A138" s="12" t="s">
        <v>515</v>
      </c>
      <c r="B138" s="6" t="s">
        <v>291</v>
      </c>
      <c r="C138" s="7" t="s">
        <v>516</v>
      </c>
      <c r="D138" s="8" t="s">
        <v>107</v>
      </c>
      <c r="E138" s="9">
        <v>35904</v>
      </c>
      <c r="F138" s="8" t="s">
        <v>212</v>
      </c>
      <c r="G138" s="8" t="s">
        <v>93</v>
      </c>
      <c r="H138" s="8" t="s">
        <v>238</v>
      </c>
      <c r="I138" s="8" t="s">
        <v>517</v>
      </c>
      <c r="J138" s="8" t="s">
        <v>150</v>
      </c>
      <c r="K138" s="8" t="s">
        <v>23</v>
      </c>
      <c r="L138" s="8" t="s">
        <v>151</v>
      </c>
      <c r="M138" s="10" t="s">
        <v>166</v>
      </c>
      <c r="N138" s="11" t="s">
        <v>379</v>
      </c>
    </row>
    <row r="139" spans="1:14" ht="15.75" customHeight="1" x14ac:dyDescent="0.15">
      <c r="A139" s="6" t="s">
        <v>518</v>
      </c>
      <c r="B139" s="12" t="s">
        <v>295</v>
      </c>
      <c r="C139" s="7" t="s">
        <v>519</v>
      </c>
      <c r="D139" s="13" t="s">
        <v>39</v>
      </c>
      <c r="E139" s="14">
        <v>34878</v>
      </c>
      <c r="F139" s="13" t="s">
        <v>59</v>
      </c>
      <c r="G139" s="13" t="s">
        <v>51</v>
      </c>
      <c r="H139" s="13" t="s">
        <v>52</v>
      </c>
      <c r="I139" s="13" t="s">
        <v>207</v>
      </c>
      <c r="J139" s="13" t="s">
        <v>54</v>
      </c>
      <c r="K139" s="13" t="s">
        <v>77</v>
      </c>
      <c r="L139" s="13" t="s">
        <v>297</v>
      </c>
      <c r="M139" s="15" t="s">
        <v>520</v>
      </c>
      <c r="N139" s="11" t="s">
        <v>379</v>
      </c>
    </row>
    <row r="140" spans="1:14" ht="15.75" customHeight="1" x14ac:dyDescent="0.15">
      <c r="A140" s="6" t="s">
        <v>521</v>
      </c>
      <c r="B140" s="6" t="s">
        <v>299</v>
      </c>
      <c r="C140" s="7" t="s">
        <v>522</v>
      </c>
      <c r="D140" s="8" t="s">
        <v>107</v>
      </c>
      <c r="E140" s="9">
        <v>36435</v>
      </c>
      <c r="F140" s="8" t="s">
        <v>40</v>
      </c>
      <c r="G140" s="8" t="s">
        <v>67</v>
      </c>
      <c r="H140" s="8" t="s">
        <v>156</v>
      </c>
      <c r="I140" s="8" t="s">
        <v>385</v>
      </c>
      <c r="J140" s="8" t="s">
        <v>76</v>
      </c>
      <c r="K140" s="8" t="s">
        <v>44</v>
      </c>
      <c r="L140" s="8" t="s">
        <v>431</v>
      </c>
      <c r="M140" s="10" t="s">
        <v>391</v>
      </c>
      <c r="N140" s="11" t="s">
        <v>379</v>
      </c>
    </row>
    <row r="141" spans="1:14" ht="15.75" customHeight="1" x14ac:dyDescent="0.15">
      <c r="A141" s="12" t="s">
        <v>523</v>
      </c>
      <c r="B141" s="12" t="s">
        <v>303</v>
      </c>
      <c r="C141" s="7" t="s">
        <v>524</v>
      </c>
      <c r="D141" s="13" t="s">
        <v>107</v>
      </c>
      <c r="E141" s="14">
        <v>36722</v>
      </c>
      <c r="F141" s="13" t="s">
        <v>40</v>
      </c>
      <c r="G141" s="13" t="s">
        <v>19</v>
      </c>
      <c r="H141" s="13" t="s">
        <v>32</v>
      </c>
      <c r="I141" s="13" t="s">
        <v>157</v>
      </c>
      <c r="J141" s="13" t="s">
        <v>54</v>
      </c>
      <c r="K141" s="13" t="s">
        <v>44</v>
      </c>
      <c r="L141" s="13" t="s">
        <v>301</v>
      </c>
      <c r="M141" s="15" t="s">
        <v>525</v>
      </c>
      <c r="N141" s="11" t="s">
        <v>379</v>
      </c>
    </row>
    <row r="142" spans="1:14" ht="15.75" customHeight="1" x14ac:dyDescent="0.15">
      <c r="A142" s="6" t="s">
        <v>526</v>
      </c>
      <c r="B142" s="6" t="s">
        <v>306</v>
      </c>
      <c r="C142" s="7" t="s">
        <v>527</v>
      </c>
      <c r="D142" s="8" t="s">
        <v>17</v>
      </c>
      <c r="E142" s="9">
        <v>38735</v>
      </c>
      <c r="F142" s="8" t="s">
        <v>170</v>
      </c>
      <c r="G142" s="8" t="s">
        <v>138</v>
      </c>
      <c r="H142" s="8" t="s">
        <v>114</v>
      </c>
      <c r="I142" s="8" t="s">
        <v>385</v>
      </c>
      <c r="J142" s="8" t="s">
        <v>54</v>
      </c>
      <c r="K142" s="8" t="s">
        <v>23</v>
      </c>
      <c r="L142" s="8" t="s">
        <v>244</v>
      </c>
      <c r="M142" s="10" t="s">
        <v>528</v>
      </c>
      <c r="N142" s="11" t="s">
        <v>379</v>
      </c>
    </row>
    <row r="143" spans="1:14" ht="15.75" customHeight="1" x14ac:dyDescent="0.15">
      <c r="A143" s="6" t="s">
        <v>529</v>
      </c>
      <c r="B143" s="6" t="s">
        <v>308</v>
      </c>
      <c r="C143" s="7" t="s">
        <v>530</v>
      </c>
      <c r="D143" s="8" t="s">
        <v>39</v>
      </c>
      <c r="E143" s="9">
        <v>36649</v>
      </c>
      <c r="F143" s="8" t="s">
        <v>40</v>
      </c>
      <c r="G143" s="8" t="s">
        <v>41</v>
      </c>
      <c r="H143" s="8" t="s">
        <v>32</v>
      </c>
      <c r="I143" s="8" t="s">
        <v>120</v>
      </c>
      <c r="J143" s="8" t="s">
        <v>22</v>
      </c>
      <c r="K143" s="8" t="s">
        <v>23</v>
      </c>
      <c r="L143" s="8" t="s">
        <v>35</v>
      </c>
      <c r="M143" s="10" t="s">
        <v>349</v>
      </c>
      <c r="N143" s="11" t="s">
        <v>379</v>
      </c>
    </row>
    <row r="144" spans="1:14" ht="15.75" customHeight="1" x14ac:dyDescent="0.15">
      <c r="A144" s="6" t="s">
        <v>531</v>
      </c>
      <c r="B144" s="12" t="s">
        <v>311</v>
      </c>
      <c r="C144" s="7" t="s">
        <v>532</v>
      </c>
      <c r="D144" s="13" t="s">
        <v>107</v>
      </c>
      <c r="E144" s="14">
        <v>35962</v>
      </c>
      <c r="F144" s="13" t="s">
        <v>212</v>
      </c>
      <c r="G144" s="13" t="s">
        <v>31</v>
      </c>
      <c r="H144" s="13" t="s">
        <v>156</v>
      </c>
      <c r="I144" s="13" t="s">
        <v>21</v>
      </c>
      <c r="J144" s="13" t="s">
        <v>76</v>
      </c>
      <c r="K144" s="13" t="s">
        <v>77</v>
      </c>
      <c r="L144" s="13" t="s">
        <v>55</v>
      </c>
      <c r="M144" s="15" t="s">
        <v>449</v>
      </c>
      <c r="N144" s="11" t="s">
        <v>379</v>
      </c>
    </row>
    <row r="145" spans="1:14" ht="15.75" customHeight="1" x14ac:dyDescent="0.15">
      <c r="A145" s="12" t="s">
        <v>533</v>
      </c>
      <c r="B145" s="6" t="s">
        <v>314</v>
      </c>
      <c r="C145" s="7" t="s">
        <v>534</v>
      </c>
      <c r="D145" s="8" t="s">
        <v>39</v>
      </c>
      <c r="E145" s="16">
        <v>35725</v>
      </c>
      <c r="F145" s="8" t="s">
        <v>212</v>
      </c>
      <c r="G145" s="8" t="s">
        <v>93</v>
      </c>
      <c r="H145" s="8" t="s">
        <v>535</v>
      </c>
      <c r="I145" s="8" t="s">
        <v>517</v>
      </c>
      <c r="J145" s="8" t="s">
        <v>150</v>
      </c>
      <c r="K145" s="8" t="s">
        <v>44</v>
      </c>
      <c r="L145" s="8" t="s">
        <v>324</v>
      </c>
      <c r="M145" s="10" t="s">
        <v>329</v>
      </c>
      <c r="N145" s="11" t="s">
        <v>379</v>
      </c>
    </row>
    <row r="146" spans="1:14" ht="15.75" customHeight="1" x14ac:dyDescent="0.15">
      <c r="A146" s="6" t="s">
        <v>536</v>
      </c>
      <c r="B146" s="12" t="s">
        <v>319</v>
      </c>
      <c r="C146" s="7" t="s">
        <v>537</v>
      </c>
      <c r="D146" s="13" t="s">
        <v>107</v>
      </c>
      <c r="E146" s="14">
        <v>36049</v>
      </c>
      <c r="F146" s="13" t="s">
        <v>30</v>
      </c>
      <c r="G146" s="13" t="s">
        <v>60</v>
      </c>
      <c r="H146" s="13" t="s">
        <v>114</v>
      </c>
      <c r="I146" s="13" t="s">
        <v>95</v>
      </c>
      <c r="J146" s="13" t="s">
        <v>22</v>
      </c>
      <c r="K146" s="13" t="s">
        <v>44</v>
      </c>
      <c r="L146" s="13" t="s">
        <v>45</v>
      </c>
      <c r="M146" s="15" t="s">
        <v>229</v>
      </c>
      <c r="N146" s="11" t="s">
        <v>379</v>
      </c>
    </row>
    <row r="147" spans="1:14" ht="15.75" customHeight="1" x14ac:dyDescent="0.15">
      <c r="A147" s="12" t="s">
        <v>538</v>
      </c>
      <c r="B147" s="6" t="s">
        <v>407</v>
      </c>
      <c r="C147" s="7" t="s">
        <v>539</v>
      </c>
      <c r="D147" s="8" t="s">
        <v>107</v>
      </c>
      <c r="E147" s="9">
        <v>37042</v>
      </c>
      <c r="F147" s="8" t="s">
        <v>203</v>
      </c>
      <c r="G147" s="8" t="s">
        <v>138</v>
      </c>
      <c r="H147" s="8" t="s">
        <v>144</v>
      </c>
      <c r="I147" s="8" t="s">
        <v>43</v>
      </c>
      <c r="J147" s="8" t="s">
        <v>22</v>
      </c>
      <c r="K147" s="8" t="s">
        <v>77</v>
      </c>
      <c r="L147" s="8" t="s">
        <v>70</v>
      </c>
      <c r="M147" s="10" t="s">
        <v>540</v>
      </c>
      <c r="N147" s="11" t="s">
        <v>379</v>
      </c>
    </row>
    <row r="148" spans="1:14" ht="15.75" customHeight="1" x14ac:dyDescent="0.15">
      <c r="A148" s="6" t="s">
        <v>541</v>
      </c>
      <c r="B148" s="12" t="s">
        <v>325</v>
      </c>
      <c r="C148" s="7" t="s">
        <v>542</v>
      </c>
      <c r="D148" s="13" t="s">
        <v>49</v>
      </c>
      <c r="E148" s="14">
        <v>36043</v>
      </c>
      <c r="F148" s="13" t="s">
        <v>212</v>
      </c>
      <c r="G148" s="13" t="s">
        <v>60</v>
      </c>
      <c r="H148" s="13" t="s">
        <v>94</v>
      </c>
      <c r="I148" s="13" t="s">
        <v>385</v>
      </c>
      <c r="J148" s="13" t="s">
        <v>54</v>
      </c>
      <c r="K148" s="13" t="s">
        <v>44</v>
      </c>
      <c r="L148" s="13" t="s">
        <v>35</v>
      </c>
      <c r="M148" s="15" t="s">
        <v>349</v>
      </c>
      <c r="N148" s="11" t="s">
        <v>379</v>
      </c>
    </row>
    <row r="149" spans="1:14" ht="15.75" customHeight="1" x14ac:dyDescent="0.15">
      <c r="A149" s="6" t="s">
        <v>543</v>
      </c>
      <c r="B149" s="6" t="s">
        <v>412</v>
      </c>
      <c r="C149" s="7" t="s">
        <v>544</v>
      </c>
      <c r="D149" s="8" t="s">
        <v>107</v>
      </c>
      <c r="E149" s="9">
        <v>34837</v>
      </c>
      <c r="F149" s="8" t="s">
        <v>59</v>
      </c>
      <c r="G149" s="8" t="s">
        <v>67</v>
      </c>
      <c r="H149" s="8" t="s">
        <v>94</v>
      </c>
      <c r="I149" s="8" t="s">
        <v>382</v>
      </c>
      <c r="J149" s="8" t="s">
        <v>22</v>
      </c>
      <c r="K149" s="8" t="s">
        <v>44</v>
      </c>
      <c r="L149" s="8" t="s">
        <v>70</v>
      </c>
      <c r="M149" s="10" t="s">
        <v>36</v>
      </c>
      <c r="N149" s="11" t="s">
        <v>379</v>
      </c>
    </row>
    <row r="150" spans="1:14" ht="15.75" customHeight="1" x14ac:dyDescent="0.15">
      <c r="A150" s="12" t="s">
        <v>545</v>
      </c>
      <c r="B150" s="12" t="s">
        <v>330</v>
      </c>
      <c r="C150" s="7" t="s">
        <v>546</v>
      </c>
      <c r="D150" s="13" t="s">
        <v>107</v>
      </c>
      <c r="E150" s="14">
        <v>37423</v>
      </c>
      <c r="F150" s="13" t="s">
        <v>137</v>
      </c>
      <c r="G150" s="13" t="s">
        <v>243</v>
      </c>
      <c r="H150" s="13" t="s">
        <v>225</v>
      </c>
      <c r="I150" s="13" t="s">
        <v>33</v>
      </c>
      <c r="J150" s="13" t="s">
        <v>150</v>
      </c>
      <c r="K150" s="13" t="s">
        <v>44</v>
      </c>
      <c r="L150" s="13" t="s">
        <v>324</v>
      </c>
      <c r="M150" s="15" t="s">
        <v>547</v>
      </c>
      <c r="N150" s="11" t="s">
        <v>379</v>
      </c>
    </row>
    <row r="151" spans="1:14" ht="15.75" customHeight="1" x14ac:dyDescent="0.15">
      <c r="A151" s="6" t="s">
        <v>548</v>
      </c>
      <c r="B151" s="6" t="s">
        <v>335</v>
      </c>
      <c r="C151" s="7" t="s">
        <v>549</v>
      </c>
      <c r="D151" s="8" t="s">
        <v>39</v>
      </c>
      <c r="E151" s="16">
        <v>34666</v>
      </c>
      <c r="F151" s="8" t="s">
        <v>59</v>
      </c>
      <c r="G151" s="8" t="s">
        <v>93</v>
      </c>
      <c r="H151" s="8" t="s">
        <v>68</v>
      </c>
      <c r="I151" s="8" t="s">
        <v>127</v>
      </c>
      <c r="J151" s="8" t="s">
        <v>150</v>
      </c>
      <c r="K151" s="8" t="s">
        <v>294</v>
      </c>
      <c r="L151" s="8" t="s">
        <v>151</v>
      </c>
      <c r="M151" s="10" t="s">
        <v>550</v>
      </c>
      <c r="N151" s="11" t="s">
        <v>379</v>
      </c>
    </row>
    <row r="152" spans="1:14" ht="15.75" customHeight="1" x14ac:dyDescent="0.15">
      <c r="A152" s="12" t="s">
        <v>551</v>
      </c>
      <c r="B152" s="12" t="s">
        <v>426</v>
      </c>
      <c r="C152" s="7" t="s">
        <v>552</v>
      </c>
      <c r="D152" s="13" t="s">
        <v>107</v>
      </c>
      <c r="E152" s="14">
        <v>38631</v>
      </c>
      <c r="F152" s="13" t="s">
        <v>170</v>
      </c>
      <c r="G152" s="13" t="s">
        <v>138</v>
      </c>
      <c r="H152" s="13" t="s">
        <v>88</v>
      </c>
      <c r="I152" s="13" t="s">
        <v>213</v>
      </c>
      <c r="J152" s="13" t="s">
        <v>22</v>
      </c>
      <c r="K152" s="13" t="s">
        <v>44</v>
      </c>
      <c r="L152" s="13" t="s">
        <v>277</v>
      </c>
      <c r="M152" s="15" t="s">
        <v>528</v>
      </c>
      <c r="N152" s="11" t="s">
        <v>379</v>
      </c>
    </row>
    <row r="153" spans="1:14" ht="15.75" customHeight="1" x14ac:dyDescent="0.15">
      <c r="A153" s="6" t="s">
        <v>553</v>
      </c>
      <c r="B153" s="6" t="s">
        <v>428</v>
      </c>
      <c r="C153" s="7" t="s">
        <v>554</v>
      </c>
      <c r="D153" s="8" t="s">
        <v>107</v>
      </c>
      <c r="E153" s="9">
        <v>38991</v>
      </c>
      <c r="F153" s="8" t="s">
        <v>232</v>
      </c>
      <c r="G153" s="8" t="s">
        <v>131</v>
      </c>
      <c r="H153" s="8" t="s">
        <v>144</v>
      </c>
      <c r="I153" s="8" t="s">
        <v>192</v>
      </c>
      <c r="J153" s="8" t="s">
        <v>22</v>
      </c>
      <c r="K153" s="8" t="s">
        <v>77</v>
      </c>
      <c r="L153" s="8" t="s">
        <v>24</v>
      </c>
      <c r="M153" s="10" t="s">
        <v>528</v>
      </c>
      <c r="N153" s="11" t="s">
        <v>379</v>
      </c>
    </row>
    <row r="154" spans="1:14" ht="15.75" customHeight="1" x14ac:dyDescent="0.15">
      <c r="A154" s="6" t="s">
        <v>555</v>
      </c>
      <c r="B154" s="12" t="s">
        <v>452</v>
      </c>
      <c r="C154" s="7" t="s">
        <v>556</v>
      </c>
      <c r="D154" s="13" t="s">
        <v>107</v>
      </c>
      <c r="E154" s="14">
        <v>38957</v>
      </c>
      <c r="F154" s="13" t="s">
        <v>170</v>
      </c>
      <c r="G154" s="13" t="s">
        <v>131</v>
      </c>
      <c r="H154" s="13" t="s">
        <v>42</v>
      </c>
      <c r="I154" s="13" t="s">
        <v>149</v>
      </c>
      <c r="J154" s="13" t="s">
        <v>54</v>
      </c>
      <c r="K154" s="13" t="s">
        <v>44</v>
      </c>
      <c r="L154" s="13" t="s">
        <v>479</v>
      </c>
      <c r="M154" s="15" t="s">
        <v>528</v>
      </c>
      <c r="N154" s="11" t="s">
        <v>379</v>
      </c>
    </row>
    <row r="155" spans="1:14" ht="15.75" customHeight="1" x14ac:dyDescent="0.15">
      <c r="A155" s="12" t="s">
        <v>557</v>
      </c>
      <c r="B155" s="6" t="s">
        <v>355</v>
      </c>
      <c r="C155" s="7" t="s">
        <v>558</v>
      </c>
      <c r="D155" s="8" t="s">
        <v>17</v>
      </c>
      <c r="E155" s="16">
        <v>38645</v>
      </c>
      <c r="F155" s="8" t="s">
        <v>170</v>
      </c>
      <c r="G155" s="8" t="s">
        <v>138</v>
      </c>
      <c r="H155" s="8" t="s">
        <v>94</v>
      </c>
      <c r="I155" s="8" t="s">
        <v>61</v>
      </c>
      <c r="J155" s="8" t="s">
        <v>54</v>
      </c>
      <c r="K155" s="8" t="s">
        <v>23</v>
      </c>
      <c r="L155" s="8" t="s">
        <v>297</v>
      </c>
      <c r="M155" s="10" t="s">
        <v>528</v>
      </c>
      <c r="N155" s="11" t="s">
        <v>379</v>
      </c>
    </row>
    <row r="156" spans="1:14" ht="15.75" customHeight="1" x14ac:dyDescent="0.15">
      <c r="A156" s="6" t="s">
        <v>559</v>
      </c>
      <c r="B156" s="12" t="s">
        <v>487</v>
      </c>
      <c r="C156" s="7" t="s">
        <v>560</v>
      </c>
      <c r="D156" s="13" t="s">
        <v>49</v>
      </c>
      <c r="E156" s="14">
        <v>36920</v>
      </c>
      <c r="F156" s="13" t="s">
        <v>203</v>
      </c>
      <c r="G156" s="13" t="s">
        <v>41</v>
      </c>
      <c r="H156" s="13" t="s">
        <v>144</v>
      </c>
      <c r="I156" s="13" t="s">
        <v>192</v>
      </c>
      <c r="J156" s="13" t="s">
        <v>34</v>
      </c>
      <c r="K156" s="13" t="s">
        <v>23</v>
      </c>
      <c r="L156" s="13" t="s">
        <v>561</v>
      </c>
      <c r="M156" s="15" t="s">
        <v>562</v>
      </c>
      <c r="N156" s="11" t="s">
        <v>379</v>
      </c>
    </row>
    <row r="157" spans="1:14" ht="15.75" customHeight="1" x14ac:dyDescent="0.15">
      <c r="A157" s="12" t="s">
        <v>563</v>
      </c>
      <c r="B157" s="6" t="s">
        <v>359</v>
      </c>
      <c r="C157" s="7" t="s">
        <v>564</v>
      </c>
      <c r="D157" s="8" t="s">
        <v>17</v>
      </c>
      <c r="E157" s="9">
        <v>36272</v>
      </c>
      <c r="F157" s="8" t="s">
        <v>30</v>
      </c>
      <c r="G157" s="8" t="s">
        <v>67</v>
      </c>
      <c r="H157" s="8" t="s">
        <v>446</v>
      </c>
      <c r="I157" s="8" t="s">
        <v>140</v>
      </c>
      <c r="J157" s="8" t="s">
        <v>54</v>
      </c>
      <c r="K157" s="8" t="s">
        <v>44</v>
      </c>
      <c r="L157" s="8" t="s">
        <v>565</v>
      </c>
      <c r="M157" s="10" t="s">
        <v>566</v>
      </c>
      <c r="N157" s="11" t="s">
        <v>379</v>
      </c>
    </row>
    <row r="158" spans="1:14" ht="15.75" customHeight="1" x14ac:dyDescent="0.15">
      <c r="A158" s="6" t="s">
        <v>567</v>
      </c>
      <c r="B158" s="12" t="s">
        <v>364</v>
      </c>
      <c r="C158" s="7" t="s">
        <v>568</v>
      </c>
      <c r="D158" s="13" t="s">
        <v>49</v>
      </c>
      <c r="E158" s="14">
        <v>38613</v>
      </c>
      <c r="F158" s="13" t="s">
        <v>170</v>
      </c>
      <c r="G158" s="13" t="s">
        <v>138</v>
      </c>
      <c r="H158" s="13" t="s">
        <v>139</v>
      </c>
      <c r="I158" s="13" t="s">
        <v>95</v>
      </c>
      <c r="J158" s="13" t="s">
        <v>34</v>
      </c>
      <c r="K158" s="13" t="s">
        <v>44</v>
      </c>
      <c r="L158" s="13" t="s">
        <v>78</v>
      </c>
      <c r="M158" s="15" t="s">
        <v>528</v>
      </c>
      <c r="N158" s="11" t="s">
        <v>379</v>
      </c>
    </row>
    <row r="159" spans="1:14" ht="15.75" customHeight="1" x14ac:dyDescent="0.15">
      <c r="A159" s="6" t="s">
        <v>569</v>
      </c>
      <c r="B159" s="6" t="s">
        <v>498</v>
      </c>
      <c r="C159" s="7" t="s">
        <v>570</v>
      </c>
      <c r="D159" s="8" t="s">
        <v>17</v>
      </c>
      <c r="E159" s="9">
        <v>39352</v>
      </c>
      <c r="F159" s="8" t="s">
        <v>571</v>
      </c>
      <c r="G159" s="8" t="s">
        <v>93</v>
      </c>
      <c r="H159" s="8" t="s">
        <v>32</v>
      </c>
      <c r="I159" s="8" t="s">
        <v>53</v>
      </c>
      <c r="J159" s="8" t="s">
        <v>150</v>
      </c>
      <c r="K159" s="8" t="s">
        <v>44</v>
      </c>
      <c r="L159" s="8" t="s">
        <v>572</v>
      </c>
      <c r="M159" s="10" t="s">
        <v>528</v>
      </c>
      <c r="N159" s="11" t="s">
        <v>379</v>
      </c>
    </row>
    <row r="160" spans="1:14" ht="15.75" customHeight="1" x14ac:dyDescent="0.15">
      <c r="A160" s="12" t="s">
        <v>573</v>
      </c>
      <c r="B160" s="12" t="s">
        <v>507</v>
      </c>
      <c r="C160" s="7" t="s">
        <v>574</v>
      </c>
      <c r="D160" s="13" t="s">
        <v>107</v>
      </c>
      <c r="E160" s="14">
        <v>38249</v>
      </c>
      <c r="F160" s="13" t="s">
        <v>217</v>
      </c>
      <c r="G160" s="13" t="s">
        <v>41</v>
      </c>
      <c r="H160" s="13" t="s">
        <v>94</v>
      </c>
      <c r="I160" s="13" t="s">
        <v>53</v>
      </c>
      <c r="J160" s="13" t="s">
        <v>54</v>
      </c>
      <c r="K160" s="13" t="s">
        <v>77</v>
      </c>
      <c r="L160" s="13" t="s">
        <v>390</v>
      </c>
      <c r="M160" s="15" t="s">
        <v>248</v>
      </c>
      <c r="N160" s="11" t="s">
        <v>379</v>
      </c>
    </row>
    <row r="161" spans="1:14" ht="15.75" customHeight="1" x14ac:dyDescent="0.15">
      <c r="A161" s="6" t="s">
        <v>575</v>
      </c>
      <c r="B161" s="6" t="s">
        <v>518</v>
      </c>
      <c r="C161" s="7" t="s">
        <v>576</v>
      </c>
      <c r="D161" s="8" t="s">
        <v>107</v>
      </c>
      <c r="E161" s="9">
        <v>37468</v>
      </c>
      <c r="F161" s="8" t="s">
        <v>137</v>
      </c>
      <c r="G161" s="8" t="s">
        <v>31</v>
      </c>
      <c r="H161" s="8" t="s">
        <v>171</v>
      </c>
      <c r="I161" s="8" t="s">
        <v>197</v>
      </c>
      <c r="J161" s="8" t="s">
        <v>54</v>
      </c>
      <c r="K161" s="8" t="s">
        <v>77</v>
      </c>
      <c r="L161" s="8" t="s">
        <v>45</v>
      </c>
      <c r="M161" s="10" t="s">
        <v>449</v>
      </c>
      <c r="N161" s="11" t="s">
        <v>379</v>
      </c>
    </row>
    <row r="162" spans="1:14" ht="15.75" customHeight="1" x14ac:dyDescent="0.15">
      <c r="A162" s="12" t="s">
        <v>577</v>
      </c>
      <c r="B162" s="12" t="s">
        <v>553</v>
      </c>
      <c r="C162" s="7" t="s">
        <v>578</v>
      </c>
      <c r="D162" s="13" t="s">
        <v>39</v>
      </c>
      <c r="E162" s="17">
        <v>39000</v>
      </c>
      <c r="F162" s="13" t="s">
        <v>232</v>
      </c>
      <c r="G162" s="13" t="s">
        <v>131</v>
      </c>
      <c r="H162" s="13" t="s">
        <v>579</v>
      </c>
      <c r="I162" s="13" t="s">
        <v>149</v>
      </c>
      <c r="J162" s="13" t="s">
        <v>22</v>
      </c>
      <c r="K162" s="13" t="s">
        <v>77</v>
      </c>
      <c r="L162" s="13" t="s">
        <v>218</v>
      </c>
      <c r="M162" s="15" t="s">
        <v>528</v>
      </c>
      <c r="N162" s="11" t="s">
        <v>379</v>
      </c>
    </row>
    <row r="163" spans="1:14" ht="15.75" customHeight="1" x14ac:dyDescent="0.15">
      <c r="A163" s="6" t="s">
        <v>580</v>
      </c>
      <c r="B163" s="6" t="s">
        <v>28</v>
      </c>
      <c r="C163" s="7" t="s">
        <v>581</v>
      </c>
      <c r="D163" s="8" t="s">
        <v>17</v>
      </c>
      <c r="E163" s="9">
        <v>36549</v>
      </c>
      <c r="F163" s="8" t="s">
        <v>40</v>
      </c>
      <c r="G163" s="8" t="s">
        <v>67</v>
      </c>
      <c r="H163" s="8" t="s">
        <v>82</v>
      </c>
      <c r="I163" s="8" t="s">
        <v>582</v>
      </c>
      <c r="J163" s="8" t="s">
        <v>54</v>
      </c>
      <c r="K163" s="8" t="s">
        <v>44</v>
      </c>
      <c r="L163" s="8" t="s">
        <v>277</v>
      </c>
      <c r="M163" s="10" t="s">
        <v>583</v>
      </c>
      <c r="N163" s="11" t="s">
        <v>584</v>
      </c>
    </row>
    <row r="164" spans="1:14" ht="15.75" customHeight="1" x14ac:dyDescent="0.15">
      <c r="A164" s="6" t="s">
        <v>585</v>
      </c>
      <c r="B164" s="12" t="s">
        <v>15</v>
      </c>
      <c r="C164" s="7" t="s">
        <v>586</v>
      </c>
      <c r="D164" s="13" t="s">
        <v>17</v>
      </c>
      <c r="E164" s="14">
        <v>34179</v>
      </c>
      <c r="F164" s="13" t="s">
        <v>182</v>
      </c>
      <c r="G164" s="13" t="s">
        <v>101</v>
      </c>
      <c r="H164" s="13" t="s">
        <v>82</v>
      </c>
      <c r="I164" s="13" t="s">
        <v>75</v>
      </c>
      <c r="J164" s="13" t="s">
        <v>54</v>
      </c>
      <c r="K164" s="13" t="s">
        <v>44</v>
      </c>
      <c r="L164" s="13" t="s">
        <v>479</v>
      </c>
      <c r="M164" s="15" t="s">
        <v>458</v>
      </c>
      <c r="N164" s="11" t="s">
        <v>584</v>
      </c>
    </row>
    <row r="165" spans="1:14" ht="15.75" customHeight="1" x14ac:dyDescent="0.15">
      <c r="A165" s="12" t="s">
        <v>587</v>
      </c>
      <c r="B165" s="6" t="s">
        <v>588</v>
      </c>
      <c r="C165" s="7" t="s">
        <v>589</v>
      </c>
      <c r="D165" s="8" t="s">
        <v>17</v>
      </c>
      <c r="E165" s="9">
        <v>38165</v>
      </c>
      <c r="F165" s="8" t="s">
        <v>92</v>
      </c>
      <c r="G165" s="8" t="s">
        <v>41</v>
      </c>
      <c r="H165" s="8" t="s">
        <v>82</v>
      </c>
      <c r="I165" s="8" t="s">
        <v>273</v>
      </c>
      <c r="J165" s="8" t="s">
        <v>54</v>
      </c>
      <c r="K165" s="8" t="s">
        <v>44</v>
      </c>
      <c r="L165" s="8" t="s">
        <v>24</v>
      </c>
      <c r="M165" s="10" t="s">
        <v>590</v>
      </c>
      <c r="N165" s="11" t="s">
        <v>584</v>
      </c>
    </row>
    <row r="166" spans="1:14" ht="15.75" customHeight="1" x14ac:dyDescent="0.15">
      <c r="A166" s="6" t="s">
        <v>591</v>
      </c>
      <c r="B166" s="12" t="s">
        <v>27</v>
      </c>
      <c r="C166" s="7" t="s">
        <v>592</v>
      </c>
      <c r="D166" s="13" t="s">
        <v>17</v>
      </c>
      <c r="E166" s="14">
        <v>34738</v>
      </c>
      <c r="F166" s="13" t="s">
        <v>59</v>
      </c>
      <c r="G166" s="13" t="s">
        <v>60</v>
      </c>
      <c r="H166" s="13" t="s">
        <v>179</v>
      </c>
      <c r="I166" s="13" t="s">
        <v>33</v>
      </c>
      <c r="J166" s="13" t="s">
        <v>54</v>
      </c>
      <c r="K166" s="13" t="s">
        <v>23</v>
      </c>
      <c r="L166" s="13" t="s">
        <v>255</v>
      </c>
      <c r="M166" s="15" t="s">
        <v>111</v>
      </c>
      <c r="N166" s="11" t="s">
        <v>584</v>
      </c>
    </row>
    <row r="167" spans="1:14" ht="15.75" customHeight="1" x14ac:dyDescent="0.15">
      <c r="A167" s="12" t="s">
        <v>593</v>
      </c>
      <c r="B167" s="6" t="s">
        <v>594</v>
      </c>
      <c r="C167" s="7" t="s">
        <v>595</v>
      </c>
      <c r="D167" s="8" t="s">
        <v>17</v>
      </c>
      <c r="E167" s="9">
        <v>38530</v>
      </c>
      <c r="F167" s="8" t="s">
        <v>217</v>
      </c>
      <c r="G167" s="8" t="s">
        <v>138</v>
      </c>
      <c r="H167" s="8" t="s">
        <v>94</v>
      </c>
      <c r="I167" s="8" t="s">
        <v>582</v>
      </c>
      <c r="J167" s="8" t="s">
        <v>22</v>
      </c>
      <c r="K167" s="8" t="s">
        <v>44</v>
      </c>
      <c r="L167" s="8" t="s">
        <v>404</v>
      </c>
      <c r="M167" s="10" t="s">
        <v>596</v>
      </c>
      <c r="N167" s="11" t="s">
        <v>584</v>
      </c>
    </row>
    <row r="168" spans="1:14" ht="15.75" customHeight="1" x14ac:dyDescent="0.15">
      <c r="A168" s="6" t="s">
        <v>597</v>
      </c>
      <c r="B168" s="12" t="s">
        <v>57</v>
      </c>
      <c r="C168" s="7" t="s">
        <v>598</v>
      </c>
      <c r="D168" s="13" t="s">
        <v>17</v>
      </c>
      <c r="E168" s="14">
        <v>36915</v>
      </c>
      <c r="F168" s="13" t="s">
        <v>203</v>
      </c>
      <c r="G168" s="13" t="s">
        <v>41</v>
      </c>
      <c r="H168" s="13" t="s">
        <v>82</v>
      </c>
      <c r="I168" s="13" t="s">
        <v>53</v>
      </c>
      <c r="J168" s="13" t="s">
        <v>54</v>
      </c>
      <c r="K168" s="13" t="s">
        <v>23</v>
      </c>
      <c r="L168" s="13" t="s">
        <v>133</v>
      </c>
      <c r="M168" s="15" t="s">
        <v>209</v>
      </c>
      <c r="N168" s="11" t="s">
        <v>584</v>
      </c>
    </row>
    <row r="169" spans="1:14" ht="15.75" customHeight="1" x14ac:dyDescent="0.15">
      <c r="A169" s="6" t="s">
        <v>599</v>
      </c>
      <c r="B169" s="6" t="s">
        <v>600</v>
      </c>
      <c r="C169" s="7" t="s">
        <v>601</v>
      </c>
      <c r="D169" s="8" t="s">
        <v>17</v>
      </c>
      <c r="E169" s="9">
        <v>38511</v>
      </c>
      <c r="F169" s="8" t="s">
        <v>217</v>
      </c>
      <c r="G169" s="8" t="s">
        <v>138</v>
      </c>
      <c r="H169" s="8" t="s">
        <v>94</v>
      </c>
      <c r="I169" s="8" t="s">
        <v>192</v>
      </c>
      <c r="J169" s="8" t="s">
        <v>22</v>
      </c>
      <c r="K169" s="8" t="s">
        <v>44</v>
      </c>
      <c r="L169" s="8" t="s">
        <v>45</v>
      </c>
      <c r="M169" s="10" t="s">
        <v>596</v>
      </c>
      <c r="N169" s="11" t="s">
        <v>584</v>
      </c>
    </row>
    <row r="170" spans="1:14" ht="15.75" customHeight="1" x14ac:dyDescent="0.15">
      <c r="A170" s="12" t="s">
        <v>602</v>
      </c>
      <c r="B170" s="12" t="s">
        <v>603</v>
      </c>
      <c r="C170" s="7" t="s">
        <v>604</v>
      </c>
      <c r="D170" s="13" t="s">
        <v>49</v>
      </c>
      <c r="E170" s="14">
        <v>39297</v>
      </c>
      <c r="F170" s="13" t="s">
        <v>232</v>
      </c>
      <c r="G170" s="13" t="s">
        <v>93</v>
      </c>
      <c r="H170" s="13" t="s">
        <v>102</v>
      </c>
      <c r="I170" s="13" t="s">
        <v>103</v>
      </c>
      <c r="J170" s="13" t="s">
        <v>22</v>
      </c>
      <c r="K170" s="13" t="s">
        <v>23</v>
      </c>
      <c r="L170" s="13" t="s">
        <v>297</v>
      </c>
      <c r="M170" s="15" t="s">
        <v>605</v>
      </c>
      <c r="N170" s="11" t="s">
        <v>584</v>
      </c>
    </row>
    <row r="171" spans="1:14" ht="15.75" customHeight="1" x14ac:dyDescent="0.15">
      <c r="A171" s="6" t="s">
        <v>606</v>
      </c>
      <c r="B171" s="6" t="s">
        <v>64</v>
      </c>
      <c r="C171" s="7" t="s">
        <v>607</v>
      </c>
      <c r="D171" s="8" t="s">
        <v>17</v>
      </c>
      <c r="E171" s="16">
        <v>32491</v>
      </c>
      <c r="F171" s="8" t="s">
        <v>493</v>
      </c>
      <c r="G171" s="8" t="s">
        <v>608</v>
      </c>
      <c r="H171" s="8" t="s">
        <v>196</v>
      </c>
      <c r="I171" s="8" t="s">
        <v>115</v>
      </c>
      <c r="J171" s="8" t="s">
        <v>34</v>
      </c>
      <c r="K171" s="8" t="s">
        <v>44</v>
      </c>
      <c r="L171" s="8" t="s">
        <v>78</v>
      </c>
      <c r="M171" s="10" t="s">
        <v>85</v>
      </c>
      <c r="N171" s="11" t="s">
        <v>584</v>
      </c>
    </row>
    <row r="172" spans="1:14" ht="15.75" customHeight="1" x14ac:dyDescent="0.15">
      <c r="A172" s="12" t="s">
        <v>609</v>
      </c>
      <c r="B172" s="12" t="s">
        <v>80</v>
      </c>
      <c r="C172" s="7" t="s">
        <v>610</v>
      </c>
      <c r="D172" s="13" t="s">
        <v>39</v>
      </c>
      <c r="E172" s="14">
        <v>32609</v>
      </c>
      <c r="F172" s="13" t="s">
        <v>493</v>
      </c>
      <c r="G172" s="13" t="s">
        <v>611</v>
      </c>
      <c r="H172" s="13" t="s">
        <v>179</v>
      </c>
      <c r="I172" s="13" t="s">
        <v>197</v>
      </c>
      <c r="J172" s="13" t="s">
        <v>34</v>
      </c>
      <c r="K172" s="13" t="s">
        <v>23</v>
      </c>
      <c r="L172" s="13" t="s">
        <v>165</v>
      </c>
      <c r="M172" s="15" t="s">
        <v>111</v>
      </c>
      <c r="N172" s="11" t="s">
        <v>584</v>
      </c>
    </row>
    <row r="173" spans="1:14" ht="15.75" customHeight="1" x14ac:dyDescent="0.15">
      <c r="A173" s="6" t="s">
        <v>612</v>
      </c>
      <c r="B173" s="6" t="s">
        <v>613</v>
      </c>
      <c r="C173" s="7" t="s">
        <v>614</v>
      </c>
      <c r="D173" s="8" t="s">
        <v>39</v>
      </c>
      <c r="E173" s="9">
        <v>38135</v>
      </c>
      <c r="F173" s="8" t="s">
        <v>92</v>
      </c>
      <c r="G173" s="8" t="s">
        <v>41</v>
      </c>
      <c r="H173" s="8" t="s">
        <v>156</v>
      </c>
      <c r="I173" s="8" t="s">
        <v>213</v>
      </c>
      <c r="J173" s="8" t="s">
        <v>54</v>
      </c>
      <c r="K173" s="8" t="s">
        <v>44</v>
      </c>
      <c r="L173" s="8" t="s">
        <v>244</v>
      </c>
      <c r="M173" s="10" t="s">
        <v>615</v>
      </c>
      <c r="N173" s="11" t="s">
        <v>584</v>
      </c>
    </row>
    <row r="174" spans="1:14" ht="15.75" customHeight="1" x14ac:dyDescent="0.15">
      <c r="A174" s="6" t="s">
        <v>616</v>
      </c>
      <c r="B174" s="12" t="s">
        <v>86</v>
      </c>
      <c r="C174" s="7" t="s">
        <v>617</v>
      </c>
      <c r="D174" s="13" t="s">
        <v>39</v>
      </c>
      <c r="E174" s="14">
        <v>34192</v>
      </c>
      <c r="F174" s="13" t="s">
        <v>182</v>
      </c>
      <c r="G174" s="13" t="s">
        <v>618</v>
      </c>
      <c r="H174" s="13" t="s">
        <v>94</v>
      </c>
      <c r="I174" s="13" t="s">
        <v>120</v>
      </c>
      <c r="J174" s="13" t="s">
        <v>34</v>
      </c>
      <c r="K174" s="13" t="s">
        <v>44</v>
      </c>
      <c r="L174" s="13" t="s">
        <v>244</v>
      </c>
      <c r="M174" s="15" t="s">
        <v>619</v>
      </c>
      <c r="N174" s="11" t="s">
        <v>584</v>
      </c>
    </row>
    <row r="175" spans="1:14" ht="15.75" customHeight="1" x14ac:dyDescent="0.15">
      <c r="A175" s="12" t="s">
        <v>620</v>
      </c>
      <c r="B175" s="6" t="s">
        <v>90</v>
      </c>
      <c r="C175" s="7" t="s">
        <v>621</v>
      </c>
      <c r="D175" s="8" t="s">
        <v>49</v>
      </c>
      <c r="E175" s="9">
        <v>33913</v>
      </c>
      <c r="F175" s="8" t="s">
        <v>182</v>
      </c>
      <c r="G175" s="8" t="s">
        <v>622</v>
      </c>
      <c r="H175" s="8" t="s">
        <v>132</v>
      </c>
      <c r="I175" s="8" t="s">
        <v>95</v>
      </c>
      <c r="J175" s="8" t="s">
        <v>22</v>
      </c>
      <c r="K175" s="8" t="s">
        <v>44</v>
      </c>
      <c r="L175" s="8" t="s">
        <v>208</v>
      </c>
      <c r="M175" s="10" t="s">
        <v>85</v>
      </c>
      <c r="N175" s="11" t="s">
        <v>584</v>
      </c>
    </row>
    <row r="176" spans="1:14" ht="15.75" customHeight="1" x14ac:dyDescent="0.15">
      <c r="A176" s="6" t="s">
        <v>623</v>
      </c>
      <c r="B176" s="12" t="s">
        <v>98</v>
      </c>
      <c r="C176" s="7" t="s">
        <v>624</v>
      </c>
      <c r="D176" s="13" t="s">
        <v>107</v>
      </c>
      <c r="E176" s="14">
        <v>32448</v>
      </c>
      <c r="F176" s="13" t="s">
        <v>493</v>
      </c>
      <c r="G176" s="13" t="s">
        <v>51</v>
      </c>
      <c r="H176" s="13" t="s">
        <v>171</v>
      </c>
      <c r="I176" s="13" t="s">
        <v>337</v>
      </c>
      <c r="J176" s="13" t="s">
        <v>54</v>
      </c>
      <c r="K176" s="13" t="s">
        <v>44</v>
      </c>
      <c r="L176" s="13" t="s">
        <v>78</v>
      </c>
      <c r="M176" s="15" t="s">
        <v>104</v>
      </c>
      <c r="N176" s="11" t="s">
        <v>584</v>
      </c>
    </row>
    <row r="177" spans="1:14" ht="15.75" customHeight="1" x14ac:dyDescent="0.15">
      <c r="A177" s="12" t="s">
        <v>625</v>
      </c>
      <c r="B177" s="6" t="s">
        <v>626</v>
      </c>
      <c r="C177" s="7" t="s">
        <v>627</v>
      </c>
      <c r="D177" s="8" t="s">
        <v>107</v>
      </c>
      <c r="E177" s="9">
        <v>37043</v>
      </c>
      <c r="F177" s="8" t="s">
        <v>203</v>
      </c>
      <c r="G177" s="8" t="s">
        <v>93</v>
      </c>
      <c r="H177" s="8" t="s">
        <v>156</v>
      </c>
      <c r="I177" s="8" t="s">
        <v>33</v>
      </c>
      <c r="J177" s="8" t="s">
        <v>54</v>
      </c>
      <c r="K177" s="8" t="s">
        <v>77</v>
      </c>
      <c r="L177" s="8" t="s">
        <v>45</v>
      </c>
      <c r="M177" s="10" t="s">
        <v>628</v>
      </c>
      <c r="N177" s="11" t="s">
        <v>584</v>
      </c>
    </row>
    <row r="178" spans="1:14" ht="15.75" customHeight="1" x14ac:dyDescent="0.15">
      <c r="A178" s="6" t="s">
        <v>629</v>
      </c>
      <c r="B178" s="12" t="s">
        <v>630</v>
      </c>
      <c r="C178" s="7" t="s">
        <v>631</v>
      </c>
      <c r="D178" s="13" t="s">
        <v>107</v>
      </c>
      <c r="E178" s="14">
        <v>37733</v>
      </c>
      <c r="F178" s="13" t="s">
        <v>186</v>
      </c>
      <c r="G178" s="13" t="s">
        <v>93</v>
      </c>
      <c r="H178" s="13" t="s">
        <v>114</v>
      </c>
      <c r="I178" s="13" t="s">
        <v>385</v>
      </c>
      <c r="J178" s="13" t="s">
        <v>54</v>
      </c>
      <c r="K178" s="13" t="s">
        <v>44</v>
      </c>
      <c r="L178" s="13" t="s">
        <v>128</v>
      </c>
      <c r="M178" s="15" t="s">
        <v>628</v>
      </c>
      <c r="N178" s="11" t="s">
        <v>584</v>
      </c>
    </row>
    <row r="179" spans="1:14" ht="15.75" customHeight="1" x14ac:dyDescent="0.15">
      <c r="A179" s="6" t="s">
        <v>632</v>
      </c>
      <c r="B179" s="6" t="s">
        <v>99</v>
      </c>
      <c r="C179" s="7" t="s">
        <v>633</v>
      </c>
      <c r="D179" s="8" t="s">
        <v>39</v>
      </c>
      <c r="E179" s="16">
        <v>36888</v>
      </c>
      <c r="F179" s="8" t="s">
        <v>203</v>
      </c>
      <c r="G179" s="8" t="s">
        <v>41</v>
      </c>
      <c r="H179" s="8" t="s">
        <v>94</v>
      </c>
      <c r="I179" s="8" t="s">
        <v>385</v>
      </c>
      <c r="J179" s="8" t="s">
        <v>76</v>
      </c>
      <c r="K179" s="8" t="s">
        <v>44</v>
      </c>
      <c r="L179" s="8" t="s">
        <v>116</v>
      </c>
      <c r="M179" s="10" t="s">
        <v>97</v>
      </c>
      <c r="N179" s="11" t="s">
        <v>584</v>
      </c>
    </row>
    <row r="180" spans="1:14" ht="15.75" customHeight="1" x14ac:dyDescent="0.15">
      <c r="A180" s="12" t="s">
        <v>634</v>
      </c>
      <c r="B180" s="12" t="s">
        <v>105</v>
      </c>
      <c r="C180" s="7" t="s">
        <v>635</v>
      </c>
      <c r="D180" s="13" t="s">
        <v>39</v>
      </c>
      <c r="E180" s="14">
        <v>35553</v>
      </c>
      <c r="F180" s="13" t="s">
        <v>148</v>
      </c>
      <c r="G180" s="13" t="s">
        <v>131</v>
      </c>
      <c r="H180" s="13" t="s">
        <v>171</v>
      </c>
      <c r="I180" s="13" t="s">
        <v>109</v>
      </c>
      <c r="J180" s="13" t="s">
        <v>150</v>
      </c>
      <c r="K180" s="13" t="s">
        <v>23</v>
      </c>
      <c r="L180" s="13" t="s">
        <v>151</v>
      </c>
      <c r="M180" s="15" t="s">
        <v>193</v>
      </c>
      <c r="N180" s="11" t="s">
        <v>584</v>
      </c>
    </row>
    <row r="181" spans="1:14" ht="15.75" customHeight="1" x14ac:dyDescent="0.15">
      <c r="A181" s="6" t="s">
        <v>636</v>
      </c>
      <c r="B181" s="6" t="s">
        <v>637</v>
      </c>
      <c r="C181" s="7" t="s">
        <v>638</v>
      </c>
      <c r="D181" s="8" t="s">
        <v>107</v>
      </c>
      <c r="E181" s="9">
        <v>38907</v>
      </c>
      <c r="F181" s="8" t="s">
        <v>170</v>
      </c>
      <c r="G181" s="8" t="s">
        <v>131</v>
      </c>
      <c r="H181" s="8" t="s">
        <v>114</v>
      </c>
      <c r="I181" s="8" t="s">
        <v>127</v>
      </c>
      <c r="J181" s="8" t="s">
        <v>76</v>
      </c>
      <c r="K181" s="8" t="s">
        <v>23</v>
      </c>
      <c r="L181" s="8" t="s">
        <v>45</v>
      </c>
      <c r="M181" s="10" t="s">
        <v>605</v>
      </c>
      <c r="N181" s="11" t="s">
        <v>584</v>
      </c>
    </row>
    <row r="182" spans="1:14" ht="15.75" customHeight="1" x14ac:dyDescent="0.15">
      <c r="A182" s="12" t="s">
        <v>639</v>
      </c>
      <c r="B182" s="12" t="s">
        <v>122</v>
      </c>
      <c r="C182" s="7" t="s">
        <v>640</v>
      </c>
      <c r="D182" s="13" t="s">
        <v>107</v>
      </c>
      <c r="E182" s="14">
        <v>36340</v>
      </c>
      <c r="F182" s="13" t="s">
        <v>30</v>
      </c>
      <c r="G182" s="13" t="s">
        <v>243</v>
      </c>
      <c r="H182" s="13" t="s">
        <v>114</v>
      </c>
      <c r="I182" s="13" t="s">
        <v>192</v>
      </c>
      <c r="J182" s="13" t="s">
        <v>22</v>
      </c>
      <c r="K182" s="13" t="s">
        <v>44</v>
      </c>
      <c r="L182" s="13" t="s">
        <v>78</v>
      </c>
      <c r="M182" s="15" t="s">
        <v>641</v>
      </c>
      <c r="N182" s="11" t="s">
        <v>584</v>
      </c>
    </row>
    <row r="183" spans="1:14" ht="15.75" customHeight="1" x14ac:dyDescent="0.15">
      <c r="A183" s="6" t="s">
        <v>642</v>
      </c>
      <c r="B183" s="6" t="s">
        <v>643</v>
      </c>
      <c r="C183" s="7" t="s">
        <v>644</v>
      </c>
      <c r="D183" s="8" t="s">
        <v>107</v>
      </c>
      <c r="E183" s="9">
        <v>38487</v>
      </c>
      <c r="F183" s="8" t="s">
        <v>217</v>
      </c>
      <c r="G183" s="8" t="s">
        <v>138</v>
      </c>
      <c r="H183" s="8" t="s">
        <v>139</v>
      </c>
      <c r="I183" s="8" t="s">
        <v>385</v>
      </c>
      <c r="J183" s="8" t="s">
        <v>34</v>
      </c>
      <c r="K183" s="8" t="s">
        <v>77</v>
      </c>
      <c r="L183" s="8" t="s">
        <v>128</v>
      </c>
      <c r="M183" s="10" t="s">
        <v>605</v>
      </c>
      <c r="N183" s="11" t="s">
        <v>584</v>
      </c>
    </row>
    <row r="184" spans="1:14" ht="15.75" customHeight="1" x14ac:dyDescent="0.15">
      <c r="A184" s="6" t="s">
        <v>645</v>
      </c>
      <c r="B184" s="12" t="s">
        <v>123</v>
      </c>
      <c r="C184" s="7" t="s">
        <v>646</v>
      </c>
      <c r="D184" s="13" t="s">
        <v>107</v>
      </c>
      <c r="E184" s="14">
        <v>37326</v>
      </c>
      <c r="F184" s="13" t="s">
        <v>137</v>
      </c>
      <c r="G184" s="13" t="s">
        <v>138</v>
      </c>
      <c r="H184" s="13" t="s">
        <v>108</v>
      </c>
      <c r="I184" s="13" t="s">
        <v>149</v>
      </c>
      <c r="J184" s="13" t="s">
        <v>54</v>
      </c>
      <c r="K184" s="13" t="s">
        <v>44</v>
      </c>
      <c r="L184" s="13" t="s">
        <v>647</v>
      </c>
      <c r="M184" s="15" t="s">
        <v>458</v>
      </c>
      <c r="N184" s="11" t="s">
        <v>584</v>
      </c>
    </row>
    <row r="185" spans="1:14" ht="15.75" customHeight="1" x14ac:dyDescent="0.15">
      <c r="A185" s="12" t="s">
        <v>648</v>
      </c>
      <c r="B185" s="6" t="s">
        <v>649</v>
      </c>
      <c r="C185" s="7" t="s">
        <v>650</v>
      </c>
      <c r="D185" s="8" t="s">
        <v>107</v>
      </c>
      <c r="E185" s="9">
        <v>37377</v>
      </c>
      <c r="F185" s="8" t="s">
        <v>137</v>
      </c>
      <c r="G185" s="8" t="s">
        <v>31</v>
      </c>
      <c r="H185" s="8" t="s">
        <v>196</v>
      </c>
      <c r="I185" s="8" t="s">
        <v>651</v>
      </c>
      <c r="J185" s="8" t="s">
        <v>54</v>
      </c>
      <c r="K185" s="8" t="s">
        <v>44</v>
      </c>
      <c r="L185" s="8" t="s">
        <v>218</v>
      </c>
      <c r="M185" s="10" t="s">
        <v>652</v>
      </c>
      <c r="N185" s="11" t="s">
        <v>584</v>
      </c>
    </row>
    <row r="186" spans="1:14" ht="15.75" customHeight="1" x14ac:dyDescent="0.15">
      <c r="A186" s="6" t="s">
        <v>653</v>
      </c>
      <c r="B186" s="12" t="s">
        <v>135</v>
      </c>
      <c r="C186" s="7" t="s">
        <v>654</v>
      </c>
      <c r="D186" s="13" t="s">
        <v>107</v>
      </c>
      <c r="E186" s="17">
        <v>36078</v>
      </c>
      <c r="F186" s="13" t="s">
        <v>30</v>
      </c>
      <c r="G186" s="13" t="s">
        <v>31</v>
      </c>
      <c r="H186" s="13" t="s">
        <v>32</v>
      </c>
      <c r="I186" s="13" t="s">
        <v>21</v>
      </c>
      <c r="J186" s="13" t="s">
        <v>76</v>
      </c>
      <c r="K186" s="13" t="s">
        <v>23</v>
      </c>
      <c r="L186" s="13" t="s">
        <v>78</v>
      </c>
      <c r="M186" s="15" t="s">
        <v>641</v>
      </c>
      <c r="N186" s="11" t="s">
        <v>584</v>
      </c>
    </row>
    <row r="187" spans="1:14" ht="15.75" customHeight="1" x14ac:dyDescent="0.15">
      <c r="A187" s="12" t="s">
        <v>655</v>
      </c>
      <c r="B187" s="6" t="s">
        <v>656</v>
      </c>
      <c r="C187" s="7" t="s">
        <v>657</v>
      </c>
      <c r="D187" s="8" t="s">
        <v>107</v>
      </c>
      <c r="E187" s="9">
        <v>38540</v>
      </c>
      <c r="F187" s="8" t="s">
        <v>217</v>
      </c>
      <c r="G187" s="8" t="s">
        <v>138</v>
      </c>
      <c r="H187" s="8" t="s">
        <v>144</v>
      </c>
      <c r="I187" s="8" t="s">
        <v>157</v>
      </c>
      <c r="J187" s="8" t="s">
        <v>54</v>
      </c>
      <c r="K187" s="8" t="s">
        <v>44</v>
      </c>
      <c r="L187" s="8" t="s">
        <v>55</v>
      </c>
      <c r="M187" s="10" t="s">
        <v>590</v>
      </c>
      <c r="N187" s="11" t="s">
        <v>584</v>
      </c>
    </row>
    <row r="188" spans="1:14" ht="15.75" customHeight="1" x14ac:dyDescent="0.15">
      <c r="A188" s="6" t="s">
        <v>658</v>
      </c>
      <c r="B188" s="12" t="s">
        <v>659</v>
      </c>
      <c r="C188" s="7" t="s">
        <v>660</v>
      </c>
      <c r="D188" s="13" t="s">
        <v>49</v>
      </c>
      <c r="E188" s="14">
        <v>36032</v>
      </c>
      <c r="F188" s="13" t="s">
        <v>212</v>
      </c>
      <c r="G188" s="13" t="s">
        <v>31</v>
      </c>
      <c r="H188" s="13" t="s">
        <v>20</v>
      </c>
      <c r="I188" s="13" t="s">
        <v>43</v>
      </c>
      <c r="J188" s="13" t="s">
        <v>54</v>
      </c>
      <c r="K188" s="13" t="s">
        <v>44</v>
      </c>
      <c r="L188" s="13" t="s">
        <v>158</v>
      </c>
      <c r="M188" s="15" t="s">
        <v>262</v>
      </c>
      <c r="N188" s="11" t="s">
        <v>584</v>
      </c>
    </row>
    <row r="189" spans="1:14" ht="15.75" customHeight="1" x14ac:dyDescent="0.15">
      <c r="A189" s="6" t="s">
        <v>661</v>
      </c>
      <c r="B189" s="6" t="s">
        <v>153</v>
      </c>
      <c r="C189" s="7" t="s">
        <v>662</v>
      </c>
      <c r="D189" s="8" t="s">
        <v>107</v>
      </c>
      <c r="E189" s="9">
        <v>36620</v>
      </c>
      <c r="F189" s="8" t="s">
        <v>40</v>
      </c>
      <c r="G189" s="8" t="s">
        <v>19</v>
      </c>
      <c r="H189" s="8" t="s">
        <v>88</v>
      </c>
      <c r="I189" s="8" t="s">
        <v>385</v>
      </c>
      <c r="J189" s="8" t="s">
        <v>34</v>
      </c>
      <c r="K189" s="8" t="s">
        <v>44</v>
      </c>
      <c r="L189" s="8" t="s">
        <v>663</v>
      </c>
      <c r="M189" s="10" t="s">
        <v>664</v>
      </c>
      <c r="N189" s="11" t="s">
        <v>584</v>
      </c>
    </row>
    <row r="190" spans="1:14" ht="15.75" customHeight="1" x14ac:dyDescent="0.15">
      <c r="A190" s="12" t="s">
        <v>665</v>
      </c>
      <c r="B190" s="12" t="s">
        <v>666</v>
      </c>
      <c r="C190" s="7" t="s">
        <v>667</v>
      </c>
      <c r="D190" s="13" t="s">
        <v>107</v>
      </c>
      <c r="E190" s="14">
        <v>36783</v>
      </c>
      <c r="F190" s="13" t="s">
        <v>203</v>
      </c>
      <c r="G190" s="13" t="s">
        <v>41</v>
      </c>
      <c r="H190" s="13" t="s">
        <v>94</v>
      </c>
      <c r="I190" s="13" t="s">
        <v>385</v>
      </c>
      <c r="J190" s="13" t="s">
        <v>54</v>
      </c>
      <c r="K190" s="13" t="s">
        <v>44</v>
      </c>
      <c r="L190" s="13" t="s">
        <v>218</v>
      </c>
      <c r="M190" s="15" t="s">
        <v>668</v>
      </c>
      <c r="N190" s="11" t="s">
        <v>584</v>
      </c>
    </row>
    <row r="191" spans="1:14" ht="15.75" customHeight="1" x14ac:dyDescent="0.15">
      <c r="A191" s="6" t="s">
        <v>669</v>
      </c>
      <c r="B191" s="6" t="s">
        <v>142</v>
      </c>
      <c r="C191" s="7" t="s">
        <v>670</v>
      </c>
      <c r="D191" s="8" t="s">
        <v>107</v>
      </c>
      <c r="E191" s="9">
        <v>37313</v>
      </c>
      <c r="F191" s="8" t="s">
        <v>137</v>
      </c>
      <c r="G191" s="8" t="s">
        <v>93</v>
      </c>
      <c r="H191" s="8" t="s">
        <v>20</v>
      </c>
      <c r="I191" s="8" t="s">
        <v>313</v>
      </c>
      <c r="J191" s="8" t="s">
        <v>54</v>
      </c>
      <c r="K191" s="8" t="s">
        <v>77</v>
      </c>
      <c r="L191" s="8" t="s">
        <v>198</v>
      </c>
      <c r="M191" s="10" t="s">
        <v>97</v>
      </c>
      <c r="N191" s="11" t="s">
        <v>584</v>
      </c>
    </row>
    <row r="192" spans="1:14" ht="15.75" customHeight="1" x14ac:dyDescent="0.15">
      <c r="A192" s="12" t="s">
        <v>671</v>
      </c>
      <c r="B192" s="12" t="s">
        <v>672</v>
      </c>
      <c r="C192" s="7" t="s">
        <v>673</v>
      </c>
      <c r="D192" s="13" t="s">
        <v>49</v>
      </c>
      <c r="E192" s="14">
        <v>36259</v>
      </c>
      <c r="F192" s="13" t="s">
        <v>30</v>
      </c>
      <c r="G192" s="13" t="s">
        <v>243</v>
      </c>
      <c r="H192" s="13" t="s">
        <v>108</v>
      </c>
      <c r="I192" s="13" t="s">
        <v>382</v>
      </c>
      <c r="J192" s="13" t="s">
        <v>22</v>
      </c>
      <c r="K192" s="13" t="s">
        <v>44</v>
      </c>
      <c r="L192" s="13" t="s">
        <v>45</v>
      </c>
      <c r="M192" s="15" t="s">
        <v>674</v>
      </c>
      <c r="N192" s="11" t="s">
        <v>584</v>
      </c>
    </row>
    <row r="193" spans="1:14" ht="15.75" customHeight="1" x14ac:dyDescent="0.15">
      <c r="A193" s="6" t="s">
        <v>675</v>
      </c>
      <c r="B193" s="6" t="s">
        <v>162</v>
      </c>
      <c r="C193" s="7" t="s">
        <v>676</v>
      </c>
      <c r="D193" s="8" t="s">
        <v>49</v>
      </c>
      <c r="E193" s="9">
        <v>32666</v>
      </c>
      <c r="F193" s="8" t="s">
        <v>493</v>
      </c>
      <c r="G193" s="8" t="s">
        <v>51</v>
      </c>
      <c r="H193" s="8" t="s">
        <v>156</v>
      </c>
      <c r="I193" s="8" t="s">
        <v>115</v>
      </c>
      <c r="J193" s="8" t="s">
        <v>22</v>
      </c>
      <c r="K193" s="8" t="s">
        <v>44</v>
      </c>
      <c r="L193" s="8" t="s">
        <v>35</v>
      </c>
      <c r="M193" s="10" t="s">
        <v>209</v>
      </c>
      <c r="N193" s="11" t="s">
        <v>584</v>
      </c>
    </row>
    <row r="194" spans="1:14" ht="15.75" customHeight="1" x14ac:dyDescent="0.15">
      <c r="A194" s="6" t="s">
        <v>677</v>
      </c>
      <c r="B194" s="12" t="s">
        <v>678</v>
      </c>
      <c r="C194" s="7" t="s">
        <v>679</v>
      </c>
      <c r="D194" s="13" t="s">
        <v>107</v>
      </c>
      <c r="E194" s="14">
        <v>38083</v>
      </c>
      <c r="F194" s="13" t="s">
        <v>92</v>
      </c>
      <c r="G194" s="13" t="s">
        <v>41</v>
      </c>
      <c r="H194" s="13" t="s">
        <v>144</v>
      </c>
      <c r="I194" s="13" t="s">
        <v>149</v>
      </c>
      <c r="J194" s="13" t="s">
        <v>54</v>
      </c>
      <c r="K194" s="13" t="s">
        <v>44</v>
      </c>
      <c r="L194" s="13" t="s">
        <v>218</v>
      </c>
      <c r="M194" s="15" t="s">
        <v>652</v>
      </c>
      <c r="N194" s="11" t="s">
        <v>584</v>
      </c>
    </row>
    <row r="195" spans="1:14" ht="15.75" customHeight="1" x14ac:dyDescent="0.15">
      <c r="A195" s="12" t="s">
        <v>680</v>
      </c>
      <c r="B195" s="6" t="s">
        <v>167</v>
      </c>
      <c r="C195" s="7" t="s">
        <v>681</v>
      </c>
      <c r="D195" s="8" t="s">
        <v>17</v>
      </c>
      <c r="E195" s="9">
        <v>38813</v>
      </c>
      <c r="F195" s="8" t="s">
        <v>170</v>
      </c>
      <c r="G195" s="8" t="s">
        <v>131</v>
      </c>
      <c r="H195" s="8" t="s">
        <v>42</v>
      </c>
      <c r="I195" s="8" t="s">
        <v>197</v>
      </c>
      <c r="J195" s="8" t="s">
        <v>76</v>
      </c>
      <c r="K195" s="8" t="s">
        <v>44</v>
      </c>
      <c r="L195" s="8" t="s">
        <v>165</v>
      </c>
      <c r="M195" s="10" t="s">
        <v>682</v>
      </c>
      <c r="N195" s="11" t="s">
        <v>584</v>
      </c>
    </row>
    <row r="196" spans="1:14" ht="15.75" customHeight="1" x14ac:dyDescent="0.15">
      <c r="A196" s="6" t="s">
        <v>683</v>
      </c>
      <c r="B196" s="12" t="s">
        <v>146</v>
      </c>
      <c r="C196" s="7" t="s">
        <v>684</v>
      </c>
      <c r="D196" s="13" t="s">
        <v>49</v>
      </c>
      <c r="E196" s="14">
        <v>34011</v>
      </c>
      <c r="F196" s="13" t="s">
        <v>182</v>
      </c>
      <c r="G196" s="13" t="s">
        <v>67</v>
      </c>
      <c r="H196" s="13" t="s">
        <v>88</v>
      </c>
      <c r="I196" s="13" t="s">
        <v>382</v>
      </c>
      <c r="J196" s="13" t="s">
        <v>76</v>
      </c>
      <c r="K196" s="13" t="s">
        <v>23</v>
      </c>
      <c r="L196" s="13" t="s">
        <v>301</v>
      </c>
      <c r="M196" s="15" t="s">
        <v>685</v>
      </c>
      <c r="N196" s="11" t="s">
        <v>584</v>
      </c>
    </row>
    <row r="197" spans="1:14" ht="15.75" customHeight="1" x14ac:dyDescent="0.15">
      <c r="A197" s="12" t="s">
        <v>686</v>
      </c>
      <c r="B197" s="6" t="s">
        <v>687</v>
      </c>
      <c r="C197" s="7" t="s">
        <v>688</v>
      </c>
      <c r="D197" s="8" t="s">
        <v>49</v>
      </c>
      <c r="E197" s="9">
        <v>37499</v>
      </c>
      <c r="F197" s="8" t="s">
        <v>137</v>
      </c>
      <c r="G197" s="8" t="s">
        <v>131</v>
      </c>
      <c r="H197" s="8" t="s">
        <v>52</v>
      </c>
      <c r="I197" s="8" t="s">
        <v>313</v>
      </c>
      <c r="J197" s="8" t="s">
        <v>54</v>
      </c>
      <c r="K197" s="8" t="s">
        <v>44</v>
      </c>
      <c r="L197" s="8" t="s">
        <v>55</v>
      </c>
      <c r="M197" s="10" t="s">
        <v>590</v>
      </c>
      <c r="N197" s="11" t="s">
        <v>584</v>
      </c>
    </row>
    <row r="198" spans="1:14" ht="15.75" customHeight="1" x14ac:dyDescent="0.15">
      <c r="A198" s="6" t="s">
        <v>689</v>
      </c>
      <c r="B198" s="12" t="s">
        <v>690</v>
      </c>
      <c r="C198" s="7" t="s">
        <v>691</v>
      </c>
      <c r="D198" s="13" t="s">
        <v>17</v>
      </c>
      <c r="E198" s="17">
        <v>39033</v>
      </c>
      <c r="F198" s="13" t="s">
        <v>232</v>
      </c>
      <c r="G198" s="13" t="s">
        <v>131</v>
      </c>
      <c r="H198" s="13" t="s">
        <v>114</v>
      </c>
      <c r="I198" s="13" t="s">
        <v>692</v>
      </c>
      <c r="J198" s="13" t="s">
        <v>22</v>
      </c>
      <c r="K198" s="13" t="s">
        <v>44</v>
      </c>
      <c r="L198" s="13" t="s">
        <v>183</v>
      </c>
      <c r="M198" s="15" t="s">
        <v>596</v>
      </c>
      <c r="N198" s="11" t="s">
        <v>584</v>
      </c>
    </row>
    <row r="199" spans="1:14" ht="15.75" customHeight="1" x14ac:dyDescent="0.15">
      <c r="A199" s="6" t="s">
        <v>693</v>
      </c>
      <c r="B199" s="6" t="s">
        <v>159</v>
      </c>
      <c r="C199" s="7" t="s">
        <v>694</v>
      </c>
      <c r="D199" s="8" t="s">
        <v>107</v>
      </c>
      <c r="E199" s="9">
        <v>35688</v>
      </c>
      <c r="F199" s="8" t="s">
        <v>212</v>
      </c>
      <c r="G199" s="8" t="s">
        <v>93</v>
      </c>
      <c r="H199" s="8" t="s">
        <v>695</v>
      </c>
      <c r="I199" s="8" t="s">
        <v>197</v>
      </c>
      <c r="J199" s="8" t="s">
        <v>150</v>
      </c>
      <c r="K199" s="8" t="s">
        <v>44</v>
      </c>
      <c r="L199" s="8" t="s">
        <v>151</v>
      </c>
      <c r="M199" s="10" t="s">
        <v>111</v>
      </c>
      <c r="N199" s="11" t="s">
        <v>584</v>
      </c>
    </row>
    <row r="200" spans="1:14" ht="15.75" customHeight="1" x14ac:dyDescent="0.15">
      <c r="A200" s="12" t="s">
        <v>696</v>
      </c>
      <c r="B200" s="12" t="s">
        <v>697</v>
      </c>
      <c r="C200" s="7" t="s">
        <v>698</v>
      </c>
      <c r="D200" s="13" t="s">
        <v>107</v>
      </c>
      <c r="E200" s="14">
        <v>38329</v>
      </c>
      <c r="F200" s="13" t="s">
        <v>217</v>
      </c>
      <c r="G200" s="13" t="s">
        <v>41</v>
      </c>
      <c r="H200" s="13" t="s">
        <v>32</v>
      </c>
      <c r="I200" s="13" t="s">
        <v>213</v>
      </c>
      <c r="J200" s="13" t="s">
        <v>76</v>
      </c>
      <c r="K200" s="13" t="s">
        <v>77</v>
      </c>
      <c r="L200" s="13" t="s">
        <v>116</v>
      </c>
      <c r="M200" s="15" t="s">
        <v>615</v>
      </c>
      <c r="N200" s="11" t="s">
        <v>584</v>
      </c>
    </row>
    <row r="201" spans="1:14" ht="15.75" customHeight="1" x14ac:dyDescent="0.15">
      <c r="A201" s="6" t="s">
        <v>699</v>
      </c>
      <c r="B201" s="6" t="s">
        <v>700</v>
      </c>
      <c r="C201" s="7" t="s">
        <v>701</v>
      </c>
      <c r="D201" s="8" t="s">
        <v>17</v>
      </c>
      <c r="E201" s="9">
        <v>38403</v>
      </c>
      <c r="F201" s="8" t="s">
        <v>217</v>
      </c>
      <c r="G201" s="8" t="s">
        <v>41</v>
      </c>
      <c r="H201" s="8" t="s">
        <v>139</v>
      </c>
      <c r="I201" s="8" t="s">
        <v>207</v>
      </c>
      <c r="J201" s="8" t="s">
        <v>22</v>
      </c>
      <c r="K201" s="8" t="s">
        <v>44</v>
      </c>
      <c r="L201" s="8" t="s">
        <v>277</v>
      </c>
      <c r="M201" s="10" t="s">
        <v>596</v>
      </c>
      <c r="N201" s="11" t="s">
        <v>584</v>
      </c>
    </row>
    <row r="202" spans="1:14" ht="15.75" customHeight="1" x14ac:dyDescent="0.15">
      <c r="A202" s="12" t="s">
        <v>702</v>
      </c>
      <c r="B202" s="12" t="s">
        <v>163</v>
      </c>
      <c r="C202" s="7" t="s">
        <v>703</v>
      </c>
      <c r="D202" s="13" t="s">
        <v>49</v>
      </c>
      <c r="E202" s="17">
        <v>35348</v>
      </c>
      <c r="F202" s="13" t="s">
        <v>148</v>
      </c>
      <c r="G202" s="13" t="s">
        <v>67</v>
      </c>
      <c r="H202" s="13" t="s">
        <v>102</v>
      </c>
      <c r="I202" s="13" t="s">
        <v>192</v>
      </c>
      <c r="J202" s="13" t="s">
        <v>54</v>
      </c>
      <c r="K202" s="13" t="s">
        <v>44</v>
      </c>
      <c r="L202" s="13" t="s">
        <v>78</v>
      </c>
      <c r="M202" s="15" t="s">
        <v>704</v>
      </c>
      <c r="N202" s="11" t="s">
        <v>584</v>
      </c>
    </row>
    <row r="203" spans="1:14" ht="15.75" customHeight="1" x14ac:dyDescent="0.15">
      <c r="A203" s="6" t="s">
        <v>705</v>
      </c>
      <c r="B203" s="6" t="s">
        <v>706</v>
      </c>
      <c r="C203" s="7" t="s">
        <v>707</v>
      </c>
      <c r="D203" s="8" t="s">
        <v>107</v>
      </c>
      <c r="E203" s="16">
        <v>36475</v>
      </c>
      <c r="F203" s="8" t="s">
        <v>40</v>
      </c>
      <c r="G203" s="8" t="s">
        <v>243</v>
      </c>
      <c r="H203" s="8" t="s">
        <v>20</v>
      </c>
      <c r="I203" s="8" t="s">
        <v>385</v>
      </c>
      <c r="J203" s="8" t="s">
        <v>22</v>
      </c>
      <c r="K203" s="8" t="s">
        <v>77</v>
      </c>
      <c r="L203" s="8" t="s">
        <v>511</v>
      </c>
      <c r="M203" s="10" t="s">
        <v>652</v>
      </c>
      <c r="N203" s="11" t="s">
        <v>584</v>
      </c>
    </row>
    <row r="204" spans="1:14" ht="15.75" customHeight="1" x14ac:dyDescent="0.15">
      <c r="A204" s="6" t="s">
        <v>708</v>
      </c>
      <c r="B204" s="12" t="s">
        <v>168</v>
      </c>
      <c r="C204" s="7" t="s">
        <v>709</v>
      </c>
      <c r="D204" s="13" t="s">
        <v>107</v>
      </c>
      <c r="E204" s="14">
        <v>35274</v>
      </c>
      <c r="F204" s="13" t="s">
        <v>66</v>
      </c>
      <c r="G204" s="13" t="s">
        <v>131</v>
      </c>
      <c r="H204" s="13" t="s">
        <v>369</v>
      </c>
      <c r="I204" s="13" t="s">
        <v>414</v>
      </c>
      <c r="J204" s="13" t="s">
        <v>150</v>
      </c>
      <c r="K204" s="13" t="s">
        <v>44</v>
      </c>
      <c r="L204" s="13" t="s">
        <v>151</v>
      </c>
      <c r="M204" s="15" t="s">
        <v>104</v>
      </c>
      <c r="N204" s="11" t="s">
        <v>584</v>
      </c>
    </row>
    <row r="205" spans="1:14" ht="15.75" customHeight="1" x14ac:dyDescent="0.15">
      <c r="A205" s="12" t="s">
        <v>710</v>
      </c>
      <c r="B205" s="6" t="s">
        <v>711</v>
      </c>
      <c r="C205" s="7" t="s">
        <v>712</v>
      </c>
      <c r="D205" s="8" t="s">
        <v>107</v>
      </c>
      <c r="E205" s="16">
        <v>39036</v>
      </c>
      <c r="F205" s="8" t="s">
        <v>232</v>
      </c>
      <c r="G205" s="8" t="s">
        <v>131</v>
      </c>
      <c r="H205" s="8" t="s">
        <v>713</v>
      </c>
      <c r="I205" s="8" t="s">
        <v>207</v>
      </c>
      <c r="J205" s="8" t="s">
        <v>34</v>
      </c>
      <c r="K205" s="8" t="s">
        <v>77</v>
      </c>
      <c r="L205" s="8" t="s">
        <v>244</v>
      </c>
      <c r="M205" s="10" t="s">
        <v>615</v>
      </c>
      <c r="N205" s="11" t="s">
        <v>584</v>
      </c>
    </row>
    <row r="206" spans="1:14" ht="15.75" customHeight="1" x14ac:dyDescent="0.15">
      <c r="A206" s="6" t="s">
        <v>714</v>
      </c>
      <c r="B206" s="12" t="s">
        <v>173</v>
      </c>
      <c r="C206" s="7" t="s">
        <v>715</v>
      </c>
      <c r="D206" s="13" t="s">
        <v>17</v>
      </c>
      <c r="E206" s="14">
        <v>34879</v>
      </c>
      <c r="F206" s="13" t="s">
        <v>59</v>
      </c>
      <c r="G206" s="13" t="s">
        <v>93</v>
      </c>
      <c r="H206" s="13" t="s">
        <v>225</v>
      </c>
      <c r="I206" s="13" t="s">
        <v>337</v>
      </c>
      <c r="J206" s="13" t="s">
        <v>150</v>
      </c>
      <c r="K206" s="13" t="s">
        <v>44</v>
      </c>
      <c r="L206" s="13" t="s">
        <v>151</v>
      </c>
      <c r="M206" s="15" t="s">
        <v>716</v>
      </c>
      <c r="N206" s="11" t="s">
        <v>584</v>
      </c>
    </row>
    <row r="207" spans="1:14" ht="15.75" customHeight="1" x14ac:dyDescent="0.15">
      <c r="A207" s="12" t="s">
        <v>717</v>
      </c>
      <c r="B207" s="6" t="s">
        <v>175</v>
      </c>
      <c r="C207" s="7" t="s">
        <v>718</v>
      </c>
      <c r="D207" s="8" t="s">
        <v>107</v>
      </c>
      <c r="E207" s="9">
        <v>37743</v>
      </c>
      <c r="F207" s="8" t="s">
        <v>186</v>
      </c>
      <c r="G207" s="8" t="s">
        <v>93</v>
      </c>
      <c r="H207" s="8" t="s">
        <v>114</v>
      </c>
      <c r="I207" s="8" t="s">
        <v>95</v>
      </c>
      <c r="J207" s="8" t="s">
        <v>54</v>
      </c>
      <c r="K207" s="8" t="s">
        <v>44</v>
      </c>
      <c r="L207" s="8" t="s">
        <v>390</v>
      </c>
      <c r="M207" s="10" t="s">
        <v>36</v>
      </c>
      <c r="N207" s="11" t="s">
        <v>584</v>
      </c>
    </row>
    <row r="208" spans="1:14" ht="15.75" customHeight="1" x14ac:dyDescent="0.15">
      <c r="A208" s="6" t="s">
        <v>719</v>
      </c>
      <c r="B208" s="12" t="s">
        <v>720</v>
      </c>
      <c r="C208" s="7" t="s">
        <v>721</v>
      </c>
      <c r="D208" s="13" t="s">
        <v>107</v>
      </c>
      <c r="E208" s="14">
        <v>39134</v>
      </c>
      <c r="F208" s="13" t="s">
        <v>232</v>
      </c>
      <c r="G208" s="13" t="s">
        <v>131</v>
      </c>
      <c r="H208" s="13" t="s">
        <v>191</v>
      </c>
      <c r="I208" s="13" t="s">
        <v>109</v>
      </c>
      <c r="J208" s="13" t="s">
        <v>76</v>
      </c>
      <c r="K208" s="13" t="s">
        <v>44</v>
      </c>
      <c r="L208" s="13" t="s">
        <v>24</v>
      </c>
      <c r="M208" s="15" t="s">
        <v>596</v>
      </c>
      <c r="N208" s="11" t="s">
        <v>584</v>
      </c>
    </row>
    <row r="209" spans="1:14" ht="15.75" customHeight="1" x14ac:dyDescent="0.15">
      <c r="A209" s="6" t="s">
        <v>722</v>
      </c>
      <c r="B209" s="6" t="s">
        <v>200</v>
      </c>
      <c r="C209" s="7" t="s">
        <v>723</v>
      </c>
      <c r="D209" s="8" t="s">
        <v>107</v>
      </c>
      <c r="E209" s="9">
        <v>36343</v>
      </c>
      <c r="F209" s="8" t="s">
        <v>30</v>
      </c>
      <c r="G209" s="8" t="s">
        <v>243</v>
      </c>
      <c r="H209" s="8" t="s">
        <v>68</v>
      </c>
      <c r="I209" s="8" t="s">
        <v>33</v>
      </c>
      <c r="J209" s="8" t="s">
        <v>76</v>
      </c>
      <c r="K209" s="8" t="s">
        <v>44</v>
      </c>
      <c r="L209" s="8" t="s">
        <v>218</v>
      </c>
      <c r="M209" s="10" t="s">
        <v>724</v>
      </c>
      <c r="N209" s="11" t="s">
        <v>584</v>
      </c>
    </row>
    <row r="210" spans="1:14" ht="15.75" customHeight="1" x14ac:dyDescent="0.15">
      <c r="A210" s="12" t="s">
        <v>725</v>
      </c>
      <c r="B210" s="12" t="s">
        <v>177</v>
      </c>
      <c r="C210" s="7" t="s">
        <v>726</v>
      </c>
      <c r="D210" s="13" t="s">
        <v>17</v>
      </c>
      <c r="E210" s="14">
        <v>37498</v>
      </c>
      <c r="F210" s="13" t="s">
        <v>137</v>
      </c>
      <c r="G210" s="13" t="s">
        <v>131</v>
      </c>
      <c r="H210" s="13" t="s">
        <v>74</v>
      </c>
      <c r="I210" s="13" t="s">
        <v>361</v>
      </c>
      <c r="J210" s="13" t="s">
        <v>22</v>
      </c>
      <c r="K210" s="13" t="s">
        <v>23</v>
      </c>
      <c r="L210" s="13" t="s">
        <v>362</v>
      </c>
      <c r="M210" s="15" t="s">
        <v>727</v>
      </c>
      <c r="N210" s="11" t="s">
        <v>584</v>
      </c>
    </row>
    <row r="211" spans="1:14" ht="15.75" customHeight="1" x14ac:dyDescent="0.15">
      <c r="A211" s="6" t="s">
        <v>728</v>
      </c>
      <c r="B211" s="6" t="s">
        <v>180</v>
      </c>
      <c r="C211" s="7" t="s">
        <v>729</v>
      </c>
      <c r="D211" s="8" t="s">
        <v>17</v>
      </c>
      <c r="E211" s="9">
        <v>37169</v>
      </c>
      <c r="F211" s="8" t="s">
        <v>137</v>
      </c>
      <c r="G211" s="8" t="s">
        <v>93</v>
      </c>
      <c r="H211" s="8" t="s">
        <v>94</v>
      </c>
      <c r="I211" s="8" t="s">
        <v>115</v>
      </c>
      <c r="J211" s="8" t="s">
        <v>54</v>
      </c>
      <c r="K211" s="8" t="s">
        <v>44</v>
      </c>
      <c r="L211" s="8" t="s">
        <v>301</v>
      </c>
      <c r="M211" s="10" t="s">
        <v>161</v>
      </c>
      <c r="N211" s="11" t="s">
        <v>584</v>
      </c>
    </row>
    <row r="212" spans="1:14" ht="15.75" customHeight="1" x14ac:dyDescent="0.15">
      <c r="A212" s="12" t="s">
        <v>730</v>
      </c>
      <c r="B212" s="12" t="s">
        <v>731</v>
      </c>
      <c r="C212" s="7" t="s">
        <v>732</v>
      </c>
      <c r="D212" s="13" t="s">
        <v>107</v>
      </c>
      <c r="E212" s="14">
        <v>38233</v>
      </c>
      <c r="F212" s="13" t="s">
        <v>92</v>
      </c>
      <c r="G212" s="13" t="s">
        <v>41</v>
      </c>
      <c r="H212" s="13" t="s">
        <v>102</v>
      </c>
      <c r="I212" s="13" t="s">
        <v>103</v>
      </c>
      <c r="J212" s="13" t="s">
        <v>76</v>
      </c>
      <c r="K212" s="13" t="s">
        <v>77</v>
      </c>
      <c r="L212" s="13" t="s">
        <v>733</v>
      </c>
      <c r="M212" s="15" t="s">
        <v>615</v>
      </c>
      <c r="N212" s="11" t="s">
        <v>584</v>
      </c>
    </row>
    <row r="213" spans="1:14" ht="15.75" customHeight="1" x14ac:dyDescent="0.15">
      <c r="A213" s="6" t="s">
        <v>734</v>
      </c>
      <c r="B213" s="6" t="s">
        <v>189</v>
      </c>
      <c r="C213" s="7" t="s">
        <v>735</v>
      </c>
      <c r="D213" s="8" t="s">
        <v>17</v>
      </c>
      <c r="E213" s="9">
        <v>36297</v>
      </c>
      <c r="F213" s="8" t="s">
        <v>30</v>
      </c>
      <c r="G213" s="8" t="s">
        <v>138</v>
      </c>
      <c r="H213" s="8" t="s">
        <v>156</v>
      </c>
      <c r="I213" s="8" t="s">
        <v>213</v>
      </c>
      <c r="J213" s="8" t="s">
        <v>22</v>
      </c>
      <c r="K213" s="8" t="s">
        <v>23</v>
      </c>
      <c r="L213" s="8" t="s">
        <v>431</v>
      </c>
      <c r="M213" s="10" t="s">
        <v>736</v>
      </c>
      <c r="N213" s="11" t="s">
        <v>584</v>
      </c>
    </row>
    <row r="214" spans="1:14" ht="15.75" customHeight="1" x14ac:dyDescent="0.15">
      <c r="A214" s="6" t="s">
        <v>737</v>
      </c>
      <c r="B214" s="12" t="s">
        <v>194</v>
      </c>
      <c r="C214" s="7" t="s">
        <v>738</v>
      </c>
      <c r="D214" s="13" t="s">
        <v>107</v>
      </c>
      <c r="E214" s="14">
        <v>37884</v>
      </c>
      <c r="F214" s="13" t="s">
        <v>92</v>
      </c>
      <c r="G214" s="13" t="s">
        <v>93</v>
      </c>
      <c r="H214" s="13" t="s">
        <v>139</v>
      </c>
      <c r="I214" s="13" t="s">
        <v>140</v>
      </c>
      <c r="J214" s="13" t="s">
        <v>54</v>
      </c>
      <c r="K214" s="13" t="s">
        <v>77</v>
      </c>
      <c r="L214" s="13" t="s">
        <v>301</v>
      </c>
      <c r="M214" s="15" t="s">
        <v>161</v>
      </c>
      <c r="N214" s="11" t="s">
        <v>584</v>
      </c>
    </row>
    <row r="215" spans="1:14" ht="15.75" customHeight="1" x14ac:dyDescent="0.15">
      <c r="A215" s="12" t="s">
        <v>739</v>
      </c>
      <c r="B215" s="6" t="s">
        <v>201</v>
      </c>
      <c r="C215" s="7" t="s">
        <v>740</v>
      </c>
      <c r="D215" s="8" t="s">
        <v>49</v>
      </c>
      <c r="E215" s="9">
        <v>35910</v>
      </c>
      <c r="F215" s="8" t="s">
        <v>212</v>
      </c>
      <c r="G215" s="8" t="s">
        <v>60</v>
      </c>
      <c r="H215" s="8" t="s">
        <v>20</v>
      </c>
      <c r="I215" s="8" t="s">
        <v>149</v>
      </c>
      <c r="J215" s="8" t="s">
        <v>76</v>
      </c>
      <c r="K215" s="8" t="s">
        <v>44</v>
      </c>
      <c r="L215" s="8" t="s">
        <v>218</v>
      </c>
      <c r="M215" s="10" t="s">
        <v>252</v>
      </c>
      <c r="N215" s="11" t="s">
        <v>584</v>
      </c>
    </row>
    <row r="216" spans="1:14" ht="15.75" customHeight="1" x14ac:dyDescent="0.15">
      <c r="A216" s="6" t="s">
        <v>741</v>
      </c>
      <c r="B216" s="12" t="s">
        <v>205</v>
      </c>
      <c r="C216" s="7" t="s">
        <v>742</v>
      </c>
      <c r="D216" s="13" t="s">
        <v>39</v>
      </c>
      <c r="E216" s="14">
        <v>36544</v>
      </c>
      <c r="F216" s="13" t="s">
        <v>40</v>
      </c>
      <c r="G216" s="13" t="s">
        <v>243</v>
      </c>
      <c r="H216" s="13" t="s">
        <v>144</v>
      </c>
      <c r="I216" s="13" t="s">
        <v>115</v>
      </c>
      <c r="J216" s="13" t="s">
        <v>22</v>
      </c>
      <c r="K216" s="13" t="s">
        <v>23</v>
      </c>
      <c r="L216" s="13" t="s">
        <v>198</v>
      </c>
      <c r="M216" s="15" t="s">
        <v>486</v>
      </c>
      <c r="N216" s="11" t="s">
        <v>584</v>
      </c>
    </row>
    <row r="217" spans="1:14" ht="15.75" customHeight="1" x14ac:dyDescent="0.15">
      <c r="A217" s="12" t="s">
        <v>743</v>
      </c>
      <c r="B217" s="6" t="s">
        <v>210</v>
      </c>
      <c r="C217" s="7" t="s">
        <v>744</v>
      </c>
      <c r="D217" s="8" t="s">
        <v>39</v>
      </c>
      <c r="E217" s="9">
        <v>37741</v>
      </c>
      <c r="F217" s="8" t="s">
        <v>186</v>
      </c>
      <c r="G217" s="8" t="s">
        <v>93</v>
      </c>
      <c r="H217" s="8" t="s">
        <v>42</v>
      </c>
      <c r="I217" s="8" t="s">
        <v>149</v>
      </c>
      <c r="J217" s="8" t="s">
        <v>22</v>
      </c>
      <c r="K217" s="8" t="s">
        <v>23</v>
      </c>
      <c r="L217" s="8" t="s">
        <v>277</v>
      </c>
      <c r="M217" s="10" t="s">
        <v>161</v>
      </c>
      <c r="N217" s="11" t="s">
        <v>584</v>
      </c>
    </row>
    <row r="218" spans="1:14" ht="15.75" customHeight="1" x14ac:dyDescent="0.15">
      <c r="A218" s="6" t="s">
        <v>745</v>
      </c>
      <c r="B218" s="12" t="s">
        <v>215</v>
      </c>
      <c r="C218" s="7" t="s">
        <v>746</v>
      </c>
      <c r="D218" s="13" t="s">
        <v>39</v>
      </c>
      <c r="E218" s="14">
        <v>37358</v>
      </c>
      <c r="F218" s="13" t="s">
        <v>137</v>
      </c>
      <c r="G218" s="13" t="s">
        <v>31</v>
      </c>
      <c r="H218" s="13" t="s">
        <v>42</v>
      </c>
      <c r="I218" s="13" t="s">
        <v>192</v>
      </c>
      <c r="J218" s="13" t="s">
        <v>54</v>
      </c>
      <c r="K218" s="13" t="s">
        <v>23</v>
      </c>
      <c r="L218" s="13" t="s">
        <v>297</v>
      </c>
      <c r="M218" s="15" t="s">
        <v>747</v>
      </c>
      <c r="N218" s="11" t="s">
        <v>584</v>
      </c>
    </row>
    <row r="219" spans="1:14" ht="15.75" customHeight="1" x14ac:dyDescent="0.15">
      <c r="A219" s="6" t="s">
        <v>748</v>
      </c>
      <c r="B219" s="6" t="s">
        <v>749</v>
      </c>
      <c r="C219" s="7" t="s">
        <v>750</v>
      </c>
      <c r="D219" s="8" t="s">
        <v>107</v>
      </c>
      <c r="E219" s="9">
        <v>38690</v>
      </c>
      <c r="F219" s="8" t="s">
        <v>170</v>
      </c>
      <c r="G219" s="8" t="s">
        <v>138</v>
      </c>
      <c r="H219" s="8" t="s">
        <v>144</v>
      </c>
      <c r="I219" s="8" t="s">
        <v>273</v>
      </c>
      <c r="J219" s="8" t="s">
        <v>150</v>
      </c>
      <c r="K219" s="8" t="s">
        <v>77</v>
      </c>
      <c r="L219" s="8" t="s">
        <v>751</v>
      </c>
      <c r="M219" s="10" t="s">
        <v>540</v>
      </c>
      <c r="N219" s="11" t="s">
        <v>584</v>
      </c>
    </row>
    <row r="220" spans="1:14" ht="15.75" customHeight="1" x14ac:dyDescent="0.15">
      <c r="A220" s="12" t="s">
        <v>752</v>
      </c>
      <c r="B220" s="12" t="s">
        <v>220</v>
      </c>
      <c r="C220" s="7" t="s">
        <v>753</v>
      </c>
      <c r="D220" s="13" t="s">
        <v>107</v>
      </c>
      <c r="E220" s="14">
        <v>34389</v>
      </c>
      <c r="F220" s="13" t="s">
        <v>18</v>
      </c>
      <c r="G220" s="13" t="s">
        <v>101</v>
      </c>
      <c r="H220" s="13" t="s">
        <v>114</v>
      </c>
      <c r="I220" s="13" t="s">
        <v>115</v>
      </c>
      <c r="J220" s="13" t="s">
        <v>54</v>
      </c>
      <c r="K220" s="13" t="s">
        <v>77</v>
      </c>
      <c r="L220" s="13" t="s">
        <v>35</v>
      </c>
      <c r="M220" s="15" t="s">
        <v>716</v>
      </c>
      <c r="N220" s="11" t="s">
        <v>584</v>
      </c>
    </row>
    <row r="221" spans="1:14" ht="15.75" customHeight="1" x14ac:dyDescent="0.15">
      <c r="A221" s="6" t="s">
        <v>754</v>
      </c>
      <c r="B221" s="6" t="s">
        <v>223</v>
      </c>
      <c r="C221" s="7" t="s">
        <v>755</v>
      </c>
      <c r="D221" s="8" t="s">
        <v>107</v>
      </c>
      <c r="E221" s="9">
        <v>36283</v>
      </c>
      <c r="F221" s="8" t="s">
        <v>30</v>
      </c>
      <c r="G221" s="8" t="s">
        <v>93</v>
      </c>
      <c r="H221" s="8" t="s">
        <v>369</v>
      </c>
      <c r="I221" s="8" t="s">
        <v>756</v>
      </c>
      <c r="J221" s="8" t="s">
        <v>150</v>
      </c>
      <c r="K221" s="8" t="s">
        <v>44</v>
      </c>
      <c r="L221" s="8" t="s">
        <v>490</v>
      </c>
      <c r="M221" s="10" t="s">
        <v>104</v>
      </c>
      <c r="N221" s="11" t="s">
        <v>584</v>
      </c>
    </row>
    <row r="222" spans="1:14" ht="15.75" customHeight="1" x14ac:dyDescent="0.15">
      <c r="A222" s="12" t="s">
        <v>757</v>
      </c>
      <c r="B222" s="12" t="s">
        <v>758</v>
      </c>
      <c r="C222" s="7" t="s">
        <v>759</v>
      </c>
      <c r="D222" s="13" t="s">
        <v>107</v>
      </c>
      <c r="E222" s="17">
        <v>39081</v>
      </c>
      <c r="F222" s="13" t="s">
        <v>232</v>
      </c>
      <c r="G222" s="13" t="s">
        <v>131</v>
      </c>
      <c r="H222" s="13" t="s">
        <v>191</v>
      </c>
      <c r="I222" s="13" t="s">
        <v>192</v>
      </c>
      <c r="J222" s="13" t="s">
        <v>150</v>
      </c>
      <c r="K222" s="13" t="s">
        <v>77</v>
      </c>
      <c r="L222" s="13" t="s">
        <v>324</v>
      </c>
      <c r="M222" s="15" t="s">
        <v>605</v>
      </c>
      <c r="N222" s="11" t="s">
        <v>584</v>
      </c>
    </row>
    <row r="223" spans="1:14" ht="15.75" customHeight="1" x14ac:dyDescent="0.15">
      <c r="A223" s="6" t="s">
        <v>760</v>
      </c>
      <c r="B223" s="6" t="s">
        <v>227</v>
      </c>
      <c r="C223" s="7" t="s">
        <v>761</v>
      </c>
      <c r="D223" s="8" t="s">
        <v>107</v>
      </c>
      <c r="E223" s="16">
        <v>33224</v>
      </c>
      <c r="F223" s="8" t="s">
        <v>50</v>
      </c>
      <c r="G223" s="8" t="s">
        <v>126</v>
      </c>
      <c r="H223" s="8" t="s">
        <v>156</v>
      </c>
      <c r="I223" s="8" t="s">
        <v>127</v>
      </c>
      <c r="J223" s="8" t="s">
        <v>54</v>
      </c>
      <c r="K223" s="8" t="s">
        <v>23</v>
      </c>
      <c r="L223" s="8" t="s">
        <v>283</v>
      </c>
      <c r="M223" s="10" t="s">
        <v>85</v>
      </c>
      <c r="N223" s="11" t="s">
        <v>584</v>
      </c>
    </row>
    <row r="224" spans="1:14" ht="15.75" customHeight="1" x14ac:dyDescent="0.15">
      <c r="A224" s="6" t="s">
        <v>762</v>
      </c>
      <c r="B224" s="12" t="s">
        <v>230</v>
      </c>
      <c r="C224" s="7" t="s">
        <v>763</v>
      </c>
      <c r="D224" s="13" t="s">
        <v>39</v>
      </c>
      <c r="E224" s="14">
        <v>36470</v>
      </c>
      <c r="F224" s="13" t="s">
        <v>40</v>
      </c>
      <c r="G224" s="13" t="s">
        <v>138</v>
      </c>
      <c r="H224" s="13" t="s">
        <v>139</v>
      </c>
      <c r="I224" s="13" t="s">
        <v>157</v>
      </c>
      <c r="J224" s="13" t="s">
        <v>54</v>
      </c>
      <c r="K224" s="13" t="s">
        <v>23</v>
      </c>
      <c r="L224" s="13" t="s">
        <v>218</v>
      </c>
      <c r="M224" s="15" t="s">
        <v>391</v>
      </c>
      <c r="N224" s="11" t="s">
        <v>584</v>
      </c>
    </row>
    <row r="225" spans="1:14" ht="15.75" customHeight="1" x14ac:dyDescent="0.15">
      <c r="A225" s="12" t="s">
        <v>764</v>
      </c>
      <c r="B225" s="6" t="s">
        <v>234</v>
      </c>
      <c r="C225" s="7" t="s">
        <v>765</v>
      </c>
      <c r="D225" s="8" t="s">
        <v>107</v>
      </c>
      <c r="E225" s="9">
        <v>36354</v>
      </c>
      <c r="F225" s="8" t="s">
        <v>30</v>
      </c>
      <c r="G225" s="8" t="s">
        <v>67</v>
      </c>
      <c r="H225" s="8" t="s">
        <v>144</v>
      </c>
      <c r="I225" s="8" t="s">
        <v>213</v>
      </c>
      <c r="J225" s="8" t="s">
        <v>54</v>
      </c>
      <c r="K225" s="8" t="s">
        <v>23</v>
      </c>
      <c r="L225" s="8" t="s">
        <v>208</v>
      </c>
      <c r="M225" s="10" t="s">
        <v>766</v>
      </c>
      <c r="N225" s="11" t="s">
        <v>584</v>
      </c>
    </row>
    <row r="226" spans="1:14" ht="15.75" customHeight="1" x14ac:dyDescent="0.15">
      <c r="A226" s="6" t="s">
        <v>767</v>
      </c>
      <c r="B226" s="12" t="s">
        <v>236</v>
      </c>
      <c r="C226" s="7" t="s">
        <v>768</v>
      </c>
      <c r="D226" s="13" t="s">
        <v>107</v>
      </c>
      <c r="E226" s="14">
        <v>36203</v>
      </c>
      <c r="F226" s="13" t="s">
        <v>30</v>
      </c>
      <c r="G226" s="13" t="s">
        <v>138</v>
      </c>
      <c r="H226" s="13" t="s">
        <v>42</v>
      </c>
      <c r="I226" s="13" t="s">
        <v>414</v>
      </c>
      <c r="J226" s="13" t="s">
        <v>54</v>
      </c>
      <c r="K226" s="13" t="s">
        <v>77</v>
      </c>
      <c r="L226" s="13" t="s">
        <v>769</v>
      </c>
      <c r="M226" s="15" t="s">
        <v>770</v>
      </c>
      <c r="N226" s="11" t="s">
        <v>584</v>
      </c>
    </row>
    <row r="227" spans="1:14" ht="15.75" customHeight="1" x14ac:dyDescent="0.15">
      <c r="A227" s="12" t="s">
        <v>771</v>
      </c>
      <c r="B227" s="6" t="s">
        <v>772</v>
      </c>
      <c r="C227" s="7" t="s">
        <v>773</v>
      </c>
      <c r="D227" s="8" t="s">
        <v>107</v>
      </c>
      <c r="E227" s="9">
        <v>37805</v>
      </c>
      <c r="F227" s="8" t="s">
        <v>186</v>
      </c>
      <c r="G227" s="8" t="s">
        <v>93</v>
      </c>
      <c r="H227" s="8" t="s">
        <v>94</v>
      </c>
      <c r="I227" s="8" t="s">
        <v>192</v>
      </c>
      <c r="J227" s="8" t="s">
        <v>54</v>
      </c>
      <c r="K227" s="8" t="s">
        <v>77</v>
      </c>
      <c r="L227" s="8" t="s">
        <v>35</v>
      </c>
      <c r="M227" s="10" t="s">
        <v>628</v>
      </c>
      <c r="N227" s="11" t="s">
        <v>584</v>
      </c>
    </row>
    <row r="228" spans="1:14" ht="15.75" customHeight="1" x14ac:dyDescent="0.15">
      <c r="A228" s="6" t="s">
        <v>774</v>
      </c>
      <c r="B228" s="12" t="s">
        <v>241</v>
      </c>
      <c r="C228" s="7" t="s">
        <v>775</v>
      </c>
      <c r="D228" s="13" t="s">
        <v>107</v>
      </c>
      <c r="E228" s="14">
        <v>35472</v>
      </c>
      <c r="F228" s="13" t="s">
        <v>148</v>
      </c>
      <c r="G228" s="13" t="s">
        <v>138</v>
      </c>
      <c r="H228" s="13" t="s">
        <v>108</v>
      </c>
      <c r="I228" s="13" t="s">
        <v>149</v>
      </c>
      <c r="J228" s="13" t="s">
        <v>76</v>
      </c>
      <c r="K228" s="13" t="s">
        <v>77</v>
      </c>
      <c r="L228" s="13" t="s">
        <v>353</v>
      </c>
      <c r="M228" s="15" t="s">
        <v>287</v>
      </c>
      <c r="N228" s="11" t="s">
        <v>584</v>
      </c>
    </row>
    <row r="229" spans="1:14" ht="15.75" customHeight="1" x14ac:dyDescent="0.15">
      <c r="A229" s="6" t="s">
        <v>776</v>
      </c>
      <c r="B229" s="6" t="s">
        <v>246</v>
      </c>
      <c r="C229" s="7" t="s">
        <v>777</v>
      </c>
      <c r="D229" s="8" t="s">
        <v>107</v>
      </c>
      <c r="E229" s="9">
        <v>36571</v>
      </c>
      <c r="F229" s="8" t="s">
        <v>40</v>
      </c>
      <c r="G229" s="8" t="s">
        <v>41</v>
      </c>
      <c r="H229" s="8" t="s">
        <v>369</v>
      </c>
      <c r="I229" s="8" t="s">
        <v>414</v>
      </c>
      <c r="J229" s="8" t="s">
        <v>150</v>
      </c>
      <c r="K229" s="8" t="s">
        <v>44</v>
      </c>
      <c r="L229" s="8" t="s">
        <v>324</v>
      </c>
      <c r="M229" s="10" t="s">
        <v>36</v>
      </c>
      <c r="N229" s="11" t="s">
        <v>584</v>
      </c>
    </row>
    <row r="230" spans="1:14" ht="15.75" customHeight="1" x14ac:dyDescent="0.15">
      <c r="A230" s="12" t="s">
        <v>778</v>
      </c>
      <c r="B230" s="12" t="s">
        <v>779</v>
      </c>
      <c r="C230" s="7" t="s">
        <v>780</v>
      </c>
      <c r="D230" s="13" t="s">
        <v>39</v>
      </c>
      <c r="E230" s="14">
        <v>37506</v>
      </c>
      <c r="F230" s="13" t="s">
        <v>186</v>
      </c>
      <c r="G230" s="13" t="s">
        <v>131</v>
      </c>
      <c r="H230" s="13" t="s">
        <v>781</v>
      </c>
      <c r="I230" s="13" t="s">
        <v>782</v>
      </c>
      <c r="J230" s="13" t="s">
        <v>150</v>
      </c>
      <c r="K230" s="13" t="s">
        <v>77</v>
      </c>
      <c r="L230" s="13" t="s">
        <v>324</v>
      </c>
      <c r="M230" s="15" t="s">
        <v>605</v>
      </c>
      <c r="N230" s="11" t="s">
        <v>584</v>
      </c>
    </row>
    <row r="231" spans="1:14" ht="15.75" customHeight="1" x14ac:dyDescent="0.15">
      <c r="A231" s="6" t="s">
        <v>783</v>
      </c>
      <c r="B231" s="6" t="s">
        <v>249</v>
      </c>
      <c r="C231" s="7" t="s">
        <v>784</v>
      </c>
      <c r="D231" s="8" t="s">
        <v>107</v>
      </c>
      <c r="E231" s="9">
        <v>34001</v>
      </c>
      <c r="F231" s="8" t="s">
        <v>182</v>
      </c>
      <c r="G231" s="8" t="s">
        <v>41</v>
      </c>
      <c r="H231" s="8" t="s">
        <v>333</v>
      </c>
      <c r="I231" s="8" t="s">
        <v>785</v>
      </c>
      <c r="J231" s="8" t="s">
        <v>150</v>
      </c>
      <c r="K231" s="8" t="s">
        <v>77</v>
      </c>
      <c r="L231" s="8" t="s">
        <v>373</v>
      </c>
      <c r="M231" s="10" t="s">
        <v>716</v>
      </c>
      <c r="N231" s="11" t="s">
        <v>584</v>
      </c>
    </row>
    <row r="232" spans="1:14" ht="15.75" customHeight="1" x14ac:dyDescent="0.15">
      <c r="A232" s="12" t="s">
        <v>786</v>
      </c>
      <c r="B232" s="12" t="s">
        <v>253</v>
      </c>
      <c r="C232" s="7" t="s">
        <v>787</v>
      </c>
      <c r="D232" s="13" t="s">
        <v>39</v>
      </c>
      <c r="E232" s="14">
        <v>38255</v>
      </c>
      <c r="F232" s="13" t="s">
        <v>217</v>
      </c>
      <c r="G232" s="13" t="s">
        <v>31</v>
      </c>
      <c r="H232" s="13" t="s">
        <v>788</v>
      </c>
      <c r="I232" s="13" t="s">
        <v>239</v>
      </c>
      <c r="J232" s="13" t="s">
        <v>150</v>
      </c>
      <c r="K232" s="13" t="s">
        <v>44</v>
      </c>
      <c r="L232" s="13" t="s">
        <v>324</v>
      </c>
      <c r="M232" s="15" t="s">
        <v>248</v>
      </c>
      <c r="N232" s="11" t="s">
        <v>584</v>
      </c>
    </row>
    <row r="233" spans="1:14" ht="15.75" customHeight="1" x14ac:dyDescent="0.15">
      <c r="A233" s="6" t="s">
        <v>789</v>
      </c>
      <c r="B233" s="6" t="s">
        <v>790</v>
      </c>
      <c r="C233" s="7" t="s">
        <v>791</v>
      </c>
      <c r="D233" s="8" t="s">
        <v>107</v>
      </c>
      <c r="E233" s="16">
        <v>35060</v>
      </c>
      <c r="F233" s="8" t="s">
        <v>66</v>
      </c>
      <c r="G233" s="8" t="s">
        <v>19</v>
      </c>
      <c r="H233" s="8" t="s">
        <v>42</v>
      </c>
      <c r="I233" s="8" t="s">
        <v>207</v>
      </c>
      <c r="J233" s="8" t="s">
        <v>34</v>
      </c>
      <c r="K233" s="8" t="s">
        <v>44</v>
      </c>
      <c r="L233" s="8" t="s">
        <v>479</v>
      </c>
      <c r="M233" s="10" t="s">
        <v>727</v>
      </c>
      <c r="N233" s="11" t="s">
        <v>584</v>
      </c>
    </row>
    <row r="234" spans="1:14" ht="15.75" customHeight="1" x14ac:dyDescent="0.15">
      <c r="A234" s="6" t="s">
        <v>792</v>
      </c>
      <c r="B234" s="12" t="s">
        <v>257</v>
      </c>
      <c r="C234" s="7" t="s">
        <v>793</v>
      </c>
      <c r="D234" s="13" t="s">
        <v>39</v>
      </c>
      <c r="E234" s="17">
        <v>38315</v>
      </c>
      <c r="F234" s="13" t="s">
        <v>217</v>
      </c>
      <c r="G234" s="13" t="s">
        <v>41</v>
      </c>
      <c r="H234" s="13" t="s">
        <v>82</v>
      </c>
      <c r="I234" s="13" t="s">
        <v>127</v>
      </c>
      <c r="J234" s="13" t="s">
        <v>54</v>
      </c>
      <c r="K234" s="13" t="s">
        <v>44</v>
      </c>
      <c r="L234" s="13" t="s">
        <v>511</v>
      </c>
      <c r="M234" s="15" t="s">
        <v>794</v>
      </c>
      <c r="N234" s="11" t="s">
        <v>584</v>
      </c>
    </row>
    <row r="235" spans="1:14" ht="15.75" customHeight="1" x14ac:dyDescent="0.15">
      <c r="A235" s="12" t="s">
        <v>795</v>
      </c>
      <c r="B235" s="6" t="s">
        <v>259</v>
      </c>
      <c r="C235" s="7" t="s">
        <v>796</v>
      </c>
      <c r="D235" s="8" t="s">
        <v>17</v>
      </c>
      <c r="E235" s="9">
        <v>36329</v>
      </c>
      <c r="F235" s="8" t="s">
        <v>30</v>
      </c>
      <c r="G235" s="8" t="s">
        <v>67</v>
      </c>
      <c r="H235" s="8" t="s">
        <v>191</v>
      </c>
      <c r="I235" s="8" t="s">
        <v>797</v>
      </c>
      <c r="J235" s="8" t="s">
        <v>22</v>
      </c>
      <c r="K235" s="8" t="s">
        <v>44</v>
      </c>
      <c r="L235" s="8" t="s">
        <v>301</v>
      </c>
      <c r="M235" s="10" t="s">
        <v>506</v>
      </c>
      <c r="N235" s="11" t="s">
        <v>584</v>
      </c>
    </row>
    <row r="236" spans="1:14" ht="15.75" customHeight="1" x14ac:dyDescent="0.15">
      <c r="A236" s="6" t="s">
        <v>798</v>
      </c>
      <c r="B236" s="12" t="s">
        <v>263</v>
      </c>
      <c r="C236" s="7" t="s">
        <v>799</v>
      </c>
      <c r="D236" s="13" t="s">
        <v>107</v>
      </c>
      <c r="E236" s="14">
        <v>33798</v>
      </c>
      <c r="F236" s="13" t="s">
        <v>430</v>
      </c>
      <c r="G236" s="13" t="s">
        <v>60</v>
      </c>
      <c r="H236" s="13" t="s">
        <v>68</v>
      </c>
      <c r="I236" s="13" t="s">
        <v>115</v>
      </c>
      <c r="J236" s="13" t="s">
        <v>22</v>
      </c>
      <c r="K236" s="13" t="s">
        <v>77</v>
      </c>
      <c r="L236" s="13" t="s">
        <v>244</v>
      </c>
      <c r="M236" s="15" t="s">
        <v>716</v>
      </c>
      <c r="N236" s="11" t="s">
        <v>584</v>
      </c>
    </row>
    <row r="237" spans="1:14" ht="15.75" customHeight="1" x14ac:dyDescent="0.15">
      <c r="A237" s="12" t="s">
        <v>800</v>
      </c>
      <c r="B237" s="6" t="s">
        <v>266</v>
      </c>
      <c r="C237" s="7" t="s">
        <v>801</v>
      </c>
      <c r="D237" s="8" t="s">
        <v>107</v>
      </c>
      <c r="E237" s="9">
        <v>37803</v>
      </c>
      <c r="F237" s="8" t="s">
        <v>186</v>
      </c>
      <c r="G237" s="8" t="s">
        <v>243</v>
      </c>
      <c r="H237" s="8" t="s">
        <v>88</v>
      </c>
      <c r="I237" s="8" t="s">
        <v>651</v>
      </c>
      <c r="J237" s="8" t="s">
        <v>54</v>
      </c>
      <c r="K237" s="8" t="s">
        <v>77</v>
      </c>
      <c r="L237" s="8" t="s">
        <v>70</v>
      </c>
      <c r="M237" s="10" t="s">
        <v>349</v>
      </c>
      <c r="N237" s="11" t="s">
        <v>584</v>
      </c>
    </row>
    <row r="238" spans="1:14" ht="15.75" customHeight="1" x14ac:dyDescent="0.15">
      <c r="A238" s="6" t="s">
        <v>802</v>
      </c>
      <c r="B238" s="12" t="s">
        <v>271</v>
      </c>
      <c r="C238" s="7" t="s">
        <v>803</v>
      </c>
      <c r="D238" s="13" t="s">
        <v>107</v>
      </c>
      <c r="E238" s="14">
        <v>36537</v>
      </c>
      <c r="F238" s="13" t="s">
        <v>40</v>
      </c>
      <c r="G238" s="13" t="s">
        <v>67</v>
      </c>
      <c r="H238" s="13" t="s">
        <v>144</v>
      </c>
      <c r="I238" s="13" t="s">
        <v>804</v>
      </c>
      <c r="J238" s="13" t="s">
        <v>34</v>
      </c>
      <c r="K238" s="13" t="s">
        <v>77</v>
      </c>
      <c r="L238" s="13" t="s">
        <v>424</v>
      </c>
      <c r="M238" s="15" t="s">
        <v>727</v>
      </c>
      <c r="N238" s="11" t="s">
        <v>584</v>
      </c>
    </row>
    <row r="239" spans="1:14" ht="15.75" customHeight="1" x14ac:dyDescent="0.15">
      <c r="A239" s="6" t="s">
        <v>805</v>
      </c>
      <c r="B239" s="6" t="s">
        <v>275</v>
      </c>
      <c r="C239" s="7" t="s">
        <v>806</v>
      </c>
      <c r="D239" s="8" t="s">
        <v>107</v>
      </c>
      <c r="E239" s="9">
        <v>37511</v>
      </c>
      <c r="F239" s="8" t="s">
        <v>186</v>
      </c>
      <c r="G239" s="8" t="s">
        <v>131</v>
      </c>
      <c r="H239" s="8" t="s">
        <v>139</v>
      </c>
      <c r="I239" s="8" t="s">
        <v>385</v>
      </c>
      <c r="J239" s="8" t="s">
        <v>76</v>
      </c>
      <c r="K239" s="8" t="s">
        <v>77</v>
      </c>
      <c r="L239" s="8" t="s">
        <v>45</v>
      </c>
      <c r="M239" s="10" t="s">
        <v>161</v>
      </c>
      <c r="N239" s="11" t="s">
        <v>584</v>
      </c>
    </row>
    <row r="240" spans="1:14" ht="15.75" customHeight="1" x14ac:dyDescent="0.15">
      <c r="A240" s="12" t="s">
        <v>807</v>
      </c>
      <c r="B240" s="12" t="s">
        <v>278</v>
      </c>
      <c r="C240" s="7" t="s">
        <v>808</v>
      </c>
      <c r="D240" s="13" t="s">
        <v>107</v>
      </c>
      <c r="E240" s="17">
        <v>35354</v>
      </c>
      <c r="F240" s="13" t="s">
        <v>148</v>
      </c>
      <c r="G240" s="13" t="s">
        <v>41</v>
      </c>
      <c r="H240" s="13" t="s">
        <v>139</v>
      </c>
      <c r="I240" s="13" t="s">
        <v>157</v>
      </c>
      <c r="J240" s="13" t="s">
        <v>76</v>
      </c>
      <c r="K240" s="13" t="s">
        <v>23</v>
      </c>
      <c r="L240" s="13" t="s">
        <v>70</v>
      </c>
      <c r="M240" s="15" t="s">
        <v>809</v>
      </c>
      <c r="N240" s="11" t="s">
        <v>584</v>
      </c>
    </row>
    <row r="241" spans="1:14" ht="15.75" customHeight="1" x14ac:dyDescent="0.15">
      <c r="A241" s="12" t="s">
        <v>810</v>
      </c>
      <c r="B241" s="12" t="s">
        <v>281</v>
      </c>
      <c r="C241" s="7" t="s">
        <v>811</v>
      </c>
      <c r="D241" s="13" t="s">
        <v>39</v>
      </c>
      <c r="E241" s="14">
        <v>36277</v>
      </c>
      <c r="F241" s="13" t="s">
        <v>30</v>
      </c>
      <c r="G241" s="13" t="s">
        <v>243</v>
      </c>
      <c r="H241" s="13" t="s">
        <v>52</v>
      </c>
      <c r="I241" s="13" t="s">
        <v>582</v>
      </c>
      <c r="J241" s="13" t="s">
        <v>22</v>
      </c>
      <c r="K241" s="13" t="s">
        <v>44</v>
      </c>
      <c r="L241" s="13" t="s">
        <v>128</v>
      </c>
      <c r="M241" s="15" t="s">
        <v>812</v>
      </c>
      <c r="N241" s="11" t="s">
        <v>584</v>
      </c>
    </row>
    <row r="242" spans="1:14" ht="15.75" customHeight="1" x14ac:dyDescent="0.15">
      <c r="A242" s="6" t="s">
        <v>813</v>
      </c>
      <c r="B242" s="6" t="s">
        <v>285</v>
      </c>
      <c r="C242" s="7" t="s">
        <v>814</v>
      </c>
      <c r="D242" s="8" t="s">
        <v>17</v>
      </c>
      <c r="E242" s="16">
        <v>37613</v>
      </c>
      <c r="F242" s="8" t="s">
        <v>186</v>
      </c>
      <c r="G242" s="8" t="s">
        <v>131</v>
      </c>
      <c r="H242" s="8" t="s">
        <v>144</v>
      </c>
      <c r="I242" s="8" t="s">
        <v>651</v>
      </c>
      <c r="J242" s="8" t="s">
        <v>22</v>
      </c>
      <c r="K242" s="8" t="s">
        <v>23</v>
      </c>
      <c r="L242" s="8" t="s">
        <v>55</v>
      </c>
      <c r="M242" s="10" t="s">
        <v>36</v>
      </c>
      <c r="N242" s="11" t="s">
        <v>584</v>
      </c>
    </row>
    <row r="243" spans="1:14" ht="15.75" customHeight="1" x14ac:dyDescent="0.15">
      <c r="A243" s="6" t="s">
        <v>815</v>
      </c>
      <c r="B243" s="12" t="s">
        <v>288</v>
      </c>
      <c r="C243" s="7" t="s">
        <v>816</v>
      </c>
      <c r="D243" s="13" t="s">
        <v>17</v>
      </c>
      <c r="E243" s="14">
        <v>36694</v>
      </c>
      <c r="F243" s="13" t="s">
        <v>40</v>
      </c>
      <c r="G243" s="13" t="s">
        <v>19</v>
      </c>
      <c r="H243" s="13" t="s">
        <v>20</v>
      </c>
      <c r="I243" s="13" t="s">
        <v>109</v>
      </c>
      <c r="J243" s="13" t="s">
        <v>54</v>
      </c>
      <c r="K243" s="13" t="s">
        <v>44</v>
      </c>
      <c r="L243" s="13" t="s">
        <v>35</v>
      </c>
      <c r="M243" s="15" t="s">
        <v>506</v>
      </c>
      <c r="N243" s="11" t="s">
        <v>584</v>
      </c>
    </row>
    <row r="244" spans="1:14" ht="15.75" customHeight="1" x14ac:dyDescent="0.15">
      <c r="A244" s="12" t="s">
        <v>817</v>
      </c>
      <c r="B244" s="6" t="s">
        <v>291</v>
      </c>
      <c r="C244" s="7" t="s">
        <v>818</v>
      </c>
      <c r="D244" s="8" t="s">
        <v>107</v>
      </c>
      <c r="E244" s="9">
        <v>36768</v>
      </c>
      <c r="F244" s="8" t="s">
        <v>40</v>
      </c>
      <c r="G244" s="8" t="s">
        <v>19</v>
      </c>
      <c r="H244" s="8" t="s">
        <v>369</v>
      </c>
      <c r="I244" s="8" t="s">
        <v>438</v>
      </c>
      <c r="J244" s="8" t="s">
        <v>76</v>
      </c>
      <c r="K244" s="8" t="s">
        <v>77</v>
      </c>
      <c r="L244" s="8" t="s">
        <v>283</v>
      </c>
      <c r="M244" s="10" t="s">
        <v>71</v>
      </c>
      <c r="N244" s="11" t="s">
        <v>584</v>
      </c>
    </row>
    <row r="245" spans="1:14" ht="15.75" customHeight="1" x14ac:dyDescent="0.15">
      <c r="A245" s="6" t="s">
        <v>819</v>
      </c>
      <c r="B245" s="12" t="s">
        <v>295</v>
      </c>
      <c r="C245" s="7" t="s">
        <v>820</v>
      </c>
      <c r="D245" s="13" t="s">
        <v>107</v>
      </c>
      <c r="E245" s="14">
        <v>35491</v>
      </c>
      <c r="F245" s="13" t="s">
        <v>148</v>
      </c>
      <c r="G245" s="13" t="s">
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<c r="L245" s="13" t="s">
        <v>158</v>
      </c>
      <c r="M245" s="15" t="s">
        <v>387</v>
      </c>
      <c r="N245" s="11" t="s">
        <v>584</v>
      </c>
    </row>
    <row r="246" spans="1:14" ht="15.75" customHeight="1" x14ac:dyDescent="0.15">
      <c r="A246" s="12" t="s">
        <v>821</v>
      </c>
      <c r="B246" s="6" t="s">
        <v>822</v>
      </c>
      <c r="C246" s="7" t="s">
        <v>823</v>
      </c>
      <c r="D246" s="8" t="s">
        <v>107</v>
      </c>
      <c r="E246" s="9">
        <v>37797</v>
      </c>
      <c r="F246" s="8" t="s">
        <v>186</v>
      </c>
      <c r="G246" s="8" t="s">
        <v>243</v>
      </c>
      <c r="H246" s="8" t="s">
        <v>32</v>
      </c>
      <c r="I246" s="8" t="s">
        <v>207</v>
      </c>
      <c r="J246" s="8" t="s">
        <v>34</v>
      </c>
      <c r="K246" s="8" t="s">
        <v>23</v>
      </c>
      <c r="L246" s="8" t="s">
        <v>198</v>
      </c>
      <c r="M246" s="10" t="s">
        <v>590</v>
      </c>
      <c r="N246" s="11" t="s">
        <v>584</v>
      </c>
    </row>
    <row r="247" spans="1:14" ht="15.75" customHeight="1" x14ac:dyDescent="0.15">
      <c r="A247" s="6" t="s">
        <v>824</v>
      </c>
      <c r="B247" s="12" t="s">
        <v>299</v>
      </c>
      <c r="C247" s="7" t="s">
        <v>825</v>
      </c>
      <c r="D247" s="13" t="s">
        <v>107</v>
      </c>
      <c r="E247" s="14">
        <v>36776</v>
      </c>
      <c r="F247" s="13" t="s">
        <v>203</v>
      </c>
      <c r="G247" s="13" t="s">
        <v>243</v>
      </c>
      <c r="H247" s="13" t="s">
        <v>144</v>
      </c>
      <c r="I247" s="13" t="s">
        <v>109</v>
      </c>
      <c r="J247" s="13" t="s">
        <v>76</v>
      </c>
      <c r="K247" s="13" t="s">
        <v>77</v>
      </c>
      <c r="L247" s="13" t="s">
        <v>353</v>
      </c>
      <c r="M247" s="15" t="s">
        <v>464</v>
      </c>
      <c r="N247" s="11" t="s">
        <v>584</v>
      </c>
    </row>
    <row r="248" spans="1:14" ht="15.75" customHeight="1" x14ac:dyDescent="0.15">
      <c r="A248" s="6" t="s">
        <v>826</v>
      </c>
      <c r="B248" s="6" t="s">
        <v>303</v>
      </c>
      <c r="C248" s="7" t="s">
        <v>827</v>
      </c>
      <c r="D248" s="8" t="s">
        <v>107</v>
      </c>
      <c r="E248" s="9">
        <v>35900</v>
      </c>
      <c r="F248" s="8" t="s">
        <v>212</v>
      </c>
      <c r="G248" s="8" t="s">
        <v>31</v>
      </c>
      <c r="H248" s="8" t="s">
        <v>156</v>
      </c>
      <c r="I248" s="8" t="s">
        <v>120</v>
      </c>
      <c r="J248" s="8" t="s">
        <v>54</v>
      </c>
      <c r="K248" s="8" t="s">
        <v>828</v>
      </c>
      <c r="L248" s="8" t="s">
        <v>45</v>
      </c>
      <c r="M248" s="10" t="s">
        <v>829</v>
      </c>
      <c r="N248" s="11" t="s">
        <v>584</v>
      </c>
    </row>
    <row r="249" spans="1:14" ht="15.75" customHeight="1" x14ac:dyDescent="0.15">
      <c r="A249" s="12" t="s">
        <v>830</v>
      </c>
      <c r="B249" s="12" t="s">
        <v>306</v>
      </c>
      <c r="C249" s="7" t="s">
        <v>831</v>
      </c>
      <c r="D249" s="13" t="s">
        <v>107</v>
      </c>
      <c r="E249" s="14">
        <v>36008</v>
      </c>
      <c r="F249" s="13" t="s">
        <v>212</v>
      </c>
      <c r="G249" s="13" t="s">
        <v>31</v>
      </c>
      <c r="H249" s="13" t="s">
        <v>108</v>
      </c>
      <c r="I249" s="13" t="s">
        <v>414</v>
      </c>
      <c r="J249" s="13" t="s">
        <v>54</v>
      </c>
      <c r="K249" s="13" t="s">
        <v>44</v>
      </c>
      <c r="L249" s="13" t="s">
        <v>78</v>
      </c>
      <c r="M249" s="15" t="s">
        <v>458</v>
      </c>
      <c r="N249" s="11" t="s">
        <v>584</v>
      </c>
    </row>
    <row r="250" spans="1:14" ht="15.75" customHeight="1" x14ac:dyDescent="0.15">
      <c r="A250" s="6" t="s">
        <v>832</v>
      </c>
      <c r="B250" s="6" t="s">
        <v>308</v>
      </c>
      <c r="C250" s="7" t="s">
        <v>833</v>
      </c>
      <c r="D250" s="8" t="s">
        <v>49</v>
      </c>
      <c r="E250" s="9">
        <v>37015</v>
      </c>
      <c r="F250" s="8" t="s">
        <v>203</v>
      </c>
      <c r="G250" s="8" t="s">
        <v>204</v>
      </c>
      <c r="H250" s="8" t="s">
        <v>179</v>
      </c>
      <c r="I250" s="8" t="s">
        <v>127</v>
      </c>
      <c r="J250" s="8" t="s">
        <v>76</v>
      </c>
      <c r="K250" s="8" t="s">
        <v>44</v>
      </c>
      <c r="L250" s="8" t="s">
        <v>158</v>
      </c>
      <c r="M250" s="10" t="s">
        <v>161</v>
      </c>
      <c r="N250" s="11" t="s">
        <v>584</v>
      </c>
    </row>
    <row r="251" spans="1:14" ht="15.75" customHeight="1" x14ac:dyDescent="0.15">
      <c r="A251" s="12" t="s">
        <v>834</v>
      </c>
      <c r="B251" s="12" t="s">
        <v>835</v>
      </c>
      <c r="C251" s="7" t="s">
        <v>836</v>
      </c>
      <c r="D251" s="13" t="s">
        <v>17</v>
      </c>
      <c r="E251" s="14">
        <v>37397</v>
      </c>
      <c r="F251" s="13" t="s">
        <v>137</v>
      </c>
      <c r="G251" s="13" t="s">
        <v>31</v>
      </c>
      <c r="H251" s="13" t="s">
        <v>837</v>
      </c>
      <c r="I251" s="13" t="s">
        <v>140</v>
      </c>
      <c r="J251" s="13" t="s">
        <v>22</v>
      </c>
      <c r="K251" s="13" t="s">
        <v>44</v>
      </c>
      <c r="L251" s="13" t="s">
        <v>647</v>
      </c>
      <c r="M251" s="15" t="s">
        <v>284</v>
      </c>
      <c r="N251" s="11" t="s">
        <v>584</v>
      </c>
    </row>
    <row r="252" spans="1:14" ht="15.75" customHeight="1" x14ac:dyDescent="0.15">
      <c r="A252" s="6" t="s">
        <v>838</v>
      </c>
      <c r="B252" s="6" t="s">
        <v>311</v>
      </c>
      <c r="C252" s="7" t="s">
        <v>839</v>
      </c>
      <c r="D252" s="8" t="s">
        <v>17</v>
      </c>
      <c r="E252" s="9">
        <v>38161</v>
      </c>
      <c r="F252" s="8" t="s">
        <v>92</v>
      </c>
      <c r="G252" s="8" t="s">
        <v>138</v>
      </c>
      <c r="H252" s="8" t="s">
        <v>68</v>
      </c>
      <c r="I252" s="8" t="s">
        <v>140</v>
      </c>
      <c r="J252" s="8" t="s">
        <v>54</v>
      </c>
      <c r="K252" s="8" t="s">
        <v>23</v>
      </c>
      <c r="L252" s="8" t="s">
        <v>561</v>
      </c>
      <c r="M252" s="10" t="s">
        <v>812</v>
      </c>
      <c r="N252" s="11" t="s">
        <v>584</v>
      </c>
    </row>
    <row r="253" spans="1:14" ht="15.75" customHeight="1" x14ac:dyDescent="0.15">
      <c r="A253" s="6" t="s">
        <v>840</v>
      </c>
      <c r="B253" s="12" t="s">
        <v>314</v>
      </c>
      <c r="C253" s="7" t="s">
        <v>841</v>
      </c>
      <c r="D253" s="13" t="s">
        <v>17</v>
      </c>
      <c r="E253" s="14">
        <v>38062</v>
      </c>
      <c r="F253" s="13" t="s">
        <v>92</v>
      </c>
      <c r="G253" s="13" t="s">
        <v>138</v>
      </c>
      <c r="H253" s="13" t="s">
        <v>108</v>
      </c>
      <c r="I253" s="13" t="s">
        <v>33</v>
      </c>
      <c r="J253" s="13" t="s">
        <v>34</v>
      </c>
      <c r="K253" s="13" t="s">
        <v>44</v>
      </c>
      <c r="L253" s="13" t="s">
        <v>198</v>
      </c>
      <c r="M253" s="15" t="s">
        <v>674</v>
      </c>
      <c r="N253" s="11" t="s">
        <v>584</v>
      </c>
    </row>
    <row r="254" spans="1:14" ht="15.75" customHeight="1" x14ac:dyDescent="0.15">
      <c r="A254" s="12" t="s">
        <v>842</v>
      </c>
      <c r="B254" s="6" t="s">
        <v>843</v>
      </c>
      <c r="C254" s="7" t="s">
        <v>844</v>
      </c>
      <c r="D254" s="8" t="s">
        <v>107</v>
      </c>
      <c r="E254" s="9">
        <v>37716</v>
      </c>
      <c r="F254" s="8" t="s">
        <v>186</v>
      </c>
      <c r="G254" s="8" t="s">
        <v>243</v>
      </c>
      <c r="H254" s="8" t="s">
        <v>114</v>
      </c>
      <c r="I254" s="8" t="s">
        <v>109</v>
      </c>
      <c r="J254" s="8" t="s">
        <v>54</v>
      </c>
      <c r="K254" s="8" t="s">
        <v>77</v>
      </c>
      <c r="L254" s="8" t="s">
        <v>424</v>
      </c>
      <c r="M254" s="10" t="s">
        <v>845</v>
      </c>
      <c r="N254" s="11" t="s">
        <v>584</v>
      </c>
    </row>
    <row r="255" spans="1:14" ht="15.75" customHeight="1" x14ac:dyDescent="0.15">
      <c r="A255" s="6" t="s">
        <v>846</v>
      </c>
      <c r="B255" s="12" t="s">
        <v>847</v>
      </c>
      <c r="C255" s="7" t="s">
        <v>848</v>
      </c>
      <c r="D255" s="13" t="s">
        <v>107</v>
      </c>
      <c r="E255" s="14">
        <v>38919</v>
      </c>
      <c r="F255" s="13" t="s">
        <v>170</v>
      </c>
      <c r="G255" s="13" t="s">
        <v>131</v>
      </c>
      <c r="H255" s="13" t="s">
        <v>579</v>
      </c>
      <c r="I255" s="13" t="s">
        <v>192</v>
      </c>
      <c r="J255" s="13" t="s">
        <v>22</v>
      </c>
      <c r="K255" s="13" t="s">
        <v>44</v>
      </c>
      <c r="L255" s="13" t="s">
        <v>128</v>
      </c>
      <c r="M255" s="15" t="s">
        <v>449</v>
      </c>
      <c r="N255" s="11" t="s">
        <v>584</v>
      </c>
    </row>
    <row r="256" spans="1:14" ht="15.75" customHeight="1" x14ac:dyDescent="0.15">
      <c r="A256" s="12" t="s">
        <v>849</v>
      </c>
      <c r="B256" s="6" t="s">
        <v>402</v>
      </c>
      <c r="C256" s="7" t="s">
        <v>850</v>
      </c>
      <c r="D256" s="8" t="s">
        <v>107</v>
      </c>
      <c r="E256" s="9">
        <v>37032</v>
      </c>
      <c r="F256" s="8" t="s">
        <v>203</v>
      </c>
      <c r="G256" s="8" t="s">
        <v>204</v>
      </c>
      <c r="H256" s="8" t="s">
        <v>196</v>
      </c>
      <c r="I256" s="8" t="s">
        <v>192</v>
      </c>
      <c r="J256" s="8" t="s">
        <v>22</v>
      </c>
      <c r="K256" s="8" t="s">
        <v>44</v>
      </c>
      <c r="L256" s="8" t="s">
        <v>647</v>
      </c>
      <c r="M256" s="10" t="s">
        <v>287</v>
      </c>
      <c r="N256" s="11" t="s">
        <v>584</v>
      </c>
    </row>
    <row r="257" spans="1:14" ht="15.75" customHeight="1" x14ac:dyDescent="0.15">
      <c r="A257" s="6" t="s">
        <v>851</v>
      </c>
      <c r="B257" s="12" t="s">
        <v>319</v>
      </c>
      <c r="C257" s="7" t="s">
        <v>3418</v>
      </c>
      <c r="D257" s="13" t="s">
        <v>107</v>
      </c>
      <c r="E257" s="17">
        <v>35349</v>
      </c>
      <c r="F257" s="13" t="s">
        <v>148</v>
      </c>
      <c r="G257" s="13" t="s">
        <v>60</v>
      </c>
      <c r="H257" s="13" t="s">
        <v>535</v>
      </c>
      <c r="I257" s="13" t="s">
        <v>43</v>
      </c>
      <c r="J257" s="13" t="s">
        <v>150</v>
      </c>
      <c r="K257" s="13" t="s">
        <v>23</v>
      </c>
      <c r="L257" s="13" t="s">
        <v>852</v>
      </c>
      <c r="M257" s="15" t="s">
        <v>853</v>
      </c>
      <c r="N257" s="11" t="s">
        <v>584</v>
      </c>
    </row>
    <row r="258" spans="1:14" ht="15.75" customHeight="1" x14ac:dyDescent="0.15">
      <c r="A258" s="6" t="s">
        <v>854</v>
      </c>
      <c r="B258" s="6" t="s">
        <v>321</v>
      </c>
      <c r="C258" s="7" t="s">
        <v>855</v>
      </c>
      <c r="D258" s="8" t="s">
        <v>39</v>
      </c>
      <c r="E258" s="9">
        <v>36643</v>
      </c>
      <c r="F258" s="8" t="s">
        <v>40</v>
      </c>
      <c r="G258" s="8" t="s">
        <v>93</v>
      </c>
      <c r="H258" s="8" t="s">
        <v>32</v>
      </c>
      <c r="I258" s="8" t="s">
        <v>385</v>
      </c>
      <c r="J258" s="8" t="s">
        <v>22</v>
      </c>
      <c r="K258" s="8" t="s">
        <v>77</v>
      </c>
      <c r="L258" s="8" t="s">
        <v>301</v>
      </c>
      <c r="M258" s="10" t="s">
        <v>628</v>
      </c>
      <c r="N258" s="11" t="s">
        <v>584</v>
      </c>
    </row>
    <row r="259" spans="1:14" ht="15.75" customHeight="1" x14ac:dyDescent="0.15">
      <c r="A259" s="12" t="s">
        <v>856</v>
      </c>
      <c r="B259" s="12" t="s">
        <v>325</v>
      </c>
      <c r="C259" s="7" t="s">
        <v>857</v>
      </c>
      <c r="D259" s="13" t="s">
        <v>39</v>
      </c>
      <c r="E259" s="14">
        <v>38026</v>
      </c>
      <c r="F259" s="13" t="s">
        <v>92</v>
      </c>
      <c r="G259" s="13" t="s">
        <v>243</v>
      </c>
      <c r="H259" s="13" t="s">
        <v>94</v>
      </c>
      <c r="I259" s="13" t="s">
        <v>115</v>
      </c>
      <c r="J259" s="13" t="s">
        <v>22</v>
      </c>
      <c r="K259" s="13" t="s">
        <v>44</v>
      </c>
      <c r="L259" s="13" t="s">
        <v>310</v>
      </c>
      <c r="M259" s="15" t="s">
        <v>262</v>
      </c>
      <c r="N259" s="11" t="s">
        <v>584</v>
      </c>
    </row>
    <row r="260" spans="1:14" ht="15.75" customHeight="1" x14ac:dyDescent="0.15">
      <c r="A260" s="6" t="s">
        <v>858</v>
      </c>
      <c r="B260" s="6" t="s">
        <v>412</v>
      </c>
      <c r="C260" s="7" t="s">
        <v>859</v>
      </c>
      <c r="D260" s="8" t="s">
        <v>39</v>
      </c>
      <c r="E260" s="9">
        <v>38117</v>
      </c>
      <c r="F260" s="8" t="s">
        <v>92</v>
      </c>
      <c r="G260" s="8" t="s">
        <v>41</v>
      </c>
      <c r="H260" s="8" t="s">
        <v>42</v>
      </c>
      <c r="I260" s="8" t="s">
        <v>43</v>
      </c>
      <c r="J260" s="8" t="s">
        <v>34</v>
      </c>
      <c r="K260" s="8" t="s">
        <v>77</v>
      </c>
      <c r="L260" s="8" t="s">
        <v>218</v>
      </c>
      <c r="M260" s="10" t="s">
        <v>540</v>
      </c>
      <c r="N260" s="11" t="s">
        <v>584</v>
      </c>
    </row>
    <row r="261" spans="1:14" ht="15.75" customHeight="1" x14ac:dyDescent="0.15">
      <c r="A261" s="12" t="s">
        <v>860</v>
      </c>
      <c r="B261" s="12" t="s">
        <v>327</v>
      </c>
      <c r="C261" s="7" t="s">
        <v>861</v>
      </c>
      <c r="D261" s="13" t="s">
        <v>107</v>
      </c>
      <c r="E261" s="14">
        <v>37024</v>
      </c>
      <c r="F261" s="13" t="s">
        <v>203</v>
      </c>
      <c r="G261" s="13" t="s">
        <v>204</v>
      </c>
      <c r="H261" s="13" t="s">
        <v>102</v>
      </c>
      <c r="I261" s="13" t="s">
        <v>115</v>
      </c>
      <c r="J261" s="13" t="s">
        <v>76</v>
      </c>
      <c r="K261" s="13" t="s">
        <v>77</v>
      </c>
      <c r="L261" s="13" t="s">
        <v>277</v>
      </c>
      <c r="M261" s="15" t="s">
        <v>747</v>
      </c>
      <c r="N261" s="11" t="s">
        <v>584</v>
      </c>
    </row>
    <row r="262" spans="1:14" ht="15.75" customHeight="1" x14ac:dyDescent="0.15">
      <c r="A262" s="6" t="s">
        <v>862</v>
      </c>
      <c r="B262" s="6" t="s">
        <v>330</v>
      </c>
      <c r="C262" s="7" t="s">
        <v>863</v>
      </c>
      <c r="D262" s="8" t="s">
        <v>107</v>
      </c>
      <c r="E262" s="9">
        <v>35711</v>
      </c>
      <c r="F262" s="8" t="s">
        <v>212</v>
      </c>
      <c r="G262" s="8" t="s">
        <v>60</v>
      </c>
      <c r="H262" s="8" t="s">
        <v>94</v>
      </c>
      <c r="I262" s="8" t="s">
        <v>43</v>
      </c>
      <c r="J262" s="8" t="s">
        <v>54</v>
      </c>
      <c r="K262" s="8" t="s">
        <v>77</v>
      </c>
      <c r="L262" s="8" t="s">
        <v>45</v>
      </c>
      <c r="M262" s="10" t="s">
        <v>641</v>
      </c>
      <c r="N262" s="11" t="s">
        <v>584</v>
      </c>
    </row>
    <row r="263" spans="1:14" ht="15.75" customHeight="1" x14ac:dyDescent="0.15">
      <c r="A263" s="6" t="s">
        <v>864</v>
      </c>
      <c r="B263" s="12" t="s">
        <v>335</v>
      </c>
      <c r="C263" s="7" t="s">
        <v>865</v>
      </c>
      <c r="D263" s="13" t="s">
        <v>17</v>
      </c>
      <c r="E263" s="14">
        <v>39309</v>
      </c>
      <c r="F263" s="13" t="s">
        <v>232</v>
      </c>
      <c r="G263" s="13" t="s">
        <v>93</v>
      </c>
      <c r="H263" s="13" t="s">
        <v>32</v>
      </c>
      <c r="I263" s="13" t="s">
        <v>61</v>
      </c>
      <c r="J263" s="13" t="s">
        <v>22</v>
      </c>
      <c r="K263" s="13" t="s">
        <v>44</v>
      </c>
      <c r="L263" s="13" t="s">
        <v>187</v>
      </c>
      <c r="M263" s="15" t="s">
        <v>284</v>
      </c>
      <c r="N263" s="11" t="s">
        <v>584</v>
      </c>
    </row>
    <row r="264" spans="1:14" ht="15.75" customHeight="1" x14ac:dyDescent="0.15">
      <c r="A264" s="12" t="s">
        <v>866</v>
      </c>
      <c r="B264" s="6" t="s">
        <v>867</v>
      </c>
      <c r="C264" s="7" t="s">
        <v>868</v>
      </c>
      <c r="D264" s="8" t="s">
        <v>107</v>
      </c>
      <c r="E264" s="9">
        <v>38023</v>
      </c>
      <c r="F264" s="8" t="s">
        <v>92</v>
      </c>
      <c r="G264" s="8" t="s">
        <v>243</v>
      </c>
      <c r="H264" s="8" t="s">
        <v>369</v>
      </c>
      <c r="I264" s="8" t="s">
        <v>470</v>
      </c>
      <c r="J264" s="8" t="s">
        <v>54</v>
      </c>
      <c r="K264" s="8" t="s">
        <v>44</v>
      </c>
      <c r="L264" s="8" t="s">
        <v>35</v>
      </c>
      <c r="M264" s="10" t="s">
        <v>812</v>
      </c>
      <c r="N264" s="11" t="s">
        <v>584</v>
      </c>
    </row>
    <row r="265" spans="1:14" ht="15.75" customHeight="1" x14ac:dyDescent="0.15">
      <c r="A265" s="6" t="s">
        <v>869</v>
      </c>
      <c r="B265" s="6" t="s">
        <v>15</v>
      </c>
      <c r="C265" s="7" t="s">
        <v>870</v>
      </c>
      <c r="D265" s="8" t="s">
        <v>17</v>
      </c>
      <c r="E265" s="9">
        <v>37114</v>
      </c>
      <c r="F265" s="8" t="s">
        <v>203</v>
      </c>
      <c r="G265" s="8" t="s">
        <v>138</v>
      </c>
      <c r="H265" s="8" t="s">
        <v>837</v>
      </c>
      <c r="I265" s="8" t="s">
        <v>53</v>
      </c>
      <c r="J265" s="8" t="s">
        <v>54</v>
      </c>
      <c r="K265" s="8" t="s">
        <v>44</v>
      </c>
      <c r="L265" s="8" t="s">
        <v>128</v>
      </c>
      <c r="M265" s="10" t="s">
        <v>464</v>
      </c>
      <c r="N265" s="11" t="s">
        <v>871</v>
      </c>
    </row>
    <row r="266" spans="1:14" ht="15.75" customHeight="1" x14ac:dyDescent="0.15">
      <c r="A266" s="12" t="s">
        <v>872</v>
      </c>
      <c r="B266" s="12" t="s">
        <v>28</v>
      </c>
      <c r="C266" s="7" t="s">
        <v>873</v>
      </c>
      <c r="D266" s="13" t="s">
        <v>39</v>
      </c>
      <c r="E266" s="14">
        <v>36741</v>
      </c>
      <c r="F266" s="13" t="s">
        <v>40</v>
      </c>
      <c r="G266" s="13" t="s">
        <v>138</v>
      </c>
      <c r="H266" s="13" t="s">
        <v>68</v>
      </c>
      <c r="I266" s="13" t="s">
        <v>273</v>
      </c>
      <c r="J266" s="13" t="s">
        <v>54</v>
      </c>
      <c r="K266" s="13" t="s">
        <v>77</v>
      </c>
      <c r="L266" s="13" t="s">
        <v>78</v>
      </c>
      <c r="M266" s="15" t="s">
        <v>486</v>
      </c>
      <c r="N266" s="11" t="s">
        <v>871</v>
      </c>
    </row>
    <row r="267" spans="1:14" ht="15.75" customHeight="1" x14ac:dyDescent="0.15">
      <c r="A267" s="6" t="s">
        <v>874</v>
      </c>
      <c r="B267" s="6" t="s">
        <v>14</v>
      </c>
      <c r="C267" s="7" t="s">
        <v>875</v>
      </c>
      <c r="D267" s="8" t="s">
        <v>39</v>
      </c>
      <c r="E267" s="9">
        <v>37309</v>
      </c>
      <c r="F267" s="8" t="s">
        <v>137</v>
      </c>
      <c r="G267" s="8" t="s">
        <v>204</v>
      </c>
      <c r="H267" s="8" t="s">
        <v>68</v>
      </c>
      <c r="I267" s="8" t="s">
        <v>53</v>
      </c>
      <c r="J267" s="8" t="s">
        <v>22</v>
      </c>
      <c r="K267" s="8" t="s">
        <v>23</v>
      </c>
      <c r="L267" s="8" t="s">
        <v>121</v>
      </c>
      <c r="M267" s="10" t="s">
        <v>716</v>
      </c>
      <c r="N267" s="11" t="s">
        <v>871</v>
      </c>
    </row>
    <row r="268" spans="1:14" ht="15.75" customHeight="1" x14ac:dyDescent="0.15">
      <c r="A268" s="6" t="s">
        <v>876</v>
      </c>
      <c r="B268" s="12" t="s">
        <v>27</v>
      </c>
      <c r="C268" s="7" t="s">
        <v>877</v>
      </c>
      <c r="D268" s="13" t="s">
        <v>17</v>
      </c>
      <c r="E268" s="17">
        <v>36858</v>
      </c>
      <c r="F268" s="13" t="s">
        <v>203</v>
      </c>
      <c r="G268" s="13" t="s">
        <v>41</v>
      </c>
      <c r="H268" s="13" t="s">
        <v>878</v>
      </c>
      <c r="I268" s="13" t="s">
        <v>83</v>
      </c>
      <c r="J268" s="13" t="s">
        <v>22</v>
      </c>
      <c r="K268" s="13" t="s">
        <v>44</v>
      </c>
      <c r="L268" s="13" t="s">
        <v>45</v>
      </c>
      <c r="M268" s="15" t="s">
        <v>134</v>
      </c>
      <c r="N268" s="11" t="s">
        <v>871</v>
      </c>
    </row>
    <row r="269" spans="1:14" ht="15.75" customHeight="1" x14ac:dyDescent="0.15">
      <c r="A269" s="12" t="s">
        <v>879</v>
      </c>
      <c r="B269" s="6" t="s">
        <v>37</v>
      </c>
      <c r="C269" s="7" t="s">
        <v>880</v>
      </c>
      <c r="D269" s="8" t="s">
        <v>17</v>
      </c>
      <c r="E269" s="9">
        <v>34352</v>
      </c>
      <c r="F269" s="8" t="s">
        <v>18</v>
      </c>
      <c r="G269" s="8" t="s">
        <v>618</v>
      </c>
      <c r="H269" s="8" t="s">
        <v>94</v>
      </c>
      <c r="I269" s="8" t="s">
        <v>192</v>
      </c>
      <c r="J269" s="8" t="s">
        <v>22</v>
      </c>
      <c r="K269" s="8" t="s">
        <v>23</v>
      </c>
      <c r="L269" s="8" t="s">
        <v>45</v>
      </c>
      <c r="M269" s="10" t="s">
        <v>305</v>
      </c>
      <c r="N269" s="11" t="s">
        <v>871</v>
      </c>
    </row>
    <row r="270" spans="1:14" ht="15.75" customHeight="1" x14ac:dyDescent="0.15">
      <c r="A270" s="6" t="s">
        <v>881</v>
      </c>
      <c r="B270" s="12" t="s">
        <v>47</v>
      </c>
      <c r="C270" s="7" t="s">
        <v>882</v>
      </c>
      <c r="D270" s="13" t="s">
        <v>17</v>
      </c>
      <c r="E270" s="14">
        <v>33637</v>
      </c>
      <c r="F270" s="13" t="s">
        <v>430</v>
      </c>
      <c r="G270" s="13" t="s">
        <v>41</v>
      </c>
      <c r="H270" s="13" t="s">
        <v>144</v>
      </c>
      <c r="I270" s="13" t="s">
        <v>95</v>
      </c>
      <c r="J270" s="13" t="s">
        <v>150</v>
      </c>
      <c r="K270" s="13" t="s">
        <v>44</v>
      </c>
      <c r="L270" s="13" t="s">
        <v>324</v>
      </c>
      <c r="M270" s="15" t="s">
        <v>809</v>
      </c>
      <c r="N270" s="11" t="s">
        <v>871</v>
      </c>
    </row>
    <row r="271" spans="1:14" ht="15.75" customHeight="1" x14ac:dyDescent="0.15">
      <c r="A271" s="12" t="s">
        <v>883</v>
      </c>
      <c r="B271" s="6" t="s">
        <v>57</v>
      </c>
      <c r="C271" s="7" t="s">
        <v>884</v>
      </c>
      <c r="D271" s="8" t="s">
        <v>17</v>
      </c>
      <c r="E271" s="9">
        <v>36897</v>
      </c>
      <c r="F271" s="8" t="s">
        <v>203</v>
      </c>
      <c r="G271" s="8" t="s">
        <v>41</v>
      </c>
      <c r="H271" s="8" t="s">
        <v>82</v>
      </c>
      <c r="I271" s="8" t="s">
        <v>157</v>
      </c>
      <c r="J271" s="8" t="s">
        <v>76</v>
      </c>
      <c r="K271" s="8" t="s">
        <v>23</v>
      </c>
      <c r="L271" s="8" t="s">
        <v>110</v>
      </c>
      <c r="M271" s="10" t="s">
        <v>496</v>
      </c>
      <c r="N271" s="11" t="s">
        <v>871</v>
      </c>
    </row>
    <row r="272" spans="1:14" ht="15.75" customHeight="1" x14ac:dyDescent="0.15">
      <c r="A272" s="6" t="s">
        <v>885</v>
      </c>
      <c r="B272" s="12" t="s">
        <v>72</v>
      </c>
      <c r="C272" s="7" t="s">
        <v>886</v>
      </c>
      <c r="D272" s="13" t="s">
        <v>17</v>
      </c>
      <c r="E272" s="14">
        <v>35324</v>
      </c>
      <c r="F272" s="13" t="s">
        <v>148</v>
      </c>
      <c r="G272" s="13" t="s">
        <v>41</v>
      </c>
      <c r="H272" s="13" t="s">
        <v>94</v>
      </c>
      <c r="I272" s="13" t="s">
        <v>95</v>
      </c>
      <c r="J272" s="13" t="s">
        <v>34</v>
      </c>
      <c r="K272" s="13" t="s">
        <v>44</v>
      </c>
      <c r="L272" s="13" t="s">
        <v>283</v>
      </c>
      <c r="M272" s="15" t="s">
        <v>458</v>
      </c>
      <c r="N272" s="11" t="s">
        <v>871</v>
      </c>
    </row>
    <row r="273" spans="1:14" ht="15.75" customHeight="1" x14ac:dyDescent="0.15">
      <c r="A273" s="6" t="s">
        <v>887</v>
      </c>
      <c r="B273" s="6" t="s">
        <v>80</v>
      </c>
      <c r="C273" s="7" t="s">
        <v>888</v>
      </c>
      <c r="D273" s="8" t="s">
        <v>39</v>
      </c>
      <c r="E273" s="9">
        <v>31360</v>
      </c>
      <c r="F273" s="8" t="s">
        <v>889</v>
      </c>
      <c r="G273" s="8" t="s">
        <v>890</v>
      </c>
      <c r="H273" s="8" t="s">
        <v>102</v>
      </c>
      <c r="I273" s="8" t="s">
        <v>53</v>
      </c>
      <c r="J273" s="8" t="s">
        <v>54</v>
      </c>
      <c r="K273" s="8" t="s">
        <v>77</v>
      </c>
      <c r="L273" s="8" t="s">
        <v>297</v>
      </c>
      <c r="M273" s="10" t="s">
        <v>305</v>
      </c>
      <c r="N273" s="11" t="s">
        <v>871</v>
      </c>
    </row>
    <row r="274" spans="1:14" ht="15.75" customHeight="1" x14ac:dyDescent="0.15">
      <c r="A274" s="12" t="s">
        <v>891</v>
      </c>
      <c r="B274" s="12" t="s">
        <v>86</v>
      </c>
      <c r="C274" s="7" t="s">
        <v>892</v>
      </c>
      <c r="D274" s="13" t="s">
        <v>49</v>
      </c>
      <c r="E274" s="14">
        <v>36756</v>
      </c>
      <c r="F274" s="13" t="s">
        <v>40</v>
      </c>
      <c r="G274" s="13" t="s">
        <v>131</v>
      </c>
      <c r="H274" s="13" t="s">
        <v>156</v>
      </c>
      <c r="I274" s="13" t="s">
        <v>213</v>
      </c>
      <c r="J274" s="13" t="s">
        <v>150</v>
      </c>
      <c r="K274" s="13" t="s">
        <v>44</v>
      </c>
      <c r="L274" s="13" t="s">
        <v>121</v>
      </c>
      <c r="M274" s="15" t="s">
        <v>506</v>
      </c>
      <c r="N274" s="11" t="s">
        <v>871</v>
      </c>
    </row>
    <row r="275" spans="1:14" ht="15.75" customHeight="1" x14ac:dyDescent="0.15">
      <c r="A275" s="6" t="s">
        <v>893</v>
      </c>
      <c r="B275" s="6" t="s">
        <v>98</v>
      </c>
      <c r="C275" s="7" t="s">
        <v>894</v>
      </c>
      <c r="D275" s="8" t="s">
        <v>107</v>
      </c>
      <c r="E275" s="16">
        <v>37973</v>
      </c>
      <c r="F275" s="8" t="s">
        <v>92</v>
      </c>
      <c r="G275" s="8" t="s">
        <v>93</v>
      </c>
      <c r="H275" s="8" t="s">
        <v>42</v>
      </c>
      <c r="I275" s="8" t="s">
        <v>109</v>
      </c>
      <c r="J275" s="8" t="s">
        <v>150</v>
      </c>
      <c r="K275" s="8" t="s">
        <v>44</v>
      </c>
      <c r="L275" s="8" t="s">
        <v>133</v>
      </c>
      <c r="M275" s="10" t="s">
        <v>97</v>
      </c>
      <c r="N275" s="11" t="s">
        <v>871</v>
      </c>
    </row>
    <row r="276" spans="1:14" ht="15.75" customHeight="1" x14ac:dyDescent="0.15">
      <c r="A276" s="12" t="s">
        <v>895</v>
      </c>
      <c r="B276" s="12" t="s">
        <v>105</v>
      </c>
      <c r="C276" s="7" t="s">
        <v>896</v>
      </c>
      <c r="D276" s="13" t="s">
        <v>107</v>
      </c>
      <c r="E276" s="14">
        <v>35803</v>
      </c>
      <c r="F276" s="13" t="s">
        <v>212</v>
      </c>
      <c r="G276" s="13" t="s">
        <v>204</v>
      </c>
      <c r="H276" s="13" t="s">
        <v>94</v>
      </c>
      <c r="I276" s="13" t="s">
        <v>157</v>
      </c>
      <c r="J276" s="13" t="s">
        <v>54</v>
      </c>
      <c r="K276" s="13" t="s">
        <v>77</v>
      </c>
      <c r="L276" s="13" t="s">
        <v>572</v>
      </c>
      <c r="M276" s="15" t="s">
        <v>897</v>
      </c>
      <c r="N276" s="11" t="s">
        <v>871</v>
      </c>
    </row>
    <row r="277" spans="1:14" ht="15.75" customHeight="1" x14ac:dyDescent="0.15">
      <c r="A277" s="6" t="s">
        <v>898</v>
      </c>
      <c r="B277" s="6" t="s">
        <v>112</v>
      </c>
      <c r="C277" s="7" t="s">
        <v>899</v>
      </c>
      <c r="D277" s="8" t="s">
        <v>107</v>
      </c>
      <c r="E277" s="16">
        <v>37216</v>
      </c>
      <c r="F277" s="8" t="s">
        <v>137</v>
      </c>
      <c r="G277" s="8" t="s">
        <v>138</v>
      </c>
      <c r="H277" s="8" t="s">
        <v>42</v>
      </c>
      <c r="I277" s="8" t="s">
        <v>273</v>
      </c>
      <c r="J277" s="8" t="s">
        <v>54</v>
      </c>
      <c r="K277" s="8" t="s">
        <v>44</v>
      </c>
      <c r="L277" s="8" t="s">
        <v>187</v>
      </c>
      <c r="M277" s="10" t="s">
        <v>141</v>
      </c>
      <c r="N277" s="11" t="s">
        <v>871</v>
      </c>
    </row>
    <row r="278" spans="1:14" ht="15.75" customHeight="1" x14ac:dyDescent="0.15">
      <c r="A278" s="6" t="s">
        <v>900</v>
      </c>
      <c r="B278" s="12" t="s">
        <v>117</v>
      </c>
      <c r="C278" s="7" t="s">
        <v>901</v>
      </c>
      <c r="D278" s="13" t="s">
        <v>107</v>
      </c>
      <c r="E278" s="14">
        <v>37823</v>
      </c>
      <c r="F278" s="13" t="s">
        <v>186</v>
      </c>
      <c r="G278" s="13" t="s">
        <v>93</v>
      </c>
      <c r="H278" s="13" t="s">
        <v>68</v>
      </c>
      <c r="I278" s="13" t="s">
        <v>83</v>
      </c>
      <c r="J278" s="13" t="s">
        <v>150</v>
      </c>
      <c r="K278" s="13" t="s">
        <v>44</v>
      </c>
      <c r="L278" s="13" t="s">
        <v>78</v>
      </c>
      <c r="M278" s="15" t="s">
        <v>36</v>
      </c>
      <c r="N278" s="11" t="s">
        <v>871</v>
      </c>
    </row>
    <row r="279" spans="1:14" ht="15.75" customHeight="1" x14ac:dyDescent="0.15">
      <c r="A279" s="12" t="s">
        <v>902</v>
      </c>
      <c r="B279" s="6" t="s">
        <v>123</v>
      </c>
      <c r="C279" s="7" t="s">
        <v>903</v>
      </c>
      <c r="D279" s="8" t="s">
        <v>107</v>
      </c>
      <c r="E279" s="9">
        <v>34446</v>
      </c>
      <c r="F279" s="8" t="s">
        <v>18</v>
      </c>
      <c r="G279" s="8" t="s">
        <v>60</v>
      </c>
      <c r="H279" s="8" t="s">
        <v>94</v>
      </c>
      <c r="I279" s="8" t="s">
        <v>385</v>
      </c>
      <c r="J279" s="8" t="s">
        <v>54</v>
      </c>
      <c r="K279" s="8" t="s">
        <v>44</v>
      </c>
      <c r="L279" s="8" t="s">
        <v>663</v>
      </c>
      <c r="M279" s="10" t="s">
        <v>111</v>
      </c>
      <c r="N279" s="11" t="s">
        <v>871</v>
      </c>
    </row>
    <row r="280" spans="1:14" ht="15.75" customHeight="1" x14ac:dyDescent="0.15">
      <c r="A280" s="6" t="s">
        <v>904</v>
      </c>
      <c r="B280" s="12" t="s">
        <v>135</v>
      </c>
      <c r="C280" s="7" t="s">
        <v>905</v>
      </c>
      <c r="D280" s="13" t="s">
        <v>107</v>
      </c>
      <c r="E280" s="14">
        <v>37477</v>
      </c>
      <c r="F280" s="13" t="s">
        <v>137</v>
      </c>
      <c r="G280" s="13" t="s">
        <v>31</v>
      </c>
      <c r="H280" s="13" t="s">
        <v>196</v>
      </c>
      <c r="I280" s="13" t="s">
        <v>115</v>
      </c>
      <c r="J280" s="13" t="s">
        <v>34</v>
      </c>
      <c r="K280" s="13" t="s">
        <v>44</v>
      </c>
      <c r="L280" s="13" t="s">
        <v>297</v>
      </c>
      <c r="M280" s="15" t="s">
        <v>111</v>
      </c>
      <c r="N280" s="11" t="s">
        <v>871</v>
      </c>
    </row>
    <row r="281" spans="1:14" ht="15.75" customHeight="1" x14ac:dyDescent="0.15">
      <c r="A281" s="12" t="s">
        <v>906</v>
      </c>
      <c r="B281" s="6" t="s">
        <v>153</v>
      </c>
      <c r="C281" s="7" t="s">
        <v>907</v>
      </c>
      <c r="D281" s="8" t="s">
        <v>107</v>
      </c>
      <c r="E281" s="9">
        <v>31584</v>
      </c>
      <c r="F281" s="8" t="s">
        <v>889</v>
      </c>
      <c r="G281" s="8" t="s">
        <v>908</v>
      </c>
      <c r="H281" s="8" t="s">
        <v>108</v>
      </c>
      <c r="I281" s="8" t="s">
        <v>385</v>
      </c>
      <c r="J281" s="8" t="s">
        <v>54</v>
      </c>
      <c r="K281" s="8" t="s">
        <v>44</v>
      </c>
      <c r="L281" s="8" t="s">
        <v>165</v>
      </c>
      <c r="M281" s="10" t="s">
        <v>704</v>
      </c>
      <c r="N281" s="11" t="s">
        <v>871</v>
      </c>
    </row>
    <row r="282" spans="1:14" ht="15.75" customHeight="1" x14ac:dyDescent="0.15">
      <c r="A282" s="6" t="s">
        <v>909</v>
      </c>
      <c r="B282" s="12" t="s">
        <v>142</v>
      </c>
      <c r="C282" s="7" t="s">
        <v>910</v>
      </c>
      <c r="D282" s="13" t="s">
        <v>107</v>
      </c>
      <c r="E282" s="14">
        <v>37653</v>
      </c>
      <c r="F282" s="13" t="s">
        <v>186</v>
      </c>
      <c r="G282" s="13" t="s">
        <v>131</v>
      </c>
      <c r="H282" s="13" t="s">
        <v>179</v>
      </c>
      <c r="I282" s="13" t="s">
        <v>207</v>
      </c>
      <c r="J282" s="13" t="s">
        <v>22</v>
      </c>
      <c r="K282" s="13" t="s">
        <v>77</v>
      </c>
      <c r="L282" s="13" t="s">
        <v>78</v>
      </c>
      <c r="M282" s="15" t="s">
        <v>256</v>
      </c>
      <c r="N282" s="11" t="s">
        <v>871</v>
      </c>
    </row>
    <row r="283" spans="1:14" ht="15.75" customHeight="1" x14ac:dyDescent="0.15">
      <c r="A283" s="6" t="s">
        <v>911</v>
      </c>
      <c r="B283" s="6" t="s">
        <v>162</v>
      </c>
      <c r="C283" s="7" t="s">
        <v>912</v>
      </c>
      <c r="D283" s="8" t="s">
        <v>107</v>
      </c>
      <c r="E283" s="9">
        <v>32412</v>
      </c>
      <c r="F283" s="8" t="s">
        <v>493</v>
      </c>
      <c r="G283" s="8" t="s">
        <v>622</v>
      </c>
      <c r="H283" s="8" t="s">
        <v>144</v>
      </c>
      <c r="I283" s="8" t="s">
        <v>385</v>
      </c>
      <c r="J283" s="8" t="s">
        <v>22</v>
      </c>
      <c r="K283" s="8" t="s">
        <v>77</v>
      </c>
      <c r="L283" s="8" t="s">
        <v>390</v>
      </c>
      <c r="M283" s="10" t="s">
        <v>397</v>
      </c>
      <c r="N283" s="11" t="s">
        <v>871</v>
      </c>
    </row>
    <row r="284" spans="1:14" ht="15.75" customHeight="1" x14ac:dyDescent="0.15">
      <c r="A284" s="12" t="s">
        <v>913</v>
      </c>
      <c r="B284" s="12" t="s">
        <v>167</v>
      </c>
      <c r="C284" s="7" t="s">
        <v>914</v>
      </c>
      <c r="D284" s="13" t="s">
        <v>17</v>
      </c>
      <c r="E284" s="14">
        <v>34100</v>
      </c>
      <c r="F284" s="13" t="s">
        <v>182</v>
      </c>
      <c r="G284" s="13" t="s">
        <v>93</v>
      </c>
      <c r="H284" s="13" t="s">
        <v>333</v>
      </c>
      <c r="I284" s="13" t="s">
        <v>915</v>
      </c>
      <c r="J284" s="13" t="s">
        <v>150</v>
      </c>
      <c r="K284" s="13" t="s">
        <v>44</v>
      </c>
      <c r="L284" s="13" t="s">
        <v>324</v>
      </c>
      <c r="M284" s="15" t="s">
        <v>716</v>
      </c>
      <c r="N284" s="11" t="s">
        <v>871</v>
      </c>
    </row>
    <row r="285" spans="1:14" ht="15.75" customHeight="1" x14ac:dyDescent="0.15">
      <c r="A285" s="6" t="s">
        <v>916</v>
      </c>
      <c r="B285" s="6" t="s">
        <v>146</v>
      </c>
      <c r="C285" s="7" t="s">
        <v>917</v>
      </c>
      <c r="D285" s="8" t="s">
        <v>39</v>
      </c>
      <c r="E285" s="9">
        <v>34218</v>
      </c>
      <c r="F285" s="8" t="s">
        <v>18</v>
      </c>
      <c r="G285" s="8" t="s">
        <v>131</v>
      </c>
      <c r="H285" s="8" t="s">
        <v>196</v>
      </c>
      <c r="I285" s="8" t="s">
        <v>438</v>
      </c>
      <c r="J285" s="8" t="s">
        <v>150</v>
      </c>
      <c r="K285" s="8" t="s">
        <v>23</v>
      </c>
      <c r="L285" s="8" t="s">
        <v>151</v>
      </c>
      <c r="M285" s="10" t="s">
        <v>716</v>
      </c>
      <c r="N285" s="11" t="s">
        <v>871</v>
      </c>
    </row>
    <row r="286" spans="1:14" ht="15.75" customHeight="1" x14ac:dyDescent="0.15">
      <c r="A286" s="12" t="s">
        <v>918</v>
      </c>
      <c r="B286" s="12" t="s">
        <v>154</v>
      </c>
      <c r="C286" s="7" t="s">
        <v>919</v>
      </c>
      <c r="D286" s="13" t="s">
        <v>17</v>
      </c>
      <c r="E286" s="14">
        <v>37064</v>
      </c>
      <c r="F286" s="13" t="s">
        <v>203</v>
      </c>
      <c r="G286" s="13" t="s">
        <v>204</v>
      </c>
      <c r="H286" s="13" t="s">
        <v>196</v>
      </c>
      <c r="I286" s="13" t="s">
        <v>651</v>
      </c>
      <c r="J286" s="13" t="s">
        <v>22</v>
      </c>
      <c r="K286" s="13" t="s">
        <v>44</v>
      </c>
      <c r="L286" s="13" t="s">
        <v>297</v>
      </c>
      <c r="M286" s="15" t="s">
        <v>391</v>
      </c>
      <c r="N286" s="11" t="s">
        <v>871</v>
      </c>
    </row>
    <row r="287" spans="1:14" ht="15.75" customHeight="1" x14ac:dyDescent="0.15">
      <c r="A287" s="6" t="s">
        <v>920</v>
      </c>
      <c r="B287" s="6" t="s">
        <v>159</v>
      </c>
      <c r="C287" s="7" t="s">
        <v>921</v>
      </c>
      <c r="D287" s="8" t="s">
        <v>107</v>
      </c>
      <c r="E287" s="9">
        <v>36937</v>
      </c>
      <c r="F287" s="8" t="s">
        <v>203</v>
      </c>
      <c r="G287" s="8" t="s">
        <v>41</v>
      </c>
      <c r="H287" s="8" t="s">
        <v>179</v>
      </c>
      <c r="I287" s="8" t="s">
        <v>120</v>
      </c>
      <c r="J287" s="8" t="s">
        <v>22</v>
      </c>
      <c r="K287" s="8" t="s">
        <v>44</v>
      </c>
      <c r="L287" s="8" t="s">
        <v>301</v>
      </c>
      <c r="M287" s="10" t="s">
        <v>298</v>
      </c>
      <c r="N287" s="11" t="s">
        <v>871</v>
      </c>
    </row>
    <row r="288" spans="1:14" ht="15.75" customHeight="1" x14ac:dyDescent="0.15">
      <c r="A288" s="6" t="s">
        <v>922</v>
      </c>
      <c r="B288" s="12" t="s">
        <v>168</v>
      </c>
      <c r="C288" s="7" t="s">
        <v>923</v>
      </c>
      <c r="D288" s="13" t="s">
        <v>107</v>
      </c>
      <c r="E288" s="14">
        <v>34968</v>
      </c>
      <c r="F288" s="13" t="s">
        <v>66</v>
      </c>
      <c r="G288" s="13" t="s">
        <v>131</v>
      </c>
      <c r="H288" s="13" t="s">
        <v>171</v>
      </c>
      <c r="I288" s="13" t="s">
        <v>197</v>
      </c>
      <c r="J288" s="13" t="s">
        <v>150</v>
      </c>
      <c r="K288" s="13" t="s">
        <v>23</v>
      </c>
      <c r="L288" s="13" t="s">
        <v>324</v>
      </c>
      <c r="M288" s="15" t="s">
        <v>716</v>
      </c>
      <c r="N288" s="11" t="s">
        <v>871</v>
      </c>
    </row>
    <row r="289" spans="1:14" ht="15.75" customHeight="1" x14ac:dyDescent="0.15">
      <c r="A289" s="12" t="s">
        <v>924</v>
      </c>
      <c r="B289" s="6" t="s">
        <v>173</v>
      </c>
      <c r="C289" s="7" t="s">
        <v>925</v>
      </c>
      <c r="D289" s="8" t="s">
        <v>107</v>
      </c>
      <c r="E289" s="9">
        <v>37676</v>
      </c>
      <c r="F289" s="8" t="s">
        <v>186</v>
      </c>
      <c r="G289" s="8" t="s">
        <v>31</v>
      </c>
      <c r="H289" s="8" t="s">
        <v>94</v>
      </c>
      <c r="I289" s="8" t="s">
        <v>385</v>
      </c>
      <c r="J289" s="8" t="s">
        <v>22</v>
      </c>
      <c r="K289" s="8" t="s">
        <v>44</v>
      </c>
      <c r="L289" s="8" t="s">
        <v>35</v>
      </c>
      <c r="M289" s="10" t="s">
        <v>298</v>
      </c>
      <c r="N289" s="11" t="s">
        <v>871</v>
      </c>
    </row>
    <row r="290" spans="1:14" ht="15.75" customHeight="1" x14ac:dyDescent="0.15">
      <c r="A290" s="6" t="s">
        <v>926</v>
      </c>
      <c r="B290" s="12" t="s">
        <v>175</v>
      </c>
      <c r="C290" s="7" t="s">
        <v>927</v>
      </c>
      <c r="D290" s="13" t="s">
        <v>107</v>
      </c>
      <c r="E290" s="14">
        <v>36635</v>
      </c>
      <c r="F290" s="13" t="s">
        <v>40</v>
      </c>
      <c r="G290" s="13" t="s">
        <v>19</v>
      </c>
      <c r="H290" s="13" t="s">
        <v>179</v>
      </c>
      <c r="I290" s="13" t="s">
        <v>385</v>
      </c>
      <c r="J290" s="13" t="s">
        <v>22</v>
      </c>
      <c r="K290" s="13" t="s">
        <v>23</v>
      </c>
      <c r="L290" s="13" t="s">
        <v>255</v>
      </c>
      <c r="M290" s="15" t="s">
        <v>928</v>
      </c>
      <c r="N290" s="11" t="s">
        <v>871</v>
      </c>
    </row>
    <row r="291" spans="1:14" ht="15.75" customHeight="1" x14ac:dyDescent="0.15">
      <c r="A291" s="12" t="s">
        <v>929</v>
      </c>
      <c r="B291" s="6" t="s">
        <v>200</v>
      </c>
      <c r="C291" s="7" t="s">
        <v>930</v>
      </c>
      <c r="D291" s="8" t="s">
        <v>17</v>
      </c>
      <c r="E291" s="16">
        <v>39076</v>
      </c>
      <c r="F291" s="8" t="s">
        <v>232</v>
      </c>
      <c r="G291" s="8" t="s">
        <v>131</v>
      </c>
      <c r="H291" s="8" t="s">
        <v>171</v>
      </c>
      <c r="I291" s="8" t="s">
        <v>43</v>
      </c>
      <c r="J291" s="8" t="s">
        <v>76</v>
      </c>
      <c r="K291" s="8" t="s">
        <v>23</v>
      </c>
      <c r="L291" s="8" t="s">
        <v>45</v>
      </c>
      <c r="M291" s="10" t="s">
        <v>441</v>
      </c>
      <c r="N291" s="11" t="s">
        <v>871</v>
      </c>
    </row>
    <row r="292" spans="1:14" ht="15.75" customHeight="1" x14ac:dyDescent="0.15">
      <c r="A292" s="6" t="s">
        <v>931</v>
      </c>
      <c r="B292" s="12" t="s">
        <v>177</v>
      </c>
      <c r="C292" s="7" t="s">
        <v>932</v>
      </c>
      <c r="D292" s="13" t="s">
        <v>107</v>
      </c>
      <c r="E292" s="17">
        <v>36849</v>
      </c>
      <c r="F292" s="13" t="s">
        <v>203</v>
      </c>
      <c r="G292" s="13" t="s">
        <v>41</v>
      </c>
      <c r="H292" s="13" t="s">
        <v>102</v>
      </c>
      <c r="I292" s="13" t="s">
        <v>120</v>
      </c>
      <c r="J292" s="13" t="s">
        <v>22</v>
      </c>
      <c r="K292" s="13" t="s">
        <v>23</v>
      </c>
      <c r="L292" s="13" t="s">
        <v>565</v>
      </c>
      <c r="M292" s="15" t="s">
        <v>161</v>
      </c>
      <c r="N292" s="11" t="s">
        <v>871</v>
      </c>
    </row>
    <row r="293" spans="1:14" ht="15.75" customHeight="1" x14ac:dyDescent="0.15">
      <c r="A293" s="6" t="s">
        <v>933</v>
      </c>
      <c r="B293" s="6" t="s">
        <v>180</v>
      </c>
      <c r="C293" s="7" t="s">
        <v>934</v>
      </c>
      <c r="D293" s="8" t="s">
        <v>107</v>
      </c>
      <c r="E293" s="9">
        <v>33659</v>
      </c>
      <c r="F293" s="8" t="s">
        <v>430</v>
      </c>
      <c r="G293" s="8" t="s">
        <v>51</v>
      </c>
      <c r="H293" s="8" t="s">
        <v>369</v>
      </c>
      <c r="I293" s="8" t="s">
        <v>192</v>
      </c>
      <c r="J293" s="8" t="s">
        <v>54</v>
      </c>
      <c r="K293" s="8" t="s">
        <v>44</v>
      </c>
      <c r="L293" s="8" t="s">
        <v>128</v>
      </c>
      <c r="M293" s="10" t="s">
        <v>305</v>
      </c>
      <c r="N293" s="11" t="s">
        <v>871</v>
      </c>
    </row>
    <row r="294" spans="1:14" ht="15.75" customHeight="1" x14ac:dyDescent="0.15">
      <c r="A294" s="12" t="s">
        <v>935</v>
      </c>
      <c r="B294" s="12" t="s">
        <v>184</v>
      </c>
      <c r="C294" s="7" t="s">
        <v>936</v>
      </c>
      <c r="D294" s="13" t="s">
        <v>107</v>
      </c>
      <c r="E294" s="14">
        <v>33771</v>
      </c>
      <c r="F294" s="13" t="s">
        <v>430</v>
      </c>
      <c r="G294" s="13" t="s">
        <v>101</v>
      </c>
      <c r="H294" s="13" t="s">
        <v>32</v>
      </c>
      <c r="I294" s="13" t="s">
        <v>438</v>
      </c>
      <c r="J294" s="13" t="s">
        <v>22</v>
      </c>
      <c r="K294" s="13" t="s">
        <v>77</v>
      </c>
      <c r="L294" s="13" t="s">
        <v>78</v>
      </c>
      <c r="M294" s="15" t="s">
        <v>71</v>
      </c>
      <c r="N294" s="11" t="s">
        <v>871</v>
      </c>
    </row>
    <row r="295" spans="1:14" ht="15.75" customHeight="1" x14ac:dyDescent="0.15">
      <c r="A295" s="6" t="s">
        <v>937</v>
      </c>
      <c r="B295" s="6" t="s">
        <v>189</v>
      </c>
      <c r="C295" s="7" t="s">
        <v>938</v>
      </c>
      <c r="D295" s="8" t="s">
        <v>49</v>
      </c>
      <c r="E295" s="16">
        <v>33590</v>
      </c>
      <c r="F295" s="8" t="s">
        <v>430</v>
      </c>
      <c r="G295" s="8" t="s">
        <v>101</v>
      </c>
      <c r="H295" s="8" t="s">
        <v>114</v>
      </c>
      <c r="I295" s="8" t="s">
        <v>414</v>
      </c>
      <c r="J295" s="8" t="s">
        <v>76</v>
      </c>
      <c r="K295" s="8" t="s">
        <v>44</v>
      </c>
      <c r="L295" s="8" t="s">
        <v>214</v>
      </c>
      <c r="M295" s="10" t="s">
        <v>704</v>
      </c>
      <c r="N295" s="11" t="s">
        <v>871</v>
      </c>
    </row>
    <row r="296" spans="1:14" ht="15.75" customHeight="1" x14ac:dyDescent="0.15">
      <c r="A296" s="12" t="s">
        <v>939</v>
      </c>
      <c r="B296" s="12" t="s">
        <v>194</v>
      </c>
      <c r="C296" s="7" t="s">
        <v>940</v>
      </c>
      <c r="D296" s="13" t="s">
        <v>107</v>
      </c>
      <c r="E296" s="14">
        <v>38575</v>
      </c>
      <c r="F296" s="13" t="s">
        <v>217</v>
      </c>
      <c r="G296" s="13" t="s">
        <v>138</v>
      </c>
      <c r="H296" s="13" t="s">
        <v>42</v>
      </c>
      <c r="I296" s="13" t="s">
        <v>149</v>
      </c>
      <c r="J296" s="13" t="s">
        <v>54</v>
      </c>
      <c r="K296" s="13" t="s">
        <v>77</v>
      </c>
      <c r="L296" s="13" t="s">
        <v>35</v>
      </c>
      <c r="M296" s="15" t="s">
        <v>668</v>
      </c>
      <c r="N296" s="11" t="s">
        <v>871</v>
      </c>
    </row>
    <row r="297" spans="1:14" ht="15.75" customHeight="1" x14ac:dyDescent="0.15">
      <c r="A297" s="6" t="s">
        <v>941</v>
      </c>
      <c r="B297" s="6" t="s">
        <v>205</v>
      </c>
      <c r="C297" s="7" t="s">
        <v>942</v>
      </c>
      <c r="D297" s="8" t="s">
        <v>107</v>
      </c>
      <c r="E297" s="9">
        <v>33099</v>
      </c>
      <c r="F297" s="8" t="s">
        <v>125</v>
      </c>
      <c r="G297" s="8" t="s">
        <v>126</v>
      </c>
      <c r="H297" s="8" t="s">
        <v>20</v>
      </c>
      <c r="I297" s="8" t="s">
        <v>33</v>
      </c>
      <c r="J297" s="8" t="s">
        <v>76</v>
      </c>
      <c r="K297" s="8" t="s">
        <v>77</v>
      </c>
      <c r="L297" s="8" t="s">
        <v>78</v>
      </c>
      <c r="M297" s="10" t="s">
        <v>104</v>
      </c>
      <c r="N297" s="11" t="s">
        <v>871</v>
      </c>
    </row>
    <row r="298" spans="1:14" ht="15.75" customHeight="1" x14ac:dyDescent="0.15">
      <c r="A298" s="6" t="s">
        <v>943</v>
      </c>
      <c r="B298" s="12" t="s">
        <v>210</v>
      </c>
      <c r="C298" s="7" t="s">
        <v>944</v>
      </c>
      <c r="D298" s="13" t="s">
        <v>49</v>
      </c>
      <c r="E298" s="14">
        <v>34124</v>
      </c>
      <c r="F298" s="13" t="s">
        <v>182</v>
      </c>
      <c r="G298" s="13" t="s">
        <v>101</v>
      </c>
      <c r="H298" s="13" t="s">
        <v>32</v>
      </c>
      <c r="I298" s="13" t="s">
        <v>414</v>
      </c>
      <c r="J298" s="13" t="s">
        <v>22</v>
      </c>
      <c r="K298" s="13" t="s">
        <v>23</v>
      </c>
      <c r="L298" s="13" t="s">
        <v>165</v>
      </c>
      <c r="M298" s="15" t="s">
        <v>71</v>
      </c>
      <c r="N298" s="11" t="s">
        <v>871</v>
      </c>
    </row>
    <row r="299" spans="1:14" ht="15.75" customHeight="1" x14ac:dyDescent="0.15">
      <c r="A299" s="12" t="s">
        <v>945</v>
      </c>
      <c r="B299" s="6" t="s">
        <v>220</v>
      </c>
      <c r="C299" s="7" t="s">
        <v>946</v>
      </c>
      <c r="D299" s="8" t="s">
        <v>107</v>
      </c>
      <c r="E299" s="9">
        <v>35593</v>
      </c>
      <c r="F299" s="8" t="s">
        <v>148</v>
      </c>
      <c r="G299" s="8" t="s">
        <v>19</v>
      </c>
      <c r="H299" s="8" t="s">
        <v>114</v>
      </c>
      <c r="I299" s="8" t="s">
        <v>414</v>
      </c>
      <c r="J299" s="8" t="s">
        <v>22</v>
      </c>
      <c r="K299" s="8" t="s">
        <v>44</v>
      </c>
      <c r="L299" s="8" t="s">
        <v>255</v>
      </c>
      <c r="M299" s="10" t="s">
        <v>947</v>
      </c>
      <c r="N299" s="11" t="s">
        <v>871</v>
      </c>
    </row>
    <row r="300" spans="1:14" ht="15.75" customHeight="1" x14ac:dyDescent="0.15">
      <c r="A300" s="6" t="s">
        <v>948</v>
      </c>
      <c r="B300" s="12" t="s">
        <v>223</v>
      </c>
      <c r="C300" s="7" t="s">
        <v>949</v>
      </c>
      <c r="D300" s="13" t="s">
        <v>39</v>
      </c>
      <c r="E300" s="14">
        <v>36287</v>
      </c>
      <c r="F300" s="13" t="s">
        <v>30</v>
      </c>
      <c r="G300" s="13" t="s">
        <v>243</v>
      </c>
      <c r="H300" s="13" t="s">
        <v>144</v>
      </c>
      <c r="I300" s="13" t="s">
        <v>109</v>
      </c>
      <c r="J300" s="13" t="s">
        <v>54</v>
      </c>
      <c r="K300" s="13" t="s">
        <v>44</v>
      </c>
      <c r="L300" s="13" t="s">
        <v>218</v>
      </c>
      <c r="M300" s="15" t="s">
        <v>950</v>
      </c>
      <c r="N300" s="11" t="s">
        <v>871</v>
      </c>
    </row>
    <row r="301" spans="1:14" ht="15.75" customHeight="1" x14ac:dyDescent="0.15">
      <c r="A301" s="12" t="s">
        <v>951</v>
      </c>
      <c r="B301" s="6" t="s">
        <v>227</v>
      </c>
      <c r="C301" s="7" t="s">
        <v>952</v>
      </c>
      <c r="D301" s="8" t="s">
        <v>49</v>
      </c>
      <c r="E301" s="9">
        <v>37786</v>
      </c>
      <c r="F301" s="8" t="s">
        <v>186</v>
      </c>
      <c r="G301" s="8" t="s">
        <v>243</v>
      </c>
      <c r="H301" s="8" t="s">
        <v>94</v>
      </c>
      <c r="I301" s="8" t="s">
        <v>149</v>
      </c>
      <c r="J301" s="8" t="s">
        <v>54</v>
      </c>
      <c r="K301" s="8" t="s">
        <v>23</v>
      </c>
      <c r="L301" s="8" t="s">
        <v>35</v>
      </c>
      <c r="M301" s="10" t="s">
        <v>953</v>
      </c>
      <c r="N301" s="11" t="s">
        <v>871</v>
      </c>
    </row>
    <row r="302" spans="1:14" ht="15.75" customHeight="1" x14ac:dyDescent="0.15">
      <c r="A302" s="6" t="s">
        <v>954</v>
      </c>
      <c r="B302" s="12" t="s">
        <v>230</v>
      </c>
      <c r="C302" s="7" t="s">
        <v>955</v>
      </c>
      <c r="D302" s="13" t="s">
        <v>39</v>
      </c>
      <c r="E302" s="14">
        <v>34150</v>
      </c>
      <c r="F302" s="13" t="s">
        <v>182</v>
      </c>
      <c r="G302" s="13" t="s">
        <v>101</v>
      </c>
      <c r="H302" s="13" t="s">
        <v>139</v>
      </c>
      <c r="I302" s="13" t="s">
        <v>157</v>
      </c>
      <c r="J302" s="13" t="s">
        <v>54</v>
      </c>
      <c r="K302" s="13" t="s">
        <v>77</v>
      </c>
      <c r="L302" s="13" t="s">
        <v>128</v>
      </c>
      <c r="M302" s="15" t="s">
        <v>956</v>
      </c>
      <c r="N302" s="11" t="s">
        <v>871</v>
      </c>
    </row>
    <row r="303" spans="1:14" ht="15.75" customHeight="1" x14ac:dyDescent="0.15">
      <c r="A303" s="6" t="s">
        <v>957</v>
      </c>
      <c r="B303" s="6" t="s">
        <v>234</v>
      </c>
      <c r="C303" s="7" t="s">
        <v>958</v>
      </c>
      <c r="D303" s="8" t="s">
        <v>17</v>
      </c>
      <c r="E303" s="16">
        <v>37620</v>
      </c>
      <c r="F303" s="8" t="s">
        <v>186</v>
      </c>
      <c r="G303" s="8" t="s">
        <v>31</v>
      </c>
      <c r="H303" s="8" t="s">
        <v>94</v>
      </c>
      <c r="I303" s="8" t="s">
        <v>157</v>
      </c>
      <c r="J303" s="8" t="s">
        <v>54</v>
      </c>
      <c r="K303" s="8" t="s">
        <v>23</v>
      </c>
      <c r="L303" s="8" t="s">
        <v>283</v>
      </c>
      <c r="M303" s="10" t="s">
        <v>727</v>
      </c>
      <c r="N303" s="11" t="s">
        <v>871</v>
      </c>
    </row>
    <row r="304" spans="1:14" ht="15.75" customHeight="1" x14ac:dyDescent="0.15">
      <c r="A304" s="12" t="s">
        <v>959</v>
      </c>
      <c r="B304" s="12" t="s">
        <v>236</v>
      </c>
      <c r="C304" s="7" t="s">
        <v>960</v>
      </c>
      <c r="D304" s="13" t="s">
        <v>107</v>
      </c>
      <c r="E304" s="14">
        <v>36173</v>
      </c>
      <c r="F304" s="13" t="s">
        <v>30</v>
      </c>
      <c r="G304" s="13" t="s">
        <v>60</v>
      </c>
      <c r="H304" s="13" t="s">
        <v>179</v>
      </c>
      <c r="I304" s="13" t="s">
        <v>192</v>
      </c>
      <c r="J304" s="13" t="s">
        <v>54</v>
      </c>
      <c r="K304" s="13" t="s">
        <v>44</v>
      </c>
      <c r="L304" s="13" t="s">
        <v>55</v>
      </c>
      <c r="M304" s="15" t="s">
        <v>256</v>
      </c>
      <c r="N304" s="11" t="s">
        <v>871</v>
      </c>
    </row>
    <row r="305" spans="1:14" ht="15.75" customHeight="1" x14ac:dyDescent="0.15">
      <c r="A305" s="6" t="s">
        <v>961</v>
      </c>
      <c r="B305" s="6" t="s">
        <v>241</v>
      </c>
      <c r="C305" s="7" t="s">
        <v>962</v>
      </c>
      <c r="D305" s="8" t="s">
        <v>107</v>
      </c>
      <c r="E305" s="9">
        <v>37399</v>
      </c>
      <c r="F305" s="8" t="s">
        <v>137</v>
      </c>
      <c r="G305" s="8" t="s">
        <v>131</v>
      </c>
      <c r="H305" s="8" t="s">
        <v>179</v>
      </c>
      <c r="I305" s="8" t="s">
        <v>21</v>
      </c>
      <c r="J305" s="8" t="s">
        <v>54</v>
      </c>
      <c r="K305" s="8" t="s">
        <v>77</v>
      </c>
      <c r="L305" s="8" t="s">
        <v>494</v>
      </c>
      <c r="M305" s="10" t="s">
        <v>963</v>
      </c>
      <c r="N305" s="11" t="s">
        <v>871</v>
      </c>
    </row>
    <row r="306" spans="1:14" ht="15.75" customHeight="1" x14ac:dyDescent="0.15">
      <c r="A306" s="12" t="s">
        <v>964</v>
      </c>
      <c r="B306" s="12" t="s">
        <v>246</v>
      </c>
      <c r="C306" s="7" t="s">
        <v>965</v>
      </c>
      <c r="D306" s="13" t="s">
        <v>17</v>
      </c>
      <c r="E306" s="14">
        <v>32845</v>
      </c>
      <c r="F306" s="13" t="s">
        <v>125</v>
      </c>
      <c r="G306" s="13" t="s">
        <v>101</v>
      </c>
      <c r="H306" s="13" t="s">
        <v>108</v>
      </c>
      <c r="I306" s="13" t="s">
        <v>109</v>
      </c>
      <c r="J306" s="13" t="s">
        <v>76</v>
      </c>
      <c r="K306" s="13" t="s">
        <v>44</v>
      </c>
      <c r="L306" s="13" t="s">
        <v>647</v>
      </c>
      <c r="M306" s="15" t="s">
        <v>287</v>
      </c>
      <c r="N306" s="11" t="s">
        <v>871</v>
      </c>
    </row>
    <row r="307" spans="1:14" ht="15.75" customHeight="1" x14ac:dyDescent="0.15">
      <c r="A307" s="6" t="s">
        <v>966</v>
      </c>
      <c r="B307" s="6" t="s">
        <v>249</v>
      </c>
      <c r="C307" s="7" t="s">
        <v>967</v>
      </c>
      <c r="D307" s="8" t="s">
        <v>49</v>
      </c>
      <c r="E307" s="9">
        <v>33723</v>
      </c>
      <c r="F307" s="8" t="s">
        <v>430</v>
      </c>
      <c r="G307" s="8" t="s">
        <v>293</v>
      </c>
      <c r="H307" s="8" t="s">
        <v>68</v>
      </c>
      <c r="I307" s="8" t="s">
        <v>385</v>
      </c>
      <c r="J307" s="8" t="s">
        <v>76</v>
      </c>
      <c r="K307" s="8" t="s">
        <v>44</v>
      </c>
      <c r="L307" s="8" t="s">
        <v>121</v>
      </c>
      <c r="M307" s="10" t="s">
        <v>968</v>
      </c>
      <c r="N307" s="11" t="s">
        <v>871</v>
      </c>
    </row>
    <row r="308" spans="1:14" ht="15.75" customHeight="1" x14ac:dyDescent="0.15">
      <c r="A308" s="6" t="s">
        <v>969</v>
      </c>
      <c r="B308" s="12" t="s">
        <v>253</v>
      </c>
      <c r="C308" s="7" t="s">
        <v>970</v>
      </c>
      <c r="D308" s="13" t="s">
        <v>107</v>
      </c>
      <c r="E308" s="14">
        <v>36467</v>
      </c>
      <c r="F308" s="13" t="s">
        <v>40</v>
      </c>
      <c r="G308" s="13" t="s">
        <v>67</v>
      </c>
      <c r="H308" s="13" t="s">
        <v>108</v>
      </c>
      <c r="I308" s="13" t="s">
        <v>43</v>
      </c>
      <c r="J308" s="13" t="s">
        <v>34</v>
      </c>
      <c r="K308" s="13" t="s">
        <v>44</v>
      </c>
      <c r="L308" s="13" t="s">
        <v>244</v>
      </c>
      <c r="M308" s="15" t="s">
        <v>971</v>
      </c>
      <c r="N308" s="11" t="s">
        <v>871</v>
      </c>
    </row>
    <row r="309" spans="1:14" ht="15.75" customHeight="1" x14ac:dyDescent="0.15">
      <c r="A309" s="12" t="s">
        <v>972</v>
      </c>
      <c r="B309" s="6" t="s">
        <v>257</v>
      </c>
      <c r="C309" s="7" t="s">
        <v>973</v>
      </c>
      <c r="D309" s="8" t="s">
        <v>39</v>
      </c>
      <c r="E309" s="9">
        <v>34912</v>
      </c>
      <c r="F309" s="8" t="s">
        <v>59</v>
      </c>
      <c r="G309" s="8" t="s">
        <v>51</v>
      </c>
      <c r="H309" s="8" t="s">
        <v>108</v>
      </c>
      <c r="I309" s="8" t="s">
        <v>192</v>
      </c>
      <c r="J309" s="8" t="s">
        <v>22</v>
      </c>
      <c r="K309" s="8" t="s">
        <v>23</v>
      </c>
      <c r="L309" s="8" t="s">
        <v>244</v>
      </c>
      <c r="M309" s="10" t="s">
        <v>974</v>
      </c>
      <c r="N309" s="11" t="s">
        <v>871</v>
      </c>
    </row>
    <row r="310" spans="1:14" ht="15.75" customHeight="1" x14ac:dyDescent="0.15">
      <c r="A310" s="6" t="s">
        <v>975</v>
      </c>
      <c r="B310" s="12" t="s">
        <v>259</v>
      </c>
      <c r="C310" s="7" t="s">
        <v>976</v>
      </c>
      <c r="D310" s="13" t="s">
        <v>107</v>
      </c>
      <c r="E310" s="14">
        <v>38515</v>
      </c>
      <c r="F310" s="13" t="s">
        <v>217</v>
      </c>
      <c r="G310" s="13" t="s">
        <v>93</v>
      </c>
      <c r="H310" s="13" t="s">
        <v>535</v>
      </c>
      <c r="I310" s="13" t="s">
        <v>977</v>
      </c>
      <c r="J310" s="13" t="s">
        <v>150</v>
      </c>
      <c r="K310" s="13" t="s">
        <v>44</v>
      </c>
      <c r="L310" s="13" t="s">
        <v>218</v>
      </c>
      <c r="M310" s="15" t="s">
        <v>161</v>
      </c>
      <c r="N310" s="11" t="s">
        <v>871</v>
      </c>
    </row>
    <row r="311" spans="1:14" ht="15.75" customHeight="1" x14ac:dyDescent="0.15">
      <c r="A311" s="12" t="s">
        <v>978</v>
      </c>
      <c r="B311" s="6" t="s">
        <v>263</v>
      </c>
      <c r="C311" s="7" t="s">
        <v>979</v>
      </c>
      <c r="D311" s="8" t="s">
        <v>107</v>
      </c>
      <c r="E311" s="9">
        <v>35210</v>
      </c>
      <c r="F311" s="8" t="s">
        <v>66</v>
      </c>
      <c r="G311" s="8" t="s">
        <v>41</v>
      </c>
      <c r="H311" s="8" t="s">
        <v>102</v>
      </c>
      <c r="I311" s="8" t="s">
        <v>157</v>
      </c>
      <c r="J311" s="8" t="s">
        <v>34</v>
      </c>
      <c r="K311" s="8" t="s">
        <v>44</v>
      </c>
      <c r="L311" s="8" t="s">
        <v>165</v>
      </c>
      <c r="M311" s="10" t="s">
        <v>980</v>
      </c>
      <c r="N311" s="11" t="s">
        <v>871</v>
      </c>
    </row>
    <row r="312" spans="1:14" ht="15.75" customHeight="1" x14ac:dyDescent="0.15">
      <c r="A312" s="6" t="s">
        <v>981</v>
      </c>
      <c r="B312" s="12" t="s">
        <v>266</v>
      </c>
      <c r="C312" s="7" t="s">
        <v>982</v>
      </c>
      <c r="D312" s="13" t="s">
        <v>107</v>
      </c>
      <c r="E312" s="14">
        <v>35923</v>
      </c>
      <c r="F312" s="13" t="s">
        <v>212</v>
      </c>
      <c r="G312" s="13" t="s">
        <v>60</v>
      </c>
      <c r="H312" s="13" t="s">
        <v>179</v>
      </c>
      <c r="I312" s="13" t="s">
        <v>192</v>
      </c>
      <c r="J312" s="13" t="s">
        <v>22</v>
      </c>
      <c r="K312" s="13" t="s">
        <v>44</v>
      </c>
      <c r="L312" s="13" t="s">
        <v>297</v>
      </c>
      <c r="M312" s="15" t="s">
        <v>56</v>
      </c>
      <c r="N312" s="11" t="s">
        <v>871</v>
      </c>
    </row>
    <row r="313" spans="1:14" ht="15.75" customHeight="1" x14ac:dyDescent="0.15">
      <c r="A313" s="6" t="s">
        <v>983</v>
      </c>
      <c r="B313" s="6" t="s">
        <v>268</v>
      </c>
      <c r="C313" s="7" t="s">
        <v>984</v>
      </c>
      <c r="D313" s="8" t="s">
        <v>39</v>
      </c>
      <c r="E313" s="9">
        <v>36011</v>
      </c>
      <c r="F313" s="8" t="s">
        <v>212</v>
      </c>
      <c r="G313" s="8" t="s">
        <v>60</v>
      </c>
      <c r="H313" s="8" t="s">
        <v>20</v>
      </c>
      <c r="I313" s="8" t="s">
        <v>438</v>
      </c>
      <c r="J313" s="8" t="s">
        <v>34</v>
      </c>
      <c r="K313" s="8" t="s">
        <v>44</v>
      </c>
      <c r="L313" s="8" t="s">
        <v>45</v>
      </c>
      <c r="M313" s="10" t="s">
        <v>145</v>
      </c>
      <c r="N313" s="11" t="s">
        <v>871</v>
      </c>
    </row>
    <row r="314" spans="1:14" ht="15.75" customHeight="1" x14ac:dyDescent="0.15">
      <c r="A314" s="12" t="s">
        <v>985</v>
      </c>
      <c r="B314" s="12" t="s">
        <v>271</v>
      </c>
      <c r="C314" s="7" t="s">
        <v>986</v>
      </c>
      <c r="D314" s="13" t="s">
        <v>17</v>
      </c>
      <c r="E314" s="17">
        <v>37954</v>
      </c>
      <c r="F314" s="13" t="s">
        <v>92</v>
      </c>
      <c r="G314" s="13" t="s">
        <v>93</v>
      </c>
      <c r="H314" s="13" t="s">
        <v>114</v>
      </c>
      <c r="I314" s="13" t="s">
        <v>313</v>
      </c>
      <c r="J314" s="13" t="s">
        <v>150</v>
      </c>
      <c r="K314" s="13" t="s">
        <v>23</v>
      </c>
      <c r="L314" s="13" t="s">
        <v>35</v>
      </c>
      <c r="M314" s="15" t="s">
        <v>172</v>
      </c>
      <c r="N314" s="11" t="s">
        <v>871</v>
      </c>
    </row>
    <row r="315" spans="1:14" ht="15.75" customHeight="1" x14ac:dyDescent="0.15">
      <c r="A315" s="6" t="s">
        <v>987</v>
      </c>
      <c r="B315" s="6" t="s">
        <v>275</v>
      </c>
      <c r="C315" s="7" t="s">
        <v>988</v>
      </c>
      <c r="D315" s="8" t="s">
        <v>39</v>
      </c>
      <c r="E315" s="9">
        <v>37734</v>
      </c>
      <c r="F315" s="8" t="s">
        <v>186</v>
      </c>
      <c r="G315" s="8" t="s">
        <v>93</v>
      </c>
      <c r="H315" s="8" t="s">
        <v>88</v>
      </c>
      <c r="I315" s="8" t="s">
        <v>95</v>
      </c>
      <c r="J315" s="8" t="s">
        <v>150</v>
      </c>
      <c r="K315" s="8" t="s">
        <v>44</v>
      </c>
      <c r="L315" s="8" t="s">
        <v>35</v>
      </c>
      <c r="M315" s="10" t="s">
        <v>172</v>
      </c>
      <c r="N315" s="11" t="s">
        <v>871</v>
      </c>
    </row>
    <row r="316" spans="1:14" ht="15.75" customHeight="1" x14ac:dyDescent="0.15">
      <c r="A316" s="12" t="s">
        <v>989</v>
      </c>
      <c r="B316" s="12" t="s">
        <v>278</v>
      </c>
      <c r="C316" s="7" t="s">
        <v>990</v>
      </c>
      <c r="D316" s="13" t="s">
        <v>49</v>
      </c>
      <c r="E316" s="14">
        <v>36867</v>
      </c>
      <c r="F316" s="13" t="s">
        <v>203</v>
      </c>
      <c r="G316" s="13" t="s">
        <v>19</v>
      </c>
      <c r="H316" s="13" t="s">
        <v>32</v>
      </c>
      <c r="I316" s="13" t="s">
        <v>109</v>
      </c>
      <c r="J316" s="13" t="s">
        <v>54</v>
      </c>
      <c r="K316" s="13" t="s">
        <v>44</v>
      </c>
      <c r="L316" s="13" t="s">
        <v>165</v>
      </c>
      <c r="M316" s="15" t="s">
        <v>991</v>
      </c>
      <c r="N316" s="11" t="s">
        <v>871</v>
      </c>
    </row>
    <row r="317" spans="1:14" ht="15.75" customHeight="1" x14ac:dyDescent="0.15">
      <c r="A317" s="6" t="s">
        <v>992</v>
      </c>
      <c r="B317" s="6" t="s">
        <v>281</v>
      </c>
      <c r="C317" s="7" t="s">
        <v>993</v>
      </c>
      <c r="D317" s="8" t="s">
        <v>107</v>
      </c>
      <c r="E317" s="16">
        <v>35417</v>
      </c>
      <c r="F317" s="8" t="s">
        <v>148</v>
      </c>
      <c r="G317" s="8" t="s">
        <v>293</v>
      </c>
      <c r="H317" s="8" t="s">
        <v>42</v>
      </c>
      <c r="I317" s="8" t="s">
        <v>109</v>
      </c>
      <c r="J317" s="8" t="s">
        <v>22</v>
      </c>
      <c r="K317" s="8" t="s">
        <v>77</v>
      </c>
      <c r="L317" s="8" t="s">
        <v>128</v>
      </c>
      <c r="M317" s="10" t="s">
        <v>25</v>
      </c>
      <c r="N317" s="11" t="s">
        <v>871</v>
      </c>
    </row>
    <row r="318" spans="1:14" ht="15.75" customHeight="1" x14ac:dyDescent="0.15">
      <c r="A318" s="6" t="s">
        <v>994</v>
      </c>
      <c r="B318" s="12" t="s">
        <v>285</v>
      </c>
      <c r="C318" s="7" t="s">
        <v>995</v>
      </c>
      <c r="D318" s="13" t="s">
        <v>17</v>
      </c>
      <c r="E318" s="17">
        <v>34252</v>
      </c>
      <c r="F318" s="13" t="s">
        <v>18</v>
      </c>
      <c r="G318" s="13" t="s">
        <v>101</v>
      </c>
      <c r="H318" s="13" t="s">
        <v>102</v>
      </c>
      <c r="I318" s="13" t="s">
        <v>313</v>
      </c>
      <c r="J318" s="13" t="s">
        <v>76</v>
      </c>
      <c r="K318" s="13" t="s">
        <v>44</v>
      </c>
      <c r="L318" s="13" t="s">
        <v>218</v>
      </c>
      <c r="M318" s="15" t="s">
        <v>387</v>
      </c>
      <c r="N318" s="11" t="s">
        <v>871</v>
      </c>
    </row>
    <row r="319" spans="1:14" ht="15.75" customHeight="1" x14ac:dyDescent="0.15">
      <c r="A319" s="12" t="s">
        <v>996</v>
      </c>
      <c r="B319" s="6" t="s">
        <v>288</v>
      </c>
      <c r="C319" s="7" t="s">
        <v>997</v>
      </c>
      <c r="D319" s="8" t="s">
        <v>107</v>
      </c>
      <c r="E319" s="16">
        <v>39082</v>
      </c>
      <c r="F319" s="8" t="s">
        <v>232</v>
      </c>
      <c r="G319" s="8" t="s">
        <v>131</v>
      </c>
      <c r="H319" s="8" t="s">
        <v>156</v>
      </c>
      <c r="I319" s="8" t="s">
        <v>95</v>
      </c>
      <c r="J319" s="8" t="s">
        <v>22</v>
      </c>
      <c r="K319" s="8" t="s">
        <v>77</v>
      </c>
      <c r="L319" s="8" t="s">
        <v>128</v>
      </c>
      <c r="M319" s="10" t="s">
        <v>284</v>
      </c>
      <c r="N319" s="11" t="s">
        <v>871</v>
      </c>
    </row>
    <row r="320" spans="1:14" ht="15.75" customHeight="1" x14ac:dyDescent="0.15">
      <c r="A320" s="6" t="s">
        <v>998</v>
      </c>
      <c r="B320" s="12" t="s">
        <v>291</v>
      </c>
      <c r="C320" s="7" t="s">
        <v>999</v>
      </c>
      <c r="D320" s="13" t="s">
        <v>107</v>
      </c>
      <c r="E320" s="14">
        <v>35940</v>
      </c>
      <c r="F320" s="13" t="s">
        <v>212</v>
      </c>
      <c r="G320" s="13" t="s">
        <v>31</v>
      </c>
      <c r="H320" s="13" t="s">
        <v>179</v>
      </c>
      <c r="I320" s="13" t="s">
        <v>95</v>
      </c>
      <c r="J320" s="13" t="s">
        <v>22</v>
      </c>
      <c r="K320" s="13" t="s">
        <v>44</v>
      </c>
      <c r="L320" s="13" t="s">
        <v>297</v>
      </c>
      <c r="M320" s="15" t="s">
        <v>628</v>
      </c>
      <c r="N320" s="11" t="s">
        <v>871</v>
      </c>
    </row>
    <row r="321" spans="1:14" ht="15.75" customHeight="1" x14ac:dyDescent="0.15">
      <c r="A321" s="12" t="s">
        <v>1000</v>
      </c>
      <c r="B321" s="6" t="s">
        <v>295</v>
      </c>
      <c r="C321" s="7" t="s">
        <v>1001</v>
      </c>
      <c r="D321" s="8" t="s">
        <v>17</v>
      </c>
      <c r="E321" s="9">
        <v>34420</v>
      </c>
      <c r="F321" s="8" t="s">
        <v>18</v>
      </c>
      <c r="G321" s="8" t="s">
        <v>101</v>
      </c>
      <c r="H321" s="8" t="s">
        <v>94</v>
      </c>
      <c r="I321" s="8" t="s">
        <v>149</v>
      </c>
      <c r="J321" s="8" t="s">
        <v>76</v>
      </c>
      <c r="K321" s="8" t="s">
        <v>23</v>
      </c>
      <c r="L321" s="8" t="s">
        <v>45</v>
      </c>
      <c r="M321" s="10" t="s">
        <v>950</v>
      </c>
      <c r="N321" s="11" t="s">
        <v>871</v>
      </c>
    </row>
    <row r="322" spans="1:14" ht="15.75" customHeight="1" x14ac:dyDescent="0.15">
      <c r="A322" s="6" t="s">
        <v>1002</v>
      </c>
      <c r="B322" s="12" t="s">
        <v>299</v>
      </c>
      <c r="C322" s="7" t="s">
        <v>1003</v>
      </c>
      <c r="D322" s="13" t="s">
        <v>107</v>
      </c>
      <c r="E322" s="14">
        <v>38980</v>
      </c>
      <c r="F322" s="13" t="s">
        <v>232</v>
      </c>
      <c r="G322" s="13" t="s">
        <v>131</v>
      </c>
      <c r="H322" s="13" t="s">
        <v>225</v>
      </c>
      <c r="I322" s="13" t="s">
        <v>33</v>
      </c>
      <c r="J322" s="13" t="s">
        <v>54</v>
      </c>
      <c r="K322" s="13" t="s">
        <v>44</v>
      </c>
      <c r="L322" s="13" t="s">
        <v>561</v>
      </c>
      <c r="M322" s="15" t="s">
        <v>284</v>
      </c>
      <c r="N322" s="11" t="s">
        <v>871</v>
      </c>
    </row>
    <row r="323" spans="1:14" ht="15.75" customHeight="1" x14ac:dyDescent="0.15">
      <c r="A323" s="6" t="s">
        <v>1004</v>
      </c>
      <c r="B323" s="6" t="s">
        <v>303</v>
      </c>
      <c r="C323" s="7" t="s">
        <v>1005</v>
      </c>
      <c r="D323" s="8" t="s">
        <v>17</v>
      </c>
      <c r="E323" s="9">
        <v>36207</v>
      </c>
      <c r="F323" s="8" t="s">
        <v>30</v>
      </c>
      <c r="G323" s="8" t="s">
        <v>19</v>
      </c>
      <c r="H323" s="8" t="s">
        <v>42</v>
      </c>
      <c r="I323" s="8" t="s">
        <v>385</v>
      </c>
      <c r="J323" s="8" t="s">
        <v>54</v>
      </c>
      <c r="K323" s="8" t="s">
        <v>44</v>
      </c>
      <c r="L323" s="8" t="s">
        <v>1006</v>
      </c>
      <c r="M323" s="10" t="s">
        <v>161</v>
      </c>
      <c r="N323" s="11" t="s">
        <v>871</v>
      </c>
    </row>
    <row r="324" spans="1:14" ht="15.75" customHeight="1" x14ac:dyDescent="0.15">
      <c r="A324" s="12" t="s">
        <v>1007</v>
      </c>
      <c r="B324" s="12" t="s">
        <v>306</v>
      </c>
      <c r="C324" s="7" t="s">
        <v>1008</v>
      </c>
      <c r="D324" s="13" t="s">
        <v>39</v>
      </c>
      <c r="E324" s="14">
        <v>36310</v>
      </c>
      <c r="F324" s="13" t="s">
        <v>30</v>
      </c>
      <c r="G324" s="13" t="s">
        <v>243</v>
      </c>
      <c r="H324" s="13" t="s">
        <v>114</v>
      </c>
      <c r="I324" s="13" t="s">
        <v>651</v>
      </c>
      <c r="J324" s="13" t="s">
        <v>22</v>
      </c>
      <c r="K324" s="13" t="s">
        <v>44</v>
      </c>
      <c r="L324" s="13" t="s">
        <v>297</v>
      </c>
      <c r="M324" s="15" t="s">
        <v>928</v>
      </c>
      <c r="N324" s="11" t="s">
        <v>871</v>
      </c>
    </row>
    <row r="325" spans="1:14" ht="15.75" customHeight="1" x14ac:dyDescent="0.15">
      <c r="A325" s="6" t="s">
        <v>1009</v>
      </c>
      <c r="B325" s="6" t="s">
        <v>308</v>
      </c>
      <c r="C325" s="7" t="s">
        <v>1010</v>
      </c>
      <c r="D325" s="8" t="s">
        <v>39</v>
      </c>
      <c r="E325" s="9">
        <v>39217</v>
      </c>
      <c r="F325" s="8" t="s">
        <v>232</v>
      </c>
      <c r="G325" s="8" t="s">
        <v>93</v>
      </c>
      <c r="H325" s="8" t="s">
        <v>144</v>
      </c>
      <c r="I325" s="8" t="s">
        <v>33</v>
      </c>
      <c r="J325" s="8" t="s">
        <v>150</v>
      </c>
      <c r="K325" s="8" t="s">
        <v>23</v>
      </c>
      <c r="L325" s="8" t="s">
        <v>128</v>
      </c>
      <c r="M325" s="10" t="s">
        <v>262</v>
      </c>
      <c r="N325" s="11" t="s">
        <v>871</v>
      </c>
    </row>
    <row r="326" spans="1:14" ht="15.75" customHeight="1" x14ac:dyDescent="0.15">
      <c r="A326" s="12" t="s">
        <v>1011</v>
      </c>
      <c r="B326" s="12" t="s">
        <v>311</v>
      </c>
      <c r="C326" s="7" t="s">
        <v>1012</v>
      </c>
      <c r="D326" s="13" t="s">
        <v>107</v>
      </c>
      <c r="E326" s="14">
        <v>36422</v>
      </c>
      <c r="F326" s="13" t="s">
        <v>40</v>
      </c>
      <c r="G326" s="13" t="s">
        <v>93</v>
      </c>
      <c r="H326" s="13" t="s">
        <v>32</v>
      </c>
      <c r="I326" s="13" t="s">
        <v>470</v>
      </c>
      <c r="J326" s="13" t="s">
        <v>150</v>
      </c>
      <c r="K326" s="13" t="s">
        <v>77</v>
      </c>
      <c r="L326" s="13" t="s">
        <v>128</v>
      </c>
      <c r="M326" s="15" t="s">
        <v>318</v>
      </c>
      <c r="N326" s="11" t="s">
        <v>871</v>
      </c>
    </row>
    <row r="327" spans="1:14" ht="15.75" customHeight="1" x14ac:dyDescent="0.15">
      <c r="A327" s="6" t="s">
        <v>1013</v>
      </c>
      <c r="B327" s="6" t="s">
        <v>314</v>
      </c>
      <c r="C327" s="7" t="s">
        <v>1014</v>
      </c>
      <c r="D327" s="8" t="s">
        <v>107</v>
      </c>
      <c r="E327" s="9">
        <v>36405</v>
      </c>
      <c r="F327" s="8" t="s">
        <v>30</v>
      </c>
      <c r="G327" s="8" t="s">
        <v>243</v>
      </c>
      <c r="H327" s="8" t="s">
        <v>139</v>
      </c>
      <c r="I327" s="8" t="s">
        <v>21</v>
      </c>
      <c r="J327" s="8" t="s">
        <v>54</v>
      </c>
      <c r="K327" s="8" t="s">
        <v>828</v>
      </c>
      <c r="L327" s="8" t="s">
        <v>45</v>
      </c>
      <c r="M327" s="10" t="s">
        <v>298</v>
      </c>
      <c r="N327" s="11" t="s">
        <v>871</v>
      </c>
    </row>
    <row r="328" spans="1:14" ht="15.75" customHeight="1" x14ac:dyDescent="0.15">
      <c r="A328" s="6" t="s">
        <v>1015</v>
      </c>
      <c r="B328" s="12" t="s">
        <v>334</v>
      </c>
      <c r="C328" s="7" t="s">
        <v>1016</v>
      </c>
      <c r="D328" s="13" t="s">
        <v>107</v>
      </c>
      <c r="E328" s="14">
        <v>36060</v>
      </c>
      <c r="F328" s="13" t="s">
        <v>30</v>
      </c>
      <c r="G328" s="13" t="s">
        <v>31</v>
      </c>
      <c r="H328" s="13" t="s">
        <v>94</v>
      </c>
      <c r="I328" s="13" t="s">
        <v>43</v>
      </c>
      <c r="J328" s="13" t="s">
        <v>54</v>
      </c>
      <c r="K328" s="13" t="s">
        <v>77</v>
      </c>
      <c r="L328" s="13" t="s">
        <v>218</v>
      </c>
      <c r="M328" s="15" t="s">
        <v>298</v>
      </c>
      <c r="N328" s="11" t="s">
        <v>871</v>
      </c>
    </row>
    <row r="329" spans="1:14" ht="15.75" customHeight="1" x14ac:dyDescent="0.15">
      <c r="A329" s="12" t="s">
        <v>1017</v>
      </c>
      <c r="B329" s="6" t="s">
        <v>400</v>
      </c>
      <c r="C329" s="7" t="s">
        <v>1018</v>
      </c>
      <c r="D329" s="8" t="s">
        <v>107</v>
      </c>
      <c r="E329" s="9">
        <v>36700</v>
      </c>
      <c r="F329" s="8" t="s">
        <v>40</v>
      </c>
      <c r="G329" s="8" t="s">
        <v>41</v>
      </c>
      <c r="H329" s="8" t="s">
        <v>171</v>
      </c>
      <c r="I329" s="8" t="s">
        <v>109</v>
      </c>
      <c r="J329" s="8" t="s">
        <v>22</v>
      </c>
      <c r="K329" s="8" t="s">
        <v>44</v>
      </c>
      <c r="L329" s="8" t="s">
        <v>24</v>
      </c>
      <c r="M329" s="10" t="s">
        <v>971</v>
      </c>
      <c r="N329" s="11" t="s">
        <v>871</v>
      </c>
    </row>
    <row r="330" spans="1:14" ht="15.75" customHeight="1" x14ac:dyDescent="0.15">
      <c r="A330" s="6" t="s">
        <v>1019</v>
      </c>
      <c r="B330" s="12" t="s">
        <v>402</v>
      </c>
      <c r="C330" s="7" t="s">
        <v>1020</v>
      </c>
      <c r="D330" s="13" t="s">
        <v>107</v>
      </c>
      <c r="E330" s="14">
        <v>35492</v>
      </c>
      <c r="F330" s="13" t="s">
        <v>148</v>
      </c>
      <c r="G330" s="13" t="s">
        <v>41</v>
      </c>
      <c r="H330" s="13" t="s">
        <v>535</v>
      </c>
      <c r="I330" s="13" t="s">
        <v>1021</v>
      </c>
      <c r="J330" s="13" t="s">
        <v>150</v>
      </c>
      <c r="K330" s="13" t="s">
        <v>44</v>
      </c>
      <c r="L330" s="13" t="s">
        <v>373</v>
      </c>
      <c r="M330" s="15" t="s">
        <v>619</v>
      </c>
      <c r="N330" s="11" t="s">
        <v>871</v>
      </c>
    </row>
    <row r="331" spans="1:14" ht="15.75" customHeight="1" x14ac:dyDescent="0.15">
      <c r="A331" s="12" t="s">
        <v>1022</v>
      </c>
      <c r="B331" s="6" t="s">
        <v>407</v>
      </c>
      <c r="C331" s="7" t="s">
        <v>1023</v>
      </c>
      <c r="D331" s="8" t="s">
        <v>107</v>
      </c>
      <c r="E331" s="9">
        <v>35710</v>
      </c>
      <c r="F331" s="8" t="s">
        <v>212</v>
      </c>
      <c r="G331" s="8" t="s">
        <v>131</v>
      </c>
      <c r="H331" s="8" t="s">
        <v>695</v>
      </c>
      <c r="I331" s="8" t="s">
        <v>1024</v>
      </c>
      <c r="J331" s="8" t="s">
        <v>150</v>
      </c>
      <c r="K331" s="8" t="s">
        <v>828</v>
      </c>
      <c r="L331" s="8" t="s">
        <v>151</v>
      </c>
      <c r="M331" s="10" t="s">
        <v>104</v>
      </c>
      <c r="N331" s="11" t="s">
        <v>871</v>
      </c>
    </row>
    <row r="332" spans="1:14" ht="15.75" customHeight="1" x14ac:dyDescent="0.15">
      <c r="A332" s="6" t="s">
        <v>1025</v>
      </c>
      <c r="B332" s="12" t="s">
        <v>325</v>
      </c>
      <c r="C332" s="7" t="s">
        <v>1026</v>
      </c>
      <c r="D332" s="13" t="s">
        <v>17</v>
      </c>
      <c r="E332" s="14">
        <v>37346</v>
      </c>
      <c r="F332" s="13" t="s">
        <v>137</v>
      </c>
      <c r="G332" s="13" t="s">
        <v>138</v>
      </c>
      <c r="H332" s="13" t="s">
        <v>191</v>
      </c>
      <c r="I332" s="13" t="s">
        <v>192</v>
      </c>
      <c r="J332" s="13" t="s">
        <v>150</v>
      </c>
      <c r="K332" s="13" t="s">
        <v>44</v>
      </c>
      <c r="L332" s="13" t="s">
        <v>852</v>
      </c>
      <c r="M332" s="15" t="s">
        <v>287</v>
      </c>
      <c r="N332" s="11" t="s">
        <v>871</v>
      </c>
    </row>
    <row r="333" spans="1:14" ht="15.75" customHeight="1" x14ac:dyDescent="0.15">
      <c r="A333" s="6" t="s">
        <v>1027</v>
      </c>
      <c r="B333" s="6" t="s">
        <v>327</v>
      </c>
      <c r="C333" s="7" t="s">
        <v>1028</v>
      </c>
      <c r="D333" s="8" t="s">
        <v>17</v>
      </c>
      <c r="E333" s="16">
        <v>36116</v>
      </c>
      <c r="F333" s="8" t="s">
        <v>30</v>
      </c>
      <c r="G333" s="8" t="s">
        <v>41</v>
      </c>
      <c r="H333" s="8" t="s">
        <v>179</v>
      </c>
      <c r="I333" s="8" t="s">
        <v>313</v>
      </c>
      <c r="J333" s="8" t="s">
        <v>54</v>
      </c>
      <c r="K333" s="8" t="s">
        <v>23</v>
      </c>
      <c r="L333" s="8" t="s">
        <v>244</v>
      </c>
      <c r="M333" s="10" t="s">
        <v>467</v>
      </c>
      <c r="N333" s="11" t="s">
        <v>871</v>
      </c>
    </row>
    <row r="334" spans="1:14" ht="15.75" customHeight="1" x14ac:dyDescent="0.15">
      <c r="A334" s="12" t="s">
        <v>1029</v>
      </c>
      <c r="B334" s="12" t="s">
        <v>696</v>
      </c>
      <c r="C334" s="7" t="s">
        <v>1030</v>
      </c>
      <c r="D334" s="13" t="s">
        <v>17</v>
      </c>
      <c r="E334" s="14">
        <v>38945</v>
      </c>
      <c r="F334" s="13" t="s">
        <v>170</v>
      </c>
      <c r="G334" s="13" t="s">
        <v>131</v>
      </c>
      <c r="H334" s="13" t="s">
        <v>144</v>
      </c>
      <c r="I334" s="13" t="s">
        <v>313</v>
      </c>
      <c r="J334" s="13" t="s">
        <v>54</v>
      </c>
      <c r="K334" s="13" t="s">
        <v>44</v>
      </c>
      <c r="L334" s="13" t="s">
        <v>663</v>
      </c>
      <c r="M334" s="15" t="s">
        <v>318</v>
      </c>
      <c r="N334" s="11" t="s">
        <v>871</v>
      </c>
    </row>
    <row r="335" spans="1:14" ht="15.75" customHeight="1" x14ac:dyDescent="0.15">
      <c r="A335" s="6" t="s">
        <v>1031</v>
      </c>
      <c r="B335" s="6" t="s">
        <v>699</v>
      </c>
      <c r="C335" s="7" t="s">
        <v>1032</v>
      </c>
      <c r="D335" s="8" t="s">
        <v>107</v>
      </c>
      <c r="E335" s="16">
        <v>39071</v>
      </c>
      <c r="F335" s="8" t="s">
        <v>232</v>
      </c>
      <c r="G335" s="8" t="s">
        <v>131</v>
      </c>
      <c r="H335" s="8" t="s">
        <v>156</v>
      </c>
      <c r="I335" s="8" t="s">
        <v>33</v>
      </c>
      <c r="J335" s="8" t="s">
        <v>22</v>
      </c>
      <c r="K335" s="8" t="s">
        <v>44</v>
      </c>
      <c r="L335" s="8" t="s">
        <v>404</v>
      </c>
      <c r="M335" s="10" t="s">
        <v>318</v>
      </c>
      <c r="N335" s="11" t="s">
        <v>871</v>
      </c>
    </row>
    <row r="336" spans="1:14" ht="15.75" customHeight="1" x14ac:dyDescent="0.15">
      <c r="A336" s="12" t="s">
        <v>1033</v>
      </c>
      <c r="B336" s="12" t="s">
        <v>705</v>
      </c>
      <c r="C336" s="7" t="s">
        <v>1034</v>
      </c>
      <c r="D336" s="13" t="s">
        <v>107</v>
      </c>
      <c r="E336" s="14">
        <v>36960</v>
      </c>
      <c r="F336" s="13" t="s">
        <v>203</v>
      </c>
      <c r="G336" s="13" t="s">
        <v>138</v>
      </c>
      <c r="H336" s="13" t="s">
        <v>94</v>
      </c>
      <c r="I336" s="13" t="s">
        <v>43</v>
      </c>
      <c r="J336" s="13" t="s">
        <v>54</v>
      </c>
      <c r="K336" s="13" t="s">
        <v>44</v>
      </c>
      <c r="L336" s="13" t="s">
        <v>45</v>
      </c>
      <c r="M336" s="15" t="s">
        <v>628</v>
      </c>
      <c r="N336" s="11" t="s">
        <v>871</v>
      </c>
    </row>
    <row r="337" spans="1:14" ht="15.75" customHeight="1" x14ac:dyDescent="0.15">
      <c r="A337" s="6" t="s">
        <v>1035</v>
      </c>
      <c r="B337" s="6" t="s">
        <v>708</v>
      </c>
      <c r="C337" s="7" t="s">
        <v>1036</v>
      </c>
      <c r="D337" s="8" t="s">
        <v>49</v>
      </c>
      <c r="E337" s="9">
        <v>38098</v>
      </c>
      <c r="F337" s="8" t="s">
        <v>92</v>
      </c>
      <c r="G337" s="8" t="s">
        <v>41</v>
      </c>
      <c r="H337" s="8" t="s">
        <v>68</v>
      </c>
      <c r="I337" s="8" t="s">
        <v>385</v>
      </c>
      <c r="J337" s="8" t="s">
        <v>76</v>
      </c>
      <c r="K337" s="8" t="s">
        <v>23</v>
      </c>
      <c r="L337" s="8" t="s">
        <v>251</v>
      </c>
      <c r="M337" s="10" t="s">
        <v>628</v>
      </c>
      <c r="N337" s="11" t="s">
        <v>871</v>
      </c>
    </row>
    <row r="338" spans="1:14" ht="15.75" customHeight="1" x14ac:dyDescent="0.15">
      <c r="A338" s="6" t="s">
        <v>1037</v>
      </c>
      <c r="B338" s="12" t="s">
        <v>710</v>
      </c>
      <c r="C338" s="7" t="s">
        <v>1038</v>
      </c>
      <c r="D338" s="13" t="s">
        <v>17</v>
      </c>
      <c r="E338" s="17">
        <v>37583</v>
      </c>
      <c r="F338" s="13" t="s">
        <v>186</v>
      </c>
      <c r="G338" s="13" t="s">
        <v>138</v>
      </c>
      <c r="H338" s="13" t="s">
        <v>32</v>
      </c>
      <c r="I338" s="13" t="s">
        <v>149</v>
      </c>
      <c r="J338" s="13" t="s">
        <v>22</v>
      </c>
      <c r="K338" s="13" t="s">
        <v>44</v>
      </c>
      <c r="L338" s="13" t="s">
        <v>116</v>
      </c>
      <c r="M338" s="15" t="s">
        <v>590</v>
      </c>
      <c r="N338" s="11" t="s">
        <v>871</v>
      </c>
    </row>
    <row r="339" spans="1:14" ht="15.75" customHeight="1" x14ac:dyDescent="0.15">
      <c r="A339" s="12" t="s">
        <v>1039</v>
      </c>
      <c r="B339" s="6" t="s">
        <v>717</v>
      </c>
      <c r="C339" s="7" t="s">
        <v>1040</v>
      </c>
      <c r="D339" s="8" t="s">
        <v>39</v>
      </c>
      <c r="E339" s="9">
        <v>36495</v>
      </c>
      <c r="F339" s="8" t="s">
        <v>40</v>
      </c>
      <c r="G339" s="8" t="s">
        <v>243</v>
      </c>
      <c r="H339" s="8" t="s">
        <v>94</v>
      </c>
      <c r="I339" s="8" t="s">
        <v>385</v>
      </c>
      <c r="J339" s="8" t="s">
        <v>22</v>
      </c>
      <c r="K339" s="8" t="s">
        <v>44</v>
      </c>
      <c r="L339" s="8" t="s">
        <v>133</v>
      </c>
      <c r="M339" s="10" t="s">
        <v>590</v>
      </c>
      <c r="N339" s="11" t="s">
        <v>871</v>
      </c>
    </row>
    <row r="340" spans="1:14" ht="15.75" customHeight="1" x14ac:dyDescent="0.15">
      <c r="A340" s="6" t="s">
        <v>1041</v>
      </c>
      <c r="B340" s="12" t="s">
        <v>722</v>
      </c>
      <c r="C340" s="7" t="s">
        <v>1042</v>
      </c>
      <c r="D340" s="13" t="s">
        <v>107</v>
      </c>
      <c r="E340" s="17">
        <v>35362</v>
      </c>
      <c r="F340" s="13" t="s">
        <v>148</v>
      </c>
      <c r="G340" s="13" t="s">
        <v>19</v>
      </c>
      <c r="H340" s="13" t="s">
        <v>191</v>
      </c>
      <c r="I340" s="13" t="s">
        <v>651</v>
      </c>
      <c r="J340" s="13" t="s">
        <v>76</v>
      </c>
      <c r="K340" s="13" t="s">
        <v>44</v>
      </c>
      <c r="L340" s="13" t="s">
        <v>70</v>
      </c>
      <c r="M340" s="15" t="s">
        <v>628</v>
      </c>
      <c r="N340" s="11" t="s">
        <v>871</v>
      </c>
    </row>
    <row r="341" spans="1:14" ht="15.75" customHeight="1" x14ac:dyDescent="0.15">
      <c r="A341" s="12" t="s">
        <v>1043</v>
      </c>
      <c r="B341" s="6" t="s">
        <v>728</v>
      </c>
      <c r="C341" s="7" t="s">
        <v>1044</v>
      </c>
      <c r="D341" s="8" t="s">
        <v>107</v>
      </c>
      <c r="E341" s="9">
        <v>38363</v>
      </c>
      <c r="F341" s="8" t="s">
        <v>217</v>
      </c>
      <c r="G341" s="8" t="s">
        <v>41</v>
      </c>
      <c r="H341" s="8" t="s">
        <v>114</v>
      </c>
      <c r="I341" s="8" t="s">
        <v>192</v>
      </c>
      <c r="J341" s="8" t="s">
        <v>22</v>
      </c>
      <c r="K341" s="8" t="s">
        <v>77</v>
      </c>
      <c r="L341" s="8" t="s">
        <v>479</v>
      </c>
      <c r="M341" s="10" t="s">
        <v>590</v>
      </c>
      <c r="N341" s="11" t="s">
        <v>871</v>
      </c>
    </row>
    <row r="342" spans="1:14" ht="15.75" customHeight="1" x14ac:dyDescent="0.15">
      <c r="A342" s="6" t="s">
        <v>1045</v>
      </c>
      <c r="B342" s="12" t="s">
        <v>737</v>
      </c>
      <c r="C342" s="7" t="s">
        <v>1046</v>
      </c>
      <c r="D342" s="13" t="s">
        <v>17</v>
      </c>
      <c r="E342" s="14">
        <v>39295</v>
      </c>
      <c r="F342" s="13" t="s">
        <v>232</v>
      </c>
      <c r="G342" s="13" t="s">
        <v>93</v>
      </c>
      <c r="H342" s="13" t="s">
        <v>88</v>
      </c>
      <c r="I342" s="13" t="s">
        <v>109</v>
      </c>
      <c r="J342" s="13" t="s">
        <v>150</v>
      </c>
      <c r="K342" s="13" t="s">
        <v>44</v>
      </c>
      <c r="L342" s="13" t="s">
        <v>110</v>
      </c>
      <c r="M342" s="15" t="s">
        <v>318</v>
      </c>
      <c r="N342" s="11" t="s">
        <v>871</v>
      </c>
    </row>
    <row r="343" spans="1:14" ht="15.75" customHeight="1" x14ac:dyDescent="0.15">
      <c r="A343" s="6" t="s">
        <v>1047</v>
      </c>
      <c r="B343" s="6" t="s">
        <v>739</v>
      </c>
      <c r="C343" s="7" t="s">
        <v>1048</v>
      </c>
      <c r="D343" s="8" t="s">
        <v>39</v>
      </c>
      <c r="E343" s="9">
        <v>38152</v>
      </c>
      <c r="F343" s="8" t="s">
        <v>92</v>
      </c>
      <c r="G343" s="8" t="s">
        <v>93</v>
      </c>
      <c r="H343" s="8" t="s">
        <v>52</v>
      </c>
      <c r="I343" s="8" t="s">
        <v>53</v>
      </c>
      <c r="J343" s="8" t="s">
        <v>150</v>
      </c>
      <c r="K343" s="8" t="s">
        <v>23</v>
      </c>
      <c r="L343" s="8" t="s">
        <v>561</v>
      </c>
      <c r="M343" s="10" t="s">
        <v>318</v>
      </c>
      <c r="N343" s="11" t="s">
        <v>871</v>
      </c>
    </row>
    <row r="344" spans="1:14" ht="15.75" customHeight="1" x14ac:dyDescent="0.15">
      <c r="A344" s="12" t="s">
        <v>1049</v>
      </c>
      <c r="B344" s="12" t="s">
        <v>741</v>
      </c>
      <c r="C344" s="7" t="s">
        <v>1050</v>
      </c>
      <c r="D344" s="13" t="s">
        <v>17</v>
      </c>
      <c r="E344" s="14">
        <v>36960</v>
      </c>
      <c r="F344" s="13" t="s">
        <v>203</v>
      </c>
      <c r="G344" s="13" t="s">
        <v>138</v>
      </c>
      <c r="H344" s="13" t="s">
        <v>156</v>
      </c>
      <c r="I344" s="13" t="s">
        <v>385</v>
      </c>
      <c r="J344" s="13" t="s">
        <v>34</v>
      </c>
      <c r="K344" s="13" t="s">
        <v>44</v>
      </c>
      <c r="L344" s="13" t="s">
        <v>208</v>
      </c>
      <c r="M344" s="15" t="s">
        <v>1051</v>
      </c>
      <c r="N344" s="11" t="s">
        <v>871</v>
      </c>
    </row>
    <row r="345" spans="1:14" ht="15.75" customHeight="1" x14ac:dyDescent="0.15">
      <c r="A345" s="6" t="s">
        <v>1052</v>
      </c>
      <c r="B345" s="6" t="s">
        <v>743</v>
      </c>
      <c r="C345" s="7" t="s">
        <v>368</v>
      </c>
      <c r="D345" s="8" t="s">
        <v>107</v>
      </c>
      <c r="E345" s="9">
        <v>37892</v>
      </c>
      <c r="F345" s="8" t="s">
        <v>92</v>
      </c>
      <c r="G345" s="8" t="s">
        <v>131</v>
      </c>
      <c r="H345" s="8" t="s">
        <v>179</v>
      </c>
      <c r="I345" s="8" t="s">
        <v>261</v>
      </c>
      <c r="J345" s="8" t="s">
        <v>150</v>
      </c>
      <c r="K345" s="8" t="s">
        <v>77</v>
      </c>
      <c r="L345" s="8" t="s">
        <v>852</v>
      </c>
      <c r="M345" s="10" t="s">
        <v>161</v>
      </c>
      <c r="N345" s="11" t="s">
        <v>871</v>
      </c>
    </row>
    <row r="346" spans="1:14" ht="15.75" customHeight="1" x14ac:dyDescent="0.15">
      <c r="A346" s="12" t="s">
        <v>1053</v>
      </c>
      <c r="B346" s="6" t="s">
        <v>15</v>
      </c>
      <c r="C346" s="7" t="s">
        <v>1054</v>
      </c>
      <c r="D346" s="8" t="s">
        <v>17</v>
      </c>
      <c r="E346" s="9">
        <v>37793</v>
      </c>
      <c r="F346" s="8" t="s">
        <v>186</v>
      </c>
      <c r="G346" s="8" t="s">
        <v>93</v>
      </c>
      <c r="H346" s="8" t="s">
        <v>1055</v>
      </c>
      <c r="I346" s="8" t="s">
        <v>140</v>
      </c>
      <c r="J346" s="8" t="s">
        <v>76</v>
      </c>
      <c r="K346" s="8" t="s">
        <v>23</v>
      </c>
      <c r="L346" s="8" t="s">
        <v>35</v>
      </c>
      <c r="M346" s="10" t="s">
        <v>161</v>
      </c>
      <c r="N346" s="11" t="s">
        <v>1056</v>
      </c>
    </row>
    <row r="347" spans="1:14" ht="15.75" customHeight="1" x14ac:dyDescent="0.15">
      <c r="A347" s="6" t="s">
        <v>1057</v>
      </c>
      <c r="B347" s="12" t="s">
        <v>47</v>
      </c>
      <c r="C347" s="7" t="s">
        <v>1058</v>
      </c>
      <c r="D347" s="13" t="s">
        <v>17</v>
      </c>
      <c r="E347" s="17">
        <v>36145</v>
      </c>
      <c r="F347" s="13" t="s">
        <v>30</v>
      </c>
      <c r="G347" s="13" t="s">
        <v>31</v>
      </c>
      <c r="H347" s="13" t="s">
        <v>74</v>
      </c>
      <c r="I347" s="13" t="s">
        <v>261</v>
      </c>
      <c r="J347" s="13" t="s">
        <v>54</v>
      </c>
      <c r="K347" s="13" t="s">
        <v>23</v>
      </c>
      <c r="L347" s="13" t="s">
        <v>35</v>
      </c>
      <c r="M347" s="15" t="s">
        <v>724</v>
      </c>
      <c r="N347" s="11" t="s">
        <v>1056</v>
      </c>
    </row>
    <row r="348" spans="1:14" ht="15.75" customHeight="1" x14ac:dyDescent="0.15">
      <c r="A348" s="6" t="s">
        <v>1059</v>
      </c>
      <c r="B348" s="6" t="s">
        <v>57</v>
      </c>
      <c r="C348" s="7" t="s">
        <v>1060</v>
      </c>
      <c r="D348" s="8" t="s">
        <v>17</v>
      </c>
      <c r="E348" s="9">
        <v>36684</v>
      </c>
      <c r="F348" s="8" t="s">
        <v>40</v>
      </c>
      <c r="G348" s="8" t="s">
        <v>19</v>
      </c>
      <c r="H348" s="8" t="s">
        <v>156</v>
      </c>
      <c r="I348" s="8" t="s">
        <v>109</v>
      </c>
      <c r="J348" s="8" t="s">
        <v>34</v>
      </c>
      <c r="K348" s="8" t="s">
        <v>23</v>
      </c>
      <c r="L348" s="8" t="s">
        <v>78</v>
      </c>
      <c r="M348" s="10" t="s">
        <v>716</v>
      </c>
      <c r="N348" s="11" t="s">
        <v>1056</v>
      </c>
    </row>
    <row r="349" spans="1:14" ht="15.75" customHeight="1" x14ac:dyDescent="0.15">
      <c r="A349" s="12" t="s">
        <v>1061</v>
      </c>
      <c r="B349" s="12" t="s">
        <v>72</v>
      </c>
      <c r="C349" s="7" t="s">
        <v>1062</v>
      </c>
      <c r="D349" s="13" t="s">
        <v>17</v>
      </c>
      <c r="E349" s="14">
        <v>33467</v>
      </c>
      <c r="F349" s="13" t="s">
        <v>50</v>
      </c>
      <c r="G349" s="13" t="s">
        <v>890</v>
      </c>
      <c r="H349" s="13" t="s">
        <v>144</v>
      </c>
      <c r="I349" s="13" t="s">
        <v>197</v>
      </c>
      <c r="J349" s="13" t="s">
        <v>54</v>
      </c>
      <c r="K349" s="13" t="s">
        <v>44</v>
      </c>
      <c r="L349" s="13" t="s">
        <v>297</v>
      </c>
      <c r="M349" s="15" t="s">
        <v>724</v>
      </c>
      <c r="N349" s="11" t="s">
        <v>1056</v>
      </c>
    </row>
    <row r="350" spans="1:14" ht="15.75" customHeight="1" x14ac:dyDescent="0.15">
      <c r="A350" s="6" t="s">
        <v>1063</v>
      </c>
      <c r="B350" s="6" t="s">
        <v>86</v>
      </c>
      <c r="C350" s="7" t="s">
        <v>1064</v>
      </c>
      <c r="D350" s="8" t="s">
        <v>39</v>
      </c>
      <c r="E350" s="9">
        <v>32249</v>
      </c>
      <c r="F350" s="8" t="s">
        <v>332</v>
      </c>
      <c r="G350" s="8" t="s">
        <v>126</v>
      </c>
      <c r="H350" s="8" t="s">
        <v>196</v>
      </c>
      <c r="I350" s="8" t="s">
        <v>115</v>
      </c>
      <c r="J350" s="8" t="s">
        <v>54</v>
      </c>
      <c r="K350" s="8" t="s">
        <v>23</v>
      </c>
      <c r="L350" s="8" t="s">
        <v>45</v>
      </c>
      <c r="M350" s="10" t="s">
        <v>145</v>
      </c>
      <c r="N350" s="11" t="s">
        <v>1056</v>
      </c>
    </row>
    <row r="351" spans="1:14" ht="15.75" customHeight="1" x14ac:dyDescent="0.15">
      <c r="A351" s="12" t="s">
        <v>1065</v>
      </c>
      <c r="B351" s="12" t="s">
        <v>90</v>
      </c>
      <c r="C351" s="7" t="s">
        <v>1066</v>
      </c>
      <c r="D351" s="13" t="s">
        <v>17</v>
      </c>
      <c r="E351" s="17">
        <v>37614</v>
      </c>
      <c r="F351" s="13" t="s">
        <v>186</v>
      </c>
      <c r="G351" s="13" t="s">
        <v>131</v>
      </c>
      <c r="H351" s="13" t="s">
        <v>156</v>
      </c>
      <c r="I351" s="13" t="s">
        <v>115</v>
      </c>
      <c r="J351" s="13" t="s">
        <v>22</v>
      </c>
      <c r="K351" s="13" t="s">
        <v>44</v>
      </c>
      <c r="L351" s="13" t="s">
        <v>255</v>
      </c>
      <c r="M351" s="15" t="s">
        <v>1067</v>
      </c>
      <c r="N351" s="11" t="s">
        <v>1056</v>
      </c>
    </row>
    <row r="352" spans="1:14" ht="15.75" customHeight="1" x14ac:dyDescent="0.15">
      <c r="A352" s="6" t="s">
        <v>1068</v>
      </c>
      <c r="B352" s="6" t="s">
        <v>98</v>
      </c>
      <c r="C352" s="7" t="s">
        <v>1069</v>
      </c>
      <c r="D352" s="8" t="s">
        <v>107</v>
      </c>
      <c r="E352" s="9">
        <v>37962</v>
      </c>
      <c r="F352" s="8" t="s">
        <v>92</v>
      </c>
      <c r="G352" s="8" t="s">
        <v>93</v>
      </c>
      <c r="H352" s="8" t="s">
        <v>114</v>
      </c>
      <c r="I352" s="8" t="s">
        <v>192</v>
      </c>
      <c r="J352" s="8" t="s">
        <v>54</v>
      </c>
      <c r="K352" s="8" t="s">
        <v>44</v>
      </c>
      <c r="L352" s="8" t="s">
        <v>78</v>
      </c>
      <c r="M352" s="10" t="s">
        <v>36</v>
      </c>
      <c r="N352" s="11" t="s">
        <v>1056</v>
      </c>
    </row>
    <row r="353" spans="1:14" ht="15.75" customHeight="1" x14ac:dyDescent="0.15">
      <c r="A353" s="6" t="s">
        <v>1070</v>
      </c>
      <c r="B353" s="12" t="s">
        <v>105</v>
      </c>
      <c r="C353" s="7" t="s">
        <v>1071</v>
      </c>
      <c r="D353" s="13" t="s">
        <v>107</v>
      </c>
      <c r="E353" s="14">
        <v>35961</v>
      </c>
      <c r="F353" s="13" t="s">
        <v>212</v>
      </c>
      <c r="G353" s="13" t="s">
        <v>31</v>
      </c>
      <c r="H353" s="13" t="s">
        <v>68</v>
      </c>
      <c r="I353" s="13" t="s">
        <v>207</v>
      </c>
      <c r="J353" s="13" t="s">
        <v>22</v>
      </c>
      <c r="K353" s="13" t="s">
        <v>77</v>
      </c>
      <c r="L353" s="13" t="s">
        <v>431</v>
      </c>
      <c r="M353" s="15" t="s">
        <v>619</v>
      </c>
      <c r="N353" s="11" t="s">
        <v>1056</v>
      </c>
    </row>
    <row r="354" spans="1:14" ht="15.75" customHeight="1" x14ac:dyDescent="0.15">
      <c r="A354" s="12" t="s">
        <v>1072</v>
      </c>
      <c r="B354" s="6" t="s">
        <v>112</v>
      </c>
      <c r="C354" s="7" t="s">
        <v>1073</v>
      </c>
      <c r="D354" s="8" t="s">
        <v>107</v>
      </c>
      <c r="E354" s="9">
        <v>33406</v>
      </c>
      <c r="F354" s="8" t="s">
        <v>50</v>
      </c>
      <c r="G354" s="8" t="s">
        <v>51</v>
      </c>
      <c r="H354" s="8" t="s">
        <v>171</v>
      </c>
      <c r="I354" s="8" t="s">
        <v>197</v>
      </c>
      <c r="J354" s="8" t="s">
        <v>34</v>
      </c>
      <c r="K354" s="8" t="s">
        <v>44</v>
      </c>
      <c r="L354" s="8" t="s">
        <v>362</v>
      </c>
      <c r="M354" s="10" t="s">
        <v>111</v>
      </c>
      <c r="N354" s="11" t="s">
        <v>1056</v>
      </c>
    </row>
    <row r="355" spans="1:14" ht="15.75" customHeight="1" x14ac:dyDescent="0.15">
      <c r="A355" s="6" t="s">
        <v>1074</v>
      </c>
      <c r="B355" s="12" t="s">
        <v>117</v>
      </c>
      <c r="C355" s="7" t="s">
        <v>1075</v>
      </c>
      <c r="D355" s="13" t="s">
        <v>107</v>
      </c>
      <c r="E355" s="14">
        <v>35796</v>
      </c>
      <c r="F355" s="13" t="s">
        <v>212</v>
      </c>
      <c r="G355" s="13" t="s">
        <v>243</v>
      </c>
      <c r="H355" s="13" t="s">
        <v>179</v>
      </c>
      <c r="I355" s="13" t="s">
        <v>115</v>
      </c>
      <c r="J355" s="13" t="s">
        <v>22</v>
      </c>
      <c r="K355" s="13" t="s">
        <v>77</v>
      </c>
      <c r="L355" s="13" t="s">
        <v>733</v>
      </c>
      <c r="M355" s="15" t="s">
        <v>747</v>
      </c>
      <c r="N355" s="11" t="s">
        <v>1056</v>
      </c>
    </row>
    <row r="356" spans="1:14" ht="15.75" customHeight="1" x14ac:dyDescent="0.15">
      <c r="A356" s="12" t="s">
        <v>1076</v>
      </c>
      <c r="B356" s="6" t="s">
        <v>123</v>
      </c>
      <c r="C356" s="7" t="s">
        <v>1077</v>
      </c>
      <c r="D356" s="8" t="s">
        <v>107</v>
      </c>
      <c r="E356" s="9">
        <v>37152</v>
      </c>
      <c r="F356" s="8" t="s">
        <v>137</v>
      </c>
      <c r="G356" s="8" t="s">
        <v>138</v>
      </c>
      <c r="H356" s="8" t="s">
        <v>94</v>
      </c>
      <c r="I356" s="8" t="s">
        <v>33</v>
      </c>
      <c r="J356" s="8" t="s">
        <v>22</v>
      </c>
      <c r="K356" s="8" t="s">
        <v>44</v>
      </c>
      <c r="L356" s="8" t="s">
        <v>208</v>
      </c>
      <c r="M356" s="10" t="s">
        <v>956</v>
      </c>
      <c r="N356" s="11" t="s">
        <v>1056</v>
      </c>
    </row>
    <row r="357" spans="1:14" ht="15.75" customHeight="1" x14ac:dyDescent="0.15">
      <c r="A357" s="6" t="s">
        <v>1078</v>
      </c>
      <c r="B357" s="12" t="s">
        <v>129</v>
      </c>
      <c r="C357" s="7" t="s">
        <v>1079</v>
      </c>
      <c r="D357" s="13" t="s">
        <v>107</v>
      </c>
      <c r="E357" s="14">
        <v>35667</v>
      </c>
      <c r="F357" s="13" t="s">
        <v>148</v>
      </c>
      <c r="G357" s="13" t="s">
        <v>204</v>
      </c>
      <c r="H357" s="13" t="s">
        <v>32</v>
      </c>
      <c r="I357" s="13" t="s">
        <v>21</v>
      </c>
      <c r="J357" s="13" t="s">
        <v>22</v>
      </c>
      <c r="K357" s="13" t="s">
        <v>44</v>
      </c>
      <c r="L357" s="13" t="s">
        <v>208</v>
      </c>
      <c r="M357" s="15" t="s">
        <v>111</v>
      </c>
      <c r="N357" s="11" t="s">
        <v>1056</v>
      </c>
    </row>
    <row r="358" spans="1:14" ht="15.75" customHeight="1" x14ac:dyDescent="0.15">
      <c r="A358" s="6" t="s">
        <v>1080</v>
      </c>
      <c r="B358" s="6" t="s">
        <v>135</v>
      </c>
      <c r="C358" s="7" t="s">
        <v>1081</v>
      </c>
      <c r="D358" s="8" t="s">
        <v>107</v>
      </c>
      <c r="E358" s="9">
        <v>34759</v>
      </c>
      <c r="F358" s="8" t="s">
        <v>59</v>
      </c>
      <c r="G358" s="8" t="s">
        <v>60</v>
      </c>
      <c r="H358" s="8" t="s">
        <v>32</v>
      </c>
      <c r="I358" s="8" t="s">
        <v>197</v>
      </c>
      <c r="J358" s="8" t="s">
        <v>54</v>
      </c>
      <c r="K358" s="8" t="s">
        <v>77</v>
      </c>
      <c r="L358" s="8" t="s">
        <v>78</v>
      </c>
      <c r="M358" s="10" t="s">
        <v>1082</v>
      </c>
      <c r="N358" s="11" t="s">
        <v>1056</v>
      </c>
    </row>
    <row r="359" spans="1:14" ht="15.75" customHeight="1" x14ac:dyDescent="0.15">
      <c r="A359" s="12" t="s">
        <v>1083</v>
      </c>
      <c r="B359" s="12" t="s">
        <v>153</v>
      </c>
      <c r="C359" s="7" t="s">
        <v>1084</v>
      </c>
      <c r="D359" s="13" t="s">
        <v>107</v>
      </c>
      <c r="E359" s="14">
        <v>35255</v>
      </c>
      <c r="F359" s="13" t="s">
        <v>66</v>
      </c>
      <c r="G359" s="13" t="s">
        <v>31</v>
      </c>
      <c r="H359" s="13" t="s">
        <v>179</v>
      </c>
      <c r="I359" s="13" t="s">
        <v>149</v>
      </c>
      <c r="J359" s="13" t="s">
        <v>54</v>
      </c>
      <c r="K359" s="13" t="s">
        <v>44</v>
      </c>
      <c r="L359" s="13" t="s">
        <v>297</v>
      </c>
      <c r="M359" s="15" t="s">
        <v>641</v>
      </c>
      <c r="N359" s="11" t="s">
        <v>1056</v>
      </c>
    </row>
    <row r="360" spans="1:14" ht="15.75" customHeight="1" x14ac:dyDescent="0.15">
      <c r="A360" s="6" t="s">
        <v>1085</v>
      </c>
      <c r="B360" s="6" t="s">
        <v>142</v>
      </c>
      <c r="C360" s="7" t="s">
        <v>1086</v>
      </c>
      <c r="D360" s="8" t="s">
        <v>107</v>
      </c>
      <c r="E360" s="9">
        <v>33826</v>
      </c>
      <c r="F360" s="8" t="s">
        <v>430</v>
      </c>
      <c r="G360" s="8" t="s">
        <v>622</v>
      </c>
      <c r="H360" s="8" t="s">
        <v>88</v>
      </c>
      <c r="I360" s="8" t="s">
        <v>756</v>
      </c>
      <c r="J360" s="8" t="s">
        <v>76</v>
      </c>
      <c r="K360" s="8" t="s">
        <v>44</v>
      </c>
      <c r="L360" s="8" t="s">
        <v>404</v>
      </c>
      <c r="M360" s="10" t="s">
        <v>1087</v>
      </c>
      <c r="N360" s="11" t="s">
        <v>1056</v>
      </c>
    </row>
    <row r="361" spans="1:14" ht="15.75" customHeight="1" x14ac:dyDescent="0.15">
      <c r="A361" s="12" t="s">
        <v>1088</v>
      </c>
      <c r="B361" s="12" t="s">
        <v>162</v>
      </c>
      <c r="C361" s="7" t="s">
        <v>1089</v>
      </c>
      <c r="D361" s="13" t="s">
        <v>107</v>
      </c>
      <c r="E361" s="14">
        <v>37098</v>
      </c>
      <c r="F361" s="13" t="s">
        <v>203</v>
      </c>
      <c r="G361" s="13" t="s">
        <v>138</v>
      </c>
      <c r="H361" s="13" t="s">
        <v>20</v>
      </c>
      <c r="I361" s="13" t="s">
        <v>127</v>
      </c>
      <c r="J361" s="13" t="s">
        <v>22</v>
      </c>
      <c r="K361" s="13" t="s">
        <v>77</v>
      </c>
      <c r="L361" s="13" t="s">
        <v>561</v>
      </c>
      <c r="M361" s="15" t="s">
        <v>1067</v>
      </c>
      <c r="N361" s="11" t="s">
        <v>1056</v>
      </c>
    </row>
    <row r="362" spans="1:14" ht="15.75" customHeight="1" x14ac:dyDescent="0.15">
      <c r="A362" s="6" t="s">
        <v>1090</v>
      </c>
      <c r="B362" s="6" t="s">
        <v>146</v>
      </c>
      <c r="C362" s="7" t="s">
        <v>1091</v>
      </c>
      <c r="D362" s="8" t="s">
        <v>107</v>
      </c>
      <c r="E362" s="16">
        <v>36493</v>
      </c>
      <c r="F362" s="8" t="s">
        <v>40</v>
      </c>
      <c r="G362" s="8" t="s">
        <v>243</v>
      </c>
      <c r="H362" s="8" t="s">
        <v>52</v>
      </c>
      <c r="I362" s="8" t="s">
        <v>120</v>
      </c>
      <c r="J362" s="8" t="s">
        <v>54</v>
      </c>
      <c r="K362" s="8" t="s">
        <v>77</v>
      </c>
      <c r="L362" s="8" t="s">
        <v>431</v>
      </c>
      <c r="M362" s="10" t="s">
        <v>458</v>
      </c>
      <c r="N362" s="11" t="s">
        <v>1056</v>
      </c>
    </row>
    <row r="363" spans="1:14" ht="15.75" customHeight="1" x14ac:dyDescent="0.15">
      <c r="A363" s="6" t="s">
        <v>1092</v>
      </c>
      <c r="B363" s="12" t="s">
        <v>159</v>
      </c>
      <c r="C363" s="7" t="s">
        <v>1093</v>
      </c>
      <c r="D363" s="13" t="s">
        <v>107</v>
      </c>
      <c r="E363" s="14">
        <v>36074</v>
      </c>
      <c r="F363" s="13" t="s">
        <v>30</v>
      </c>
      <c r="G363" s="13" t="s">
        <v>41</v>
      </c>
      <c r="H363" s="13" t="s">
        <v>139</v>
      </c>
      <c r="I363" s="13" t="s">
        <v>115</v>
      </c>
      <c r="J363" s="13" t="s">
        <v>22</v>
      </c>
      <c r="K363" s="13" t="s">
        <v>44</v>
      </c>
      <c r="L363" s="13" t="s">
        <v>55</v>
      </c>
      <c r="M363" s="15" t="s">
        <v>161</v>
      </c>
      <c r="N363" s="11" t="s">
        <v>1056</v>
      </c>
    </row>
    <row r="364" spans="1:14" ht="15.75" customHeight="1" x14ac:dyDescent="0.15">
      <c r="A364" s="12" t="s">
        <v>1094</v>
      </c>
      <c r="B364" s="6" t="s">
        <v>163</v>
      </c>
      <c r="C364" s="7" t="s">
        <v>1095</v>
      </c>
      <c r="D364" s="8" t="s">
        <v>49</v>
      </c>
      <c r="E364" s="9">
        <v>32246</v>
      </c>
      <c r="F364" s="8" t="s">
        <v>332</v>
      </c>
      <c r="G364" s="8" t="s">
        <v>608</v>
      </c>
      <c r="H364" s="8" t="s">
        <v>68</v>
      </c>
      <c r="I364" s="8" t="s">
        <v>414</v>
      </c>
      <c r="J364" s="8" t="s">
        <v>76</v>
      </c>
      <c r="K364" s="8" t="s">
        <v>44</v>
      </c>
      <c r="L364" s="8" t="s">
        <v>62</v>
      </c>
      <c r="M364" s="10" t="s">
        <v>434</v>
      </c>
      <c r="N364" s="11" t="s">
        <v>1056</v>
      </c>
    </row>
    <row r="365" spans="1:14" ht="15.75" customHeight="1" x14ac:dyDescent="0.15">
      <c r="A365" s="6" t="s">
        <v>1096</v>
      </c>
      <c r="B365" s="12" t="s">
        <v>168</v>
      </c>
      <c r="C365" s="7" t="s">
        <v>1097</v>
      </c>
      <c r="D365" s="13" t="s">
        <v>107</v>
      </c>
      <c r="E365" s="14">
        <v>37561</v>
      </c>
      <c r="F365" s="13" t="s">
        <v>186</v>
      </c>
      <c r="G365" s="13" t="s">
        <v>131</v>
      </c>
      <c r="H365" s="13" t="s">
        <v>20</v>
      </c>
      <c r="I365" s="13" t="s">
        <v>149</v>
      </c>
      <c r="J365" s="13" t="s">
        <v>22</v>
      </c>
      <c r="K365" s="13" t="s">
        <v>77</v>
      </c>
      <c r="L365" s="13" t="s">
        <v>70</v>
      </c>
      <c r="M365" s="15" t="s">
        <v>36</v>
      </c>
      <c r="N365" s="11" t="s">
        <v>1056</v>
      </c>
    </row>
    <row r="366" spans="1:14" ht="15.75" customHeight="1" x14ac:dyDescent="0.15">
      <c r="A366" s="12" t="s">
        <v>1098</v>
      </c>
      <c r="B366" s="6" t="s">
        <v>173</v>
      </c>
      <c r="C366" s="7" t="s">
        <v>1099</v>
      </c>
      <c r="D366" s="8" t="s">
        <v>107</v>
      </c>
      <c r="E366" s="9">
        <v>34855</v>
      </c>
      <c r="F366" s="8" t="s">
        <v>59</v>
      </c>
      <c r="G366" s="8" t="s">
        <v>67</v>
      </c>
      <c r="H366" s="8" t="s">
        <v>369</v>
      </c>
      <c r="I366" s="8" t="s">
        <v>438</v>
      </c>
      <c r="J366" s="8" t="s">
        <v>76</v>
      </c>
      <c r="K366" s="8" t="s">
        <v>44</v>
      </c>
      <c r="L366" s="8" t="s">
        <v>151</v>
      </c>
      <c r="M366" s="10" t="s">
        <v>97</v>
      </c>
      <c r="N366" s="11" t="s">
        <v>1056</v>
      </c>
    </row>
    <row r="367" spans="1:14" ht="15.75" customHeight="1" x14ac:dyDescent="0.15">
      <c r="A367" s="6" t="s">
        <v>1100</v>
      </c>
      <c r="B367" s="12" t="s">
        <v>175</v>
      </c>
      <c r="C367" s="7" t="s">
        <v>1101</v>
      </c>
      <c r="D367" s="13" t="s">
        <v>107</v>
      </c>
      <c r="E367" s="17">
        <v>37253</v>
      </c>
      <c r="F367" s="13" t="s">
        <v>137</v>
      </c>
      <c r="G367" s="13" t="s">
        <v>138</v>
      </c>
      <c r="H367" s="13" t="s">
        <v>114</v>
      </c>
      <c r="I367" s="13" t="s">
        <v>127</v>
      </c>
      <c r="J367" s="13" t="s">
        <v>54</v>
      </c>
      <c r="K367" s="13" t="s">
        <v>77</v>
      </c>
      <c r="L367" s="13" t="s">
        <v>128</v>
      </c>
      <c r="M367" s="15" t="s">
        <v>161</v>
      </c>
      <c r="N367" s="11" t="s">
        <v>1056</v>
      </c>
    </row>
    <row r="368" spans="1:14" ht="15.75" customHeight="1" x14ac:dyDescent="0.15">
      <c r="A368" s="6" t="s">
        <v>1102</v>
      </c>
      <c r="B368" s="6" t="s">
        <v>200</v>
      </c>
      <c r="C368" s="7" t="s">
        <v>1103</v>
      </c>
      <c r="D368" s="8" t="s">
        <v>49</v>
      </c>
      <c r="E368" s="9">
        <v>35944</v>
      </c>
      <c r="F368" s="8" t="s">
        <v>212</v>
      </c>
      <c r="G368" s="8" t="s">
        <v>60</v>
      </c>
      <c r="H368" s="8" t="s">
        <v>179</v>
      </c>
      <c r="I368" s="8" t="s">
        <v>470</v>
      </c>
      <c r="J368" s="8" t="s">
        <v>54</v>
      </c>
      <c r="K368" s="8" t="s">
        <v>23</v>
      </c>
      <c r="L368" s="8" t="s">
        <v>165</v>
      </c>
      <c r="M368" s="10" t="s">
        <v>166</v>
      </c>
      <c r="N368" s="11" t="s">
        <v>1056</v>
      </c>
    </row>
    <row r="369" spans="1:14" ht="15.75" customHeight="1" x14ac:dyDescent="0.15">
      <c r="A369" s="12" t="s">
        <v>1104</v>
      </c>
      <c r="B369" s="12" t="s">
        <v>177</v>
      </c>
      <c r="C369" s="7" t="s">
        <v>1105</v>
      </c>
      <c r="D369" s="13" t="s">
        <v>49</v>
      </c>
      <c r="E369" s="14">
        <v>35829</v>
      </c>
      <c r="F369" s="13" t="s">
        <v>212</v>
      </c>
      <c r="G369" s="13" t="s">
        <v>204</v>
      </c>
      <c r="H369" s="13" t="s">
        <v>52</v>
      </c>
      <c r="I369" s="13" t="s">
        <v>149</v>
      </c>
      <c r="J369" s="13" t="s">
        <v>54</v>
      </c>
      <c r="K369" s="13" t="s">
        <v>44</v>
      </c>
      <c r="L369" s="13" t="s">
        <v>78</v>
      </c>
      <c r="M369" s="15" t="s">
        <v>199</v>
      </c>
      <c r="N369" s="11" t="s">
        <v>1056</v>
      </c>
    </row>
    <row r="370" spans="1:14" ht="15.75" customHeight="1" x14ac:dyDescent="0.15">
      <c r="A370" s="6" t="s">
        <v>1106</v>
      </c>
      <c r="B370" s="6" t="s">
        <v>180</v>
      </c>
      <c r="C370" s="7" t="s">
        <v>1107</v>
      </c>
      <c r="D370" s="8" t="s">
        <v>17</v>
      </c>
      <c r="E370" s="9">
        <v>32943</v>
      </c>
      <c r="F370" s="8" t="s">
        <v>125</v>
      </c>
      <c r="G370" s="8" t="s">
        <v>618</v>
      </c>
      <c r="H370" s="8" t="s">
        <v>74</v>
      </c>
      <c r="I370" s="8" t="s">
        <v>75</v>
      </c>
      <c r="J370" s="8" t="s">
        <v>54</v>
      </c>
      <c r="K370" s="8" t="s">
        <v>44</v>
      </c>
      <c r="L370" s="8" t="s">
        <v>218</v>
      </c>
      <c r="M370" s="10" t="s">
        <v>397</v>
      </c>
      <c r="N370" s="11" t="s">
        <v>1056</v>
      </c>
    </row>
    <row r="371" spans="1:14" ht="15.75" customHeight="1" x14ac:dyDescent="0.15">
      <c r="A371" s="12" t="s">
        <v>1108</v>
      </c>
      <c r="B371" s="12" t="s">
        <v>184</v>
      </c>
      <c r="C371" s="7" t="s">
        <v>1109</v>
      </c>
      <c r="D371" s="13" t="s">
        <v>107</v>
      </c>
      <c r="E371" s="14">
        <v>36065</v>
      </c>
      <c r="F371" s="13" t="s">
        <v>30</v>
      </c>
      <c r="G371" s="13" t="s">
        <v>60</v>
      </c>
      <c r="H371" s="13" t="s">
        <v>42</v>
      </c>
      <c r="I371" s="13" t="s">
        <v>470</v>
      </c>
      <c r="J371" s="13" t="s">
        <v>54</v>
      </c>
      <c r="K371" s="13" t="s">
        <v>77</v>
      </c>
      <c r="L371" s="13" t="s">
        <v>244</v>
      </c>
      <c r="M371" s="15" t="s">
        <v>956</v>
      </c>
      <c r="N371" s="11" t="s">
        <v>1056</v>
      </c>
    </row>
    <row r="372" spans="1:14" ht="15.75" customHeight="1" x14ac:dyDescent="0.15">
      <c r="A372" s="6" t="s">
        <v>1110</v>
      </c>
      <c r="B372" s="6" t="s">
        <v>189</v>
      </c>
      <c r="C372" s="7" t="s">
        <v>1111</v>
      </c>
      <c r="D372" s="8" t="s">
        <v>107</v>
      </c>
      <c r="E372" s="9">
        <v>37893</v>
      </c>
      <c r="F372" s="8" t="s">
        <v>92</v>
      </c>
      <c r="G372" s="8" t="s">
        <v>93</v>
      </c>
      <c r="H372" s="8" t="s">
        <v>68</v>
      </c>
      <c r="I372" s="8" t="s">
        <v>95</v>
      </c>
      <c r="J372" s="8" t="s">
        <v>22</v>
      </c>
      <c r="K372" s="8" t="s">
        <v>44</v>
      </c>
      <c r="L372" s="8" t="s">
        <v>128</v>
      </c>
      <c r="M372" s="10" t="s">
        <v>467</v>
      </c>
      <c r="N372" s="11" t="s">
        <v>1056</v>
      </c>
    </row>
    <row r="373" spans="1:14" ht="15.75" customHeight="1" x14ac:dyDescent="0.15">
      <c r="A373" s="6" t="s">
        <v>1112</v>
      </c>
      <c r="B373" s="12" t="s">
        <v>194</v>
      </c>
      <c r="C373" s="7" t="s">
        <v>1113</v>
      </c>
      <c r="D373" s="13" t="s">
        <v>107</v>
      </c>
      <c r="E373" s="14">
        <v>35482</v>
      </c>
      <c r="F373" s="13" t="s">
        <v>148</v>
      </c>
      <c r="G373" s="13" t="s">
        <v>293</v>
      </c>
      <c r="H373" s="13" t="s">
        <v>156</v>
      </c>
      <c r="I373" s="13" t="s">
        <v>127</v>
      </c>
      <c r="J373" s="13" t="s">
        <v>54</v>
      </c>
      <c r="K373" s="13" t="s">
        <v>77</v>
      </c>
      <c r="L373" s="13" t="s">
        <v>511</v>
      </c>
      <c r="M373" s="15" t="s">
        <v>387</v>
      </c>
      <c r="N373" s="11" t="s">
        <v>1056</v>
      </c>
    </row>
    <row r="374" spans="1:14" ht="15.75" customHeight="1" x14ac:dyDescent="0.15">
      <c r="A374" s="12" t="s">
        <v>1114</v>
      </c>
      <c r="B374" s="6" t="s">
        <v>201</v>
      </c>
      <c r="C374" s="7" t="s">
        <v>1115</v>
      </c>
      <c r="D374" s="8" t="s">
        <v>39</v>
      </c>
      <c r="E374" s="9">
        <v>33997</v>
      </c>
      <c r="F374" s="8" t="s">
        <v>182</v>
      </c>
      <c r="G374" s="8" t="s">
        <v>293</v>
      </c>
      <c r="H374" s="8" t="s">
        <v>42</v>
      </c>
      <c r="I374" s="8" t="s">
        <v>95</v>
      </c>
      <c r="J374" s="8" t="s">
        <v>76</v>
      </c>
      <c r="K374" s="8" t="s">
        <v>23</v>
      </c>
      <c r="L374" s="8" t="s">
        <v>78</v>
      </c>
      <c r="M374" s="10" t="s">
        <v>704</v>
      </c>
      <c r="N374" s="11" t="s">
        <v>1056</v>
      </c>
    </row>
    <row r="375" spans="1:14" ht="15.75" customHeight="1" x14ac:dyDescent="0.15">
      <c r="A375" s="6" t="s">
        <v>1116</v>
      </c>
      <c r="B375" s="12" t="s">
        <v>205</v>
      </c>
      <c r="C375" s="7" t="s">
        <v>1117</v>
      </c>
      <c r="D375" s="13" t="s">
        <v>107</v>
      </c>
      <c r="E375" s="14">
        <v>37899</v>
      </c>
      <c r="F375" s="13" t="s">
        <v>92</v>
      </c>
      <c r="G375" s="13" t="s">
        <v>93</v>
      </c>
      <c r="H375" s="13" t="s">
        <v>225</v>
      </c>
      <c r="I375" s="13" t="s">
        <v>115</v>
      </c>
      <c r="J375" s="13" t="s">
        <v>22</v>
      </c>
      <c r="K375" s="13" t="s">
        <v>44</v>
      </c>
      <c r="L375" s="13" t="s">
        <v>35</v>
      </c>
      <c r="M375" s="15" t="s">
        <v>219</v>
      </c>
      <c r="N375" s="11" t="s">
        <v>1056</v>
      </c>
    </row>
    <row r="376" spans="1:14" ht="15.75" customHeight="1" x14ac:dyDescent="0.15">
      <c r="A376" s="12" t="s">
        <v>1118</v>
      </c>
      <c r="B376" s="6" t="s">
        <v>210</v>
      </c>
      <c r="C376" s="7" t="s">
        <v>1119</v>
      </c>
      <c r="D376" s="8" t="s">
        <v>107</v>
      </c>
      <c r="E376" s="9">
        <v>36005</v>
      </c>
      <c r="F376" s="8" t="s">
        <v>212</v>
      </c>
      <c r="G376" s="8" t="s">
        <v>41</v>
      </c>
      <c r="H376" s="8" t="s">
        <v>144</v>
      </c>
      <c r="I376" s="8" t="s">
        <v>192</v>
      </c>
      <c r="J376" s="8" t="s">
        <v>54</v>
      </c>
      <c r="K376" s="8" t="s">
        <v>77</v>
      </c>
      <c r="L376" s="8" t="s">
        <v>297</v>
      </c>
      <c r="M376" s="10" t="s">
        <v>467</v>
      </c>
      <c r="N376" s="11" t="s">
        <v>1056</v>
      </c>
    </row>
    <row r="377" spans="1:14" ht="15.75" customHeight="1" x14ac:dyDescent="0.15">
      <c r="A377" s="6" t="s">
        <v>1120</v>
      </c>
      <c r="B377" s="12" t="s">
        <v>220</v>
      </c>
      <c r="C377" s="7" t="s">
        <v>1121</v>
      </c>
      <c r="D377" s="13" t="s">
        <v>107</v>
      </c>
      <c r="E377" s="17">
        <v>35775</v>
      </c>
      <c r="F377" s="13" t="s">
        <v>212</v>
      </c>
      <c r="G377" s="13" t="s">
        <v>204</v>
      </c>
      <c r="H377" s="13" t="s">
        <v>102</v>
      </c>
      <c r="I377" s="13" t="s">
        <v>157</v>
      </c>
      <c r="J377" s="13" t="s">
        <v>22</v>
      </c>
      <c r="K377" s="13" t="s">
        <v>23</v>
      </c>
      <c r="L377" s="13" t="s">
        <v>165</v>
      </c>
      <c r="M377" s="15" t="s">
        <v>71</v>
      </c>
      <c r="N377" s="11" t="s">
        <v>1056</v>
      </c>
    </row>
    <row r="378" spans="1:14" ht="15.75" customHeight="1" x14ac:dyDescent="0.15">
      <c r="A378" s="6" t="s">
        <v>1122</v>
      </c>
      <c r="B378" s="6" t="s">
        <v>223</v>
      </c>
      <c r="C378" s="7" t="s">
        <v>1123</v>
      </c>
      <c r="D378" s="8" t="s">
        <v>107</v>
      </c>
      <c r="E378" s="16">
        <v>36123</v>
      </c>
      <c r="F378" s="8" t="s">
        <v>30</v>
      </c>
      <c r="G378" s="8" t="s">
        <v>93</v>
      </c>
      <c r="H378" s="8" t="s">
        <v>535</v>
      </c>
      <c r="I378" s="8" t="s">
        <v>213</v>
      </c>
      <c r="J378" s="8" t="s">
        <v>150</v>
      </c>
      <c r="K378" s="8" t="s">
        <v>44</v>
      </c>
      <c r="L378" s="8" t="s">
        <v>151</v>
      </c>
      <c r="M378" s="10" t="s">
        <v>338</v>
      </c>
      <c r="N378" s="11" t="s">
        <v>1056</v>
      </c>
    </row>
    <row r="379" spans="1:14" ht="15.75" customHeight="1" x14ac:dyDescent="0.15">
      <c r="A379" s="12" t="s">
        <v>1124</v>
      </c>
      <c r="B379" s="12" t="s">
        <v>227</v>
      </c>
      <c r="C379" s="7" t="s">
        <v>1125</v>
      </c>
      <c r="D379" s="13" t="s">
        <v>107</v>
      </c>
      <c r="E379" s="17">
        <v>35352</v>
      </c>
      <c r="F379" s="13" t="s">
        <v>148</v>
      </c>
      <c r="G379" s="13" t="s">
        <v>19</v>
      </c>
      <c r="H379" s="13" t="s">
        <v>94</v>
      </c>
      <c r="I379" s="13" t="s">
        <v>213</v>
      </c>
      <c r="J379" s="13" t="s">
        <v>22</v>
      </c>
      <c r="K379" s="13" t="s">
        <v>44</v>
      </c>
      <c r="L379" s="13" t="s">
        <v>55</v>
      </c>
      <c r="M379" s="15" t="s">
        <v>145</v>
      </c>
      <c r="N379" s="11" t="s">
        <v>1056</v>
      </c>
    </row>
    <row r="380" spans="1:14" ht="15.75" customHeight="1" x14ac:dyDescent="0.15">
      <c r="A380" s="6" t="s">
        <v>1126</v>
      </c>
      <c r="B380" s="6" t="s">
        <v>230</v>
      </c>
      <c r="C380" s="7" t="s">
        <v>1127</v>
      </c>
      <c r="D380" s="8" t="s">
        <v>17</v>
      </c>
      <c r="E380" s="16">
        <v>36846</v>
      </c>
      <c r="F380" s="8" t="s">
        <v>203</v>
      </c>
      <c r="G380" s="8" t="s">
        <v>19</v>
      </c>
      <c r="H380" s="8" t="s">
        <v>32</v>
      </c>
      <c r="I380" s="8" t="s">
        <v>651</v>
      </c>
      <c r="J380" s="8" t="s">
        <v>22</v>
      </c>
      <c r="K380" s="8" t="s">
        <v>23</v>
      </c>
      <c r="L380" s="8" t="s">
        <v>431</v>
      </c>
      <c r="M380" s="10" t="s">
        <v>36</v>
      </c>
      <c r="N380" s="11" t="s">
        <v>1056</v>
      </c>
    </row>
    <row r="381" spans="1:14" ht="15.75" customHeight="1" x14ac:dyDescent="0.15">
      <c r="A381" s="12" t="s">
        <v>1128</v>
      </c>
      <c r="B381" s="12" t="s">
        <v>234</v>
      </c>
      <c r="C381" s="7" t="s">
        <v>1129</v>
      </c>
      <c r="D381" s="13" t="s">
        <v>107</v>
      </c>
      <c r="E381" s="14">
        <v>36421</v>
      </c>
      <c r="F381" s="13" t="s">
        <v>40</v>
      </c>
      <c r="G381" s="13" t="s">
        <v>243</v>
      </c>
      <c r="H381" s="13" t="s">
        <v>156</v>
      </c>
      <c r="I381" s="13" t="s">
        <v>651</v>
      </c>
      <c r="J381" s="13" t="s">
        <v>54</v>
      </c>
      <c r="K381" s="13" t="s">
        <v>44</v>
      </c>
      <c r="L381" s="13" t="s">
        <v>133</v>
      </c>
      <c r="M381" s="15" t="s">
        <v>141</v>
      </c>
      <c r="N381" s="11" t="s">
        <v>1056</v>
      </c>
    </row>
    <row r="382" spans="1:14" ht="15.75" customHeight="1" x14ac:dyDescent="0.15">
      <c r="A382" s="6" t="s">
        <v>1130</v>
      </c>
      <c r="B382" s="6" t="s">
        <v>236</v>
      </c>
      <c r="C382" s="7" t="s">
        <v>1131</v>
      </c>
      <c r="D382" s="8" t="s">
        <v>107</v>
      </c>
      <c r="E382" s="9">
        <v>38065</v>
      </c>
      <c r="F382" s="8" t="s">
        <v>92</v>
      </c>
      <c r="G382" s="8" t="s">
        <v>93</v>
      </c>
      <c r="H382" s="8" t="s">
        <v>94</v>
      </c>
      <c r="I382" s="8" t="s">
        <v>157</v>
      </c>
      <c r="J382" s="8" t="s">
        <v>54</v>
      </c>
      <c r="K382" s="8" t="s">
        <v>44</v>
      </c>
      <c r="L382" s="8" t="s">
        <v>297</v>
      </c>
      <c r="M382" s="10" t="s">
        <v>262</v>
      </c>
      <c r="N382" s="11" t="s">
        <v>1056</v>
      </c>
    </row>
    <row r="383" spans="1:14" ht="15.75" customHeight="1" x14ac:dyDescent="0.15">
      <c r="A383" s="6" t="s">
        <v>1132</v>
      </c>
      <c r="B383" s="12" t="s">
        <v>241</v>
      </c>
      <c r="C383" s="7" t="s">
        <v>1133</v>
      </c>
      <c r="D383" s="13" t="s">
        <v>107</v>
      </c>
      <c r="E383" s="14">
        <v>38134</v>
      </c>
      <c r="F383" s="13" t="s">
        <v>92</v>
      </c>
      <c r="G383" s="13" t="s">
        <v>41</v>
      </c>
      <c r="H383" s="13" t="s">
        <v>191</v>
      </c>
      <c r="I383" s="13" t="s">
        <v>342</v>
      </c>
      <c r="J383" s="13" t="s">
        <v>22</v>
      </c>
      <c r="K383" s="13" t="s">
        <v>23</v>
      </c>
      <c r="L383" s="13" t="s">
        <v>128</v>
      </c>
      <c r="M383" s="15" t="s">
        <v>219</v>
      </c>
      <c r="N383" s="11" t="s">
        <v>1056</v>
      </c>
    </row>
    <row r="384" spans="1:14" ht="15.75" customHeight="1" x14ac:dyDescent="0.15">
      <c r="A384" s="12" t="s">
        <v>1134</v>
      </c>
      <c r="B384" s="6" t="s">
        <v>246</v>
      </c>
      <c r="C384" s="7" t="s">
        <v>1135</v>
      </c>
      <c r="D384" s="8" t="s">
        <v>107</v>
      </c>
      <c r="E384" s="9">
        <v>36070</v>
      </c>
      <c r="F384" s="8" t="s">
        <v>30</v>
      </c>
      <c r="G384" s="8" t="s">
        <v>60</v>
      </c>
      <c r="H384" s="8" t="s">
        <v>333</v>
      </c>
      <c r="I384" s="8" t="s">
        <v>157</v>
      </c>
      <c r="J384" s="8" t="s">
        <v>22</v>
      </c>
      <c r="K384" s="8" t="s">
        <v>44</v>
      </c>
      <c r="L384" s="8" t="s">
        <v>116</v>
      </c>
      <c r="M384" s="10" t="s">
        <v>1136</v>
      </c>
      <c r="N384" s="11" t="s">
        <v>1056</v>
      </c>
    </row>
    <row r="385" spans="1:14" ht="15.75" customHeight="1" x14ac:dyDescent="0.15">
      <c r="A385" s="6" t="s">
        <v>1137</v>
      </c>
      <c r="B385" s="12" t="s">
        <v>249</v>
      </c>
      <c r="C385" s="7" t="s">
        <v>1138</v>
      </c>
      <c r="D385" s="13" t="s">
        <v>17</v>
      </c>
      <c r="E385" s="14">
        <v>37444</v>
      </c>
      <c r="F385" s="13" t="s">
        <v>137</v>
      </c>
      <c r="G385" s="13" t="s">
        <v>131</v>
      </c>
      <c r="H385" s="13" t="s">
        <v>42</v>
      </c>
      <c r="I385" s="13" t="s">
        <v>651</v>
      </c>
      <c r="J385" s="13" t="s">
        <v>22</v>
      </c>
      <c r="K385" s="13" t="s">
        <v>44</v>
      </c>
      <c r="L385" s="13" t="s">
        <v>218</v>
      </c>
      <c r="M385" s="15" t="s">
        <v>219</v>
      </c>
      <c r="N385" s="11" t="s">
        <v>1056</v>
      </c>
    </row>
    <row r="386" spans="1:14" ht="15.75" customHeight="1" x14ac:dyDescent="0.15">
      <c r="A386" s="12" t="s">
        <v>1139</v>
      </c>
      <c r="B386" s="6" t="s">
        <v>253</v>
      </c>
      <c r="C386" s="7" t="s">
        <v>1140</v>
      </c>
      <c r="D386" s="8" t="s">
        <v>107</v>
      </c>
      <c r="E386" s="9">
        <v>37131</v>
      </c>
      <c r="F386" s="8" t="s">
        <v>203</v>
      </c>
      <c r="G386" s="8" t="s">
        <v>138</v>
      </c>
      <c r="H386" s="8" t="s">
        <v>171</v>
      </c>
      <c r="I386" s="8" t="s">
        <v>385</v>
      </c>
      <c r="J386" s="8" t="s">
        <v>54</v>
      </c>
      <c r="K386" s="8" t="s">
        <v>44</v>
      </c>
      <c r="L386" s="8" t="s">
        <v>110</v>
      </c>
      <c r="M386" s="10" t="s">
        <v>628</v>
      </c>
      <c r="N386" s="11" t="s">
        <v>1056</v>
      </c>
    </row>
    <row r="387" spans="1:14" ht="15.75" customHeight="1" x14ac:dyDescent="0.15">
      <c r="A387" s="6" t="s">
        <v>1141</v>
      </c>
      <c r="B387" s="12" t="s">
        <v>257</v>
      </c>
      <c r="C387" s="7" t="s">
        <v>1142</v>
      </c>
      <c r="D387" s="13" t="s">
        <v>39</v>
      </c>
      <c r="E387" s="14">
        <v>38077</v>
      </c>
      <c r="F387" s="13" t="s">
        <v>92</v>
      </c>
      <c r="G387" s="13" t="s">
        <v>93</v>
      </c>
      <c r="H387" s="13" t="s">
        <v>88</v>
      </c>
      <c r="I387" s="13" t="s">
        <v>43</v>
      </c>
      <c r="J387" s="13" t="s">
        <v>54</v>
      </c>
      <c r="K387" s="13" t="s">
        <v>294</v>
      </c>
      <c r="L387" s="13" t="s">
        <v>128</v>
      </c>
      <c r="M387" s="15" t="s">
        <v>97</v>
      </c>
      <c r="N387" s="11" t="s">
        <v>1056</v>
      </c>
    </row>
    <row r="388" spans="1:14" ht="15.75" customHeight="1" x14ac:dyDescent="0.15">
      <c r="A388" s="6" t="s">
        <v>1143</v>
      </c>
      <c r="B388" s="6" t="s">
        <v>259</v>
      </c>
      <c r="C388" s="7" t="s">
        <v>1144</v>
      </c>
      <c r="D388" s="8" t="s">
        <v>39</v>
      </c>
      <c r="E388" s="9">
        <v>35212</v>
      </c>
      <c r="F388" s="8" t="s">
        <v>66</v>
      </c>
      <c r="G388" s="8" t="s">
        <v>243</v>
      </c>
      <c r="H388" s="8" t="s">
        <v>171</v>
      </c>
      <c r="I388" s="8" t="s">
        <v>1145</v>
      </c>
      <c r="J388" s="8" t="s">
        <v>22</v>
      </c>
      <c r="K388" s="8" t="s">
        <v>44</v>
      </c>
      <c r="L388" s="8" t="s">
        <v>511</v>
      </c>
      <c r="M388" s="10" t="s">
        <v>1146</v>
      </c>
      <c r="N388" s="11" t="s">
        <v>1056</v>
      </c>
    </row>
    <row r="389" spans="1:14" ht="15.75" customHeight="1" x14ac:dyDescent="0.15">
      <c r="A389" s="12" t="s">
        <v>1147</v>
      </c>
      <c r="B389" s="12" t="s">
        <v>263</v>
      </c>
      <c r="C389" s="7" t="s">
        <v>1148</v>
      </c>
      <c r="D389" s="13" t="s">
        <v>107</v>
      </c>
      <c r="E389" s="14">
        <v>37419</v>
      </c>
      <c r="F389" s="13" t="s">
        <v>137</v>
      </c>
      <c r="G389" s="13" t="s">
        <v>131</v>
      </c>
      <c r="H389" s="13" t="s">
        <v>196</v>
      </c>
      <c r="I389" s="13" t="s">
        <v>127</v>
      </c>
      <c r="J389" s="13" t="s">
        <v>34</v>
      </c>
      <c r="K389" s="13" t="s">
        <v>23</v>
      </c>
      <c r="L389" s="13" t="s">
        <v>479</v>
      </c>
      <c r="M389" s="15" t="s">
        <v>199</v>
      </c>
      <c r="N389" s="11" t="s">
        <v>1056</v>
      </c>
    </row>
    <row r="390" spans="1:14" ht="15.75" customHeight="1" x14ac:dyDescent="0.15">
      <c r="A390" s="6" t="s">
        <v>1149</v>
      </c>
      <c r="B390" s="6" t="s">
        <v>266</v>
      </c>
      <c r="C390" s="7" t="s">
        <v>1150</v>
      </c>
      <c r="D390" s="8" t="s">
        <v>17</v>
      </c>
      <c r="E390" s="16">
        <v>39444</v>
      </c>
      <c r="F390" s="8" t="s">
        <v>571</v>
      </c>
      <c r="G390" s="8" t="s">
        <v>93</v>
      </c>
      <c r="H390" s="8" t="s">
        <v>144</v>
      </c>
      <c r="I390" s="8" t="s">
        <v>273</v>
      </c>
      <c r="J390" s="8" t="s">
        <v>54</v>
      </c>
      <c r="K390" s="8" t="s">
        <v>23</v>
      </c>
      <c r="L390" s="8" t="s">
        <v>121</v>
      </c>
      <c r="M390" s="10" t="s">
        <v>540</v>
      </c>
      <c r="N390" s="11" t="s">
        <v>1056</v>
      </c>
    </row>
    <row r="391" spans="1:14" ht="15.75" customHeight="1" x14ac:dyDescent="0.15">
      <c r="A391" s="12" t="s">
        <v>1151</v>
      </c>
      <c r="B391" s="12" t="s">
        <v>271</v>
      </c>
      <c r="C391" s="7" t="s">
        <v>1152</v>
      </c>
      <c r="D391" s="13" t="s">
        <v>39</v>
      </c>
      <c r="E391" s="14">
        <v>36798</v>
      </c>
      <c r="F391" s="13" t="s">
        <v>203</v>
      </c>
      <c r="G391" s="13" t="s">
        <v>41</v>
      </c>
      <c r="H391" s="13" t="s">
        <v>32</v>
      </c>
      <c r="I391" s="13" t="s">
        <v>120</v>
      </c>
      <c r="J391" s="13" t="s">
        <v>54</v>
      </c>
      <c r="K391" s="13" t="s">
        <v>44</v>
      </c>
      <c r="L391" s="13" t="s">
        <v>35</v>
      </c>
      <c r="M391" s="15" t="s">
        <v>219</v>
      </c>
      <c r="N391" s="11" t="s">
        <v>1056</v>
      </c>
    </row>
    <row r="392" spans="1:14" ht="15.75" customHeight="1" x14ac:dyDescent="0.15">
      <c r="A392" s="6" t="s">
        <v>1153</v>
      </c>
      <c r="B392" s="6" t="s">
        <v>275</v>
      </c>
      <c r="C392" s="7" t="s">
        <v>1154</v>
      </c>
      <c r="D392" s="8" t="s">
        <v>49</v>
      </c>
      <c r="E392" s="16">
        <v>37190</v>
      </c>
      <c r="F392" s="8" t="s">
        <v>137</v>
      </c>
      <c r="G392" s="8" t="s">
        <v>204</v>
      </c>
      <c r="H392" s="8" t="s">
        <v>179</v>
      </c>
      <c r="I392" s="8" t="s">
        <v>470</v>
      </c>
      <c r="J392" s="8" t="s">
        <v>54</v>
      </c>
      <c r="K392" s="8" t="s">
        <v>23</v>
      </c>
      <c r="L392" s="8" t="s">
        <v>128</v>
      </c>
      <c r="M392" s="10" t="s">
        <v>248</v>
      </c>
      <c r="N392" s="11" t="s">
        <v>1056</v>
      </c>
    </row>
    <row r="393" spans="1:14" ht="15.75" customHeight="1" x14ac:dyDescent="0.15">
      <c r="A393" s="6" t="s">
        <v>1155</v>
      </c>
      <c r="B393" s="12" t="s">
        <v>278</v>
      </c>
      <c r="C393" s="7" t="s">
        <v>1156</v>
      </c>
      <c r="D393" s="13" t="s">
        <v>17</v>
      </c>
      <c r="E393" s="14">
        <v>38564</v>
      </c>
      <c r="F393" s="13" t="s">
        <v>217</v>
      </c>
      <c r="G393" s="13" t="s">
        <v>138</v>
      </c>
      <c r="H393" s="13" t="s">
        <v>88</v>
      </c>
      <c r="I393" s="13" t="s">
        <v>804</v>
      </c>
      <c r="J393" s="13" t="s">
        <v>34</v>
      </c>
      <c r="K393" s="13" t="s">
        <v>44</v>
      </c>
      <c r="L393" s="13" t="s">
        <v>301</v>
      </c>
      <c r="M393" s="15" t="s">
        <v>274</v>
      </c>
      <c r="N393" s="11" t="s">
        <v>1056</v>
      </c>
    </row>
    <row r="394" spans="1:14" ht="15.75" customHeight="1" x14ac:dyDescent="0.15">
      <c r="A394" s="12" t="s">
        <v>1157</v>
      </c>
      <c r="B394" s="6" t="s">
        <v>281</v>
      </c>
      <c r="C394" s="7" t="s">
        <v>1158</v>
      </c>
      <c r="D394" s="8" t="s">
        <v>39</v>
      </c>
      <c r="E394" s="9">
        <v>35308</v>
      </c>
      <c r="F394" s="8" t="s">
        <v>66</v>
      </c>
      <c r="G394" s="8" t="s">
        <v>19</v>
      </c>
      <c r="H394" s="8" t="s">
        <v>20</v>
      </c>
      <c r="I394" s="8" t="s">
        <v>213</v>
      </c>
      <c r="J394" s="8" t="s">
        <v>54</v>
      </c>
      <c r="K394" s="8" t="s">
        <v>23</v>
      </c>
      <c r="L394" s="8" t="s">
        <v>35</v>
      </c>
      <c r="M394" s="10" t="s">
        <v>280</v>
      </c>
      <c r="N394" s="11" t="s">
        <v>1056</v>
      </c>
    </row>
    <row r="395" spans="1:14" ht="15.75" customHeight="1" x14ac:dyDescent="0.15">
      <c r="A395" s="6" t="s">
        <v>1159</v>
      </c>
      <c r="B395" s="12" t="s">
        <v>285</v>
      </c>
      <c r="C395" s="7" t="s">
        <v>1160</v>
      </c>
      <c r="D395" s="13" t="s">
        <v>39</v>
      </c>
      <c r="E395" s="14">
        <v>37858</v>
      </c>
      <c r="F395" s="13" t="s">
        <v>186</v>
      </c>
      <c r="G395" s="13" t="s">
        <v>243</v>
      </c>
      <c r="H395" s="13" t="s">
        <v>156</v>
      </c>
      <c r="I395" s="13" t="s">
        <v>414</v>
      </c>
      <c r="J395" s="13" t="s">
        <v>22</v>
      </c>
      <c r="K395" s="13" t="s">
        <v>77</v>
      </c>
      <c r="L395" s="13" t="s">
        <v>390</v>
      </c>
      <c r="M395" s="15" t="s">
        <v>161</v>
      </c>
      <c r="N395" s="11" t="s">
        <v>1056</v>
      </c>
    </row>
    <row r="396" spans="1:14" ht="15.75" customHeight="1" x14ac:dyDescent="0.15">
      <c r="A396" s="12" t="s">
        <v>1161</v>
      </c>
      <c r="B396" s="6" t="s">
        <v>288</v>
      </c>
      <c r="C396" s="7" t="s">
        <v>1162</v>
      </c>
      <c r="D396" s="8" t="s">
        <v>39</v>
      </c>
      <c r="E396" s="9">
        <v>35860</v>
      </c>
      <c r="F396" s="8" t="s">
        <v>212</v>
      </c>
      <c r="G396" s="8" t="s">
        <v>131</v>
      </c>
      <c r="H396" s="8" t="s">
        <v>94</v>
      </c>
      <c r="I396" s="8" t="s">
        <v>109</v>
      </c>
      <c r="J396" s="8" t="s">
        <v>150</v>
      </c>
      <c r="K396" s="8" t="s">
        <v>44</v>
      </c>
      <c r="L396" s="8" t="s">
        <v>324</v>
      </c>
      <c r="M396" s="10" t="s">
        <v>1163</v>
      </c>
      <c r="N396" s="11" t="s">
        <v>1056</v>
      </c>
    </row>
    <row r="397" spans="1:14" ht="15.75" customHeight="1" x14ac:dyDescent="0.15">
      <c r="A397" s="6" t="s">
        <v>1164</v>
      </c>
      <c r="B397" s="12" t="s">
        <v>291</v>
      </c>
      <c r="C397" s="7" t="s">
        <v>1165</v>
      </c>
      <c r="D397" s="13" t="s">
        <v>49</v>
      </c>
      <c r="E397" s="14">
        <v>38174</v>
      </c>
      <c r="F397" s="13" t="s">
        <v>92</v>
      </c>
      <c r="G397" s="13" t="s">
        <v>41</v>
      </c>
      <c r="H397" s="13" t="s">
        <v>102</v>
      </c>
      <c r="I397" s="13" t="s">
        <v>109</v>
      </c>
      <c r="J397" s="13" t="s">
        <v>76</v>
      </c>
      <c r="K397" s="13" t="s">
        <v>23</v>
      </c>
      <c r="L397" s="13" t="s">
        <v>277</v>
      </c>
      <c r="M397" s="15" t="s">
        <v>248</v>
      </c>
      <c r="N397" s="11" t="s">
        <v>1056</v>
      </c>
    </row>
    <row r="398" spans="1:14" ht="15.75" customHeight="1" x14ac:dyDescent="0.15">
      <c r="A398" s="6" t="s">
        <v>1166</v>
      </c>
      <c r="B398" s="6" t="s">
        <v>295</v>
      </c>
      <c r="C398" s="7" t="s">
        <v>1167</v>
      </c>
      <c r="D398" s="8" t="s">
        <v>17</v>
      </c>
      <c r="E398" s="9">
        <v>38252</v>
      </c>
      <c r="F398" s="8" t="s">
        <v>217</v>
      </c>
      <c r="G398" s="8" t="s">
        <v>41</v>
      </c>
      <c r="H398" s="8" t="s">
        <v>114</v>
      </c>
      <c r="I398" s="8" t="s">
        <v>382</v>
      </c>
      <c r="J398" s="8" t="s">
        <v>54</v>
      </c>
      <c r="K398" s="8" t="s">
        <v>44</v>
      </c>
      <c r="L398" s="8" t="s">
        <v>310</v>
      </c>
      <c r="M398" s="10" t="s">
        <v>262</v>
      </c>
      <c r="N398" s="11" t="s">
        <v>1056</v>
      </c>
    </row>
    <row r="399" spans="1:14" ht="15.75" customHeight="1" x14ac:dyDescent="0.15">
      <c r="A399" s="12" t="s">
        <v>1168</v>
      </c>
      <c r="B399" s="12" t="s">
        <v>299</v>
      </c>
      <c r="C399" s="7" t="s">
        <v>1169</v>
      </c>
      <c r="D399" s="13" t="s">
        <v>49</v>
      </c>
      <c r="E399" s="14">
        <v>37845</v>
      </c>
      <c r="F399" s="13" t="s">
        <v>186</v>
      </c>
      <c r="G399" s="13" t="s">
        <v>243</v>
      </c>
      <c r="H399" s="13" t="s">
        <v>171</v>
      </c>
      <c r="I399" s="13" t="s">
        <v>43</v>
      </c>
      <c r="J399" s="13" t="s">
        <v>22</v>
      </c>
      <c r="K399" s="13" t="s">
        <v>44</v>
      </c>
      <c r="L399" s="13" t="s">
        <v>255</v>
      </c>
      <c r="M399" s="15" t="s">
        <v>274</v>
      </c>
      <c r="N399" s="11" t="s">
        <v>1056</v>
      </c>
    </row>
    <row r="400" spans="1:14" ht="15.75" customHeight="1" x14ac:dyDescent="0.15">
      <c r="A400" s="6" t="s">
        <v>1170</v>
      </c>
      <c r="B400" s="6" t="s">
        <v>303</v>
      </c>
      <c r="C400" s="7" t="s">
        <v>1171</v>
      </c>
      <c r="D400" s="8" t="s">
        <v>107</v>
      </c>
      <c r="E400" s="9">
        <v>36997</v>
      </c>
      <c r="F400" s="8" t="s">
        <v>203</v>
      </c>
      <c r="G400" s="8" t="s">
        <v>204</v>
      </c>
      <c r="H400" s="8" t="s">
        <v>20</v>
      </c>
      <c r="I400" s="8" t="s">
        <v>127</v>
      </c>
      <c r="J400" s="8" t="s">
        <v>54</v>
      </c>
      <c r="K400" s="8" t="s">
        <v>77</v>
      </c>
      <c r="L400" s="8" t="s">
        <v>572</v>
      </c>
      <c r="M400" s="10" t="s">
        <v>947</v>
      </c>
      <c r="N400" s="11" t="s">
        <v>1056</v>
      </c>
    </row>
    <row r="401" spans="1:14" ht="15.75" customHeight="1" x14ac:dyDescent="0.15">
      <c r="A401" s="12" t="s">
        <v>1172</v>
      </c>
      <c r="B401" s="12" t="s">
        <v>306</v>
      </c>
      <c r="C401" s="7" t="s">
        <v>1173</v>
      </c>
      <c r="D401" s="13" t="s">
        <v>107</v>
      </c>
      <c r="E401" s="14">
        <v>36258</v>
      </c>
      <c r="F401" s="13" t="s">
        <v>30</v>
      </c>
      <c r="G401" s="13" t="s">
        <v>67</v>
      </c>
      <c r="H401" s="13" t="s">
        <v>196</v>
      </c>
      <c r="I401" s="13" t="s">
        <v>192</v>
      </c>
      <c r="J401" s="13" t="s">
        <v>22</v>
      </c>
      <c r="K401" s="13" t="s">
        <v>44</v>
      </c>
      <c r="L401" s="13" t="s">
        <v>62</v>
      </c>
      <c r="M401" s="15" t="s">
        <v>1067</v>
      </c>
      <c r="N401" s="11" t="s">
        <v>1056</v>
      </c>
    </row>
    <row r="402" spans="1:14" ht="15.75" customHeight="1" x14ac:dyDescent="0.15">
      <c r="A402" s="6" t="s">
        <v>1174</v>
      </c>
      <c r="B402" s="6" t="s">
        <v>308</v>
      </c>
      <c r="C402" s="7" t="s">
        <v>1175</v>
      </c>
      <c r="D402" s="8" t="s">
        <v>107</v>
      </c>
      <c r="E402" s="9">
        <v>39103</v>
      </c>
      <c r="F402" s="8" t="s">
        <v>232</v>
      </c>
      <c r="G402" s="8" t="s">
        <v>131</v>
      </c>
      <c r="H402" s="8" t="s">
        <v>781</v>
      </c>
      <c r="I402" s="8" t="s">
        <v>1176</v>
      </c>
      <c r="J402" s="8" t="s">
        <v>54</v>
      </c>
      <c r="K402" s="8" t="s">
        <v>44</v>
      </c>
      <c r="L402" s="8" t="s">
        <v>165</v>
      </c>
      <c r="M402" s="10" t="s">
        <v>248</v>
      </c>
      <c r="N402" s="11" t="s">
        <v>1056</v>
      </c>
    </row>
    <row r="403" spans="1:14" ht="15.75" customHeight="1" x14ac:dyDescent="0.15">
      <c r="A403" s="6" t="s">
        <v>1177</v>
      </c>
      <c r="B403" s="12" t="s">
        <v>311</v>
      </c>
      <c r="C403" s="7" t="s">
        <v>1178</v>
      </c>
      <c r="D403" s="13" t="s">
        <v>107</v>
      </c>
      <c r="E403" s="14">
        <v>34576</v>
      </c>
      <c r="F403" s="13" t="s">
        <v>18</v>
      </c>
      <c r="G403" s="13" t="s">
        <v>138</v>
      </c>
      <c r="H403" s="13" t="s">
        <v>1179</v>
      </c>
      <c r="I403" s="13" t="s">
        <v>1024</v>
      </c>
      <c r="J403" s="13" t="s">
        <v>150</v>
      </c>
      <c r="K403" s="13" t="s">
        <v>77</v>
      </c>
      <c r="L403" s="13" t="s">
        <v>151</v>
      </c>
      <c r="M403" s="15" t="s">
        <v>1180</v>
      </c>
      <c r="N403" s="11" t="s">
        <v>1056</v>
      </c>
    </row>
    <row r="404" spans="1:14" ht="15.75" customHeight="1" x14ac:dyDescent="0.15">
      <c r="A404" s="12" t="s">
        <v>1181</v>
      </c>
      <c r="B404" s="6" t="s">
        <v>314</v>
      </c>
      <c r="C404" s="7" t="s">
        <v>1182</v>
      </c>
      <c r="D404" s="8" t="s">
        <v>17</v>
      </c>
      <c r="E404" s="16">
        <v>36854</v>
      </c>
      <c r="F404" s="8" t="s">
        <v>203</v>
      </c>
      <c r="G404" s="8" t="s">
        <v>41</v>
      </c>
      <c r="H404" s="8" t="s">
        <v>102</v>
      </c>
      <c r="I404" s="8" t="s">
        <v>361</v>
      </c>
      <c r="J404" s="8" t="s">
        <v>76</v>
      </c>
      <c r="K404" s="8" t="s">
        <v>44</v>
      </c>
      <c r="L404" s="8" t="s">
        <v>55</v>
      </c>
      <c r="M404" s="10" t="s">
        <v>1183</v>
      </c>
      <c r="N404" s="11" t="s">
        <v>1056</v>
      </c>
    </row>
    <row r="405" spans="1:14" ht="15.75" customHeight="1" x14ac:dyDescent="0.15">
      <c r="A405" s="6" t="s">
        <v>1184</v>
      </c>
      <c r="B405" s="12" t="s">
        <v>334</v>
      </c>
      <c r="C405" s="7" t="s">
        <v>1185</v>
      </c>
      <c r="D405" s="13" t="s">
        <v>107</v>
      </c>
      <c r="E405" s="14">
        <v>38246</v>
      </c>
      <c r="F405" s="13" t="s">
        <v>217</v>
      </c>
      <c r="G405" s="13" t="s">
        <v>41</v>
      </c>
      <c r="H405" s="13" t="s">
        <v>114</v>
      </c>
      <c r="I405" s="13" t="s">
        <v>53</v>
      </c>
      <c r="J405" s="13" t="s">
        <v>22</v>
      </c>
      <c r="K405" s="13" t="s">
        <v>23</v>
      </c>
      <c r="L405" s="13" t="s">
        <v>663</v>
      </c>
      <c r="M405" s="15" t="s">
        <v>540</v>
      </c>
      <c r="N405" s="11" t="s">
        <v>1056</v>
      </c>
    </row>
    <row r="406" spans="1:14" ht="15.75" customHeight="1" x14ac:dyDescent="0.15">
      <c r="A406" s="12" t="s">
        <v>1186</v>
      </c>
      <c r="B406" s="6" t="s">
        <v>319</v>
      </c>
      <c r="C406" s="7" t="s">
        <v>1187</v>
      </c>
      <c r="D406" s="8" t="s">
        <v>39</v>
      </c>
      <c r="E406" s="9">
        <v>36701</v>
      </c>
      <c r="F406" s="8" t="s">
        <v>40</v>
      </c>
      <c r="G406" s="8" t="s">
        <v>41</v>
      </c>
      <c r="H406" s="8" t="s">
        <v>42</v>
      </c>
      <c r="I406" s="8" t="s">
        <v>33</v>
      </c>
      <c r="J406" s="8" t="s">
        <v>76</v>
      </c>
      <c r="K406" s="8" t="s">
        <v>44</v>
      </c>
      <c r="L406" s="8" t="s">
        <v>198</v>
      </c>
      <c r="M406" s="10" t="s">
        <v>628</v>
      </c>
      <c r="N406" s="11" t="s">
        <v>1056</v>
      </c>
    </row>
    <row r="407" spans="1:14" ht="15.75" customHeight="1" x14ac:dyDescent="0.15">
      <c r="A407" s="6" t="s">
        <v>1188</v>
      </c>
      <c r="B407" s="12" t="s">
        <v>407</v>
      </c>
      <c r="C407" s="7" t="s">
        <v>1189</v>
      </c>
      <c r="D407" s="13" t="s">
        <v>17</v>
      </c>
      <c r="E407" s="14">
        <v>37715</v>
      </c>
      <c r="F407" s="13" t="s">
        <v>186</v>
      </c>
      <c r="G407" s="13" t="s">
        <v>243</v>
      </c>
      <c r="H407" s="13" t="s">
        <v>102</v>
      </c>
      <c r="I407" s="13" t="s">
        <v>1190</v>
      </c>
      <c r="J407" s="13" t="s">
        <v>34</v>
      </c>
      <c r="K407" s="13" t="s">
        <v>44</v>
      </c>
      <c r="L407" s="13" t="s">
        <v>390</v>
      </c>
      <c r="M407" s="15" t="s">
        <v>219</v>
      </c>
      <c r="N407" s="11" t="s">
        <v>1056</v>
      </c>
    </row>
    <row r="408" spans="1:14" ht="15.75" customHeight="1" x14ac:dyDescent="0.15">
      <c r="A408" s="6" t="s">
        <v>1191</v>
      </c>
      <c r="B408" s="6" t="s">
        <v>321</v>
      </c>
      <c r="C408" s="7" t="s">
        <v>1192</v>
      </c>
      <c r="D408" s="8" t="s">
        <v>17</v>
      </c>
      <c r="E408" s="9">
        <v>37035</v>
      </c>
      <c r="F408" s="8" t="s">
        <v>203</v>
      </c>
      <c r="G408" s="8" t="s">
        <v>138</v>
      </c>
      <c r="H408" s="8" t="s">
        <v>42</v>
      </c>
      <c r="I408" s="8" t="s">
        <v>43</v>
      </c>
      <c r="J408" s="8" t="s">
        <v>54</v>
      </c>
      <c r="K408" s="8" t="s">
        <v>23</v>
      </c>
      <c r="L408" s="8" t="s">
        <v>297</v>
      </c>
      <c r="M408" s="10" t="s">
        <v>219</v>
      </c>
      <c r="N408" s="11" t="s">
        <v>1056</v>
      </c>
    </row>
    <row r="409" spans="1:14" ht="15.75" customHeight="1" x14ac:dyDescent="0.15">
      <c r="A409" s="12" t="s">
        <v>1193</v>
      </c>
      <c r="B409" s="12" t="s">
        <v>325</v>
      </c>
      <c r="C409" s="7" t="s">
        <v>1194</v>
      </c>
      <c r="D409" s="13" t="s">
        <v>17</v>
      </c>
      <c r="E409" s="14">
        <v>36024</v>
      </c>
      <c r="F409" s="13" t="s">
        <v>212</v>
      </c>
      <c r="G409" s="13" t="s">
        <v>131</v>
      </c>
      <c r="H409" s="13" t="s">
        <v>369</v>
      </c>
      <c r="I409" s="13" t="s">
        <v>239</v>
      </c>
      <c r="J409" s="13" t="s">
        <v>150</v>
      </c>
      <c r="K409" s="13" t="s">
        <v>44</v>
      </c>
      <c r="L409" s="13" t="s">
        <v>324</v>
      </c>
      <c r="M409" s="15" t="s">
        <v>1195</v>
      </c>
      <c r="N409" s="11" t="s">
        <v>1056</v>
      </c>
    </row>
    <row r="410" spans="1:14" ht="15.75" customHeight="1" x14ac:dyDescent="0.15">
      <c r="A410" s="6" t="s">
        <v>1196</v>
      </c>
      <c r="B410" s="6" t="s">
        <v>412</v>
      </c>
      <c r="C410" s="7" t="s">
        <v>1197</v>
      </c>
      <c r="D410" s="8" t="s">
        <v>39</v>
      </c>
      <c r="E410" s="9">
        <v>36317</v>
      </c>
      <c r="F410" s="8" t="s">
        <v>30</v>
      </c>
      <c r="G410" s="8" t="s">
        <v>67</v>
      </c>
      <c r="H410" s="8" t="s">
        <v>32</v>
      </c>
      <c r="I410" s="8" t="s">
        <v>127</v>
      </c>
      <c r="J410" s="8" t="s">
        <v>76</v>
      </c>
      <c r="K410" s="8" t="s">
        <v>44</v>
      </c>
      <c r="L410" s="8" t="s">
        <v>198</v>
      </c>
      <c r="M410" s="10" t="s">
        <v>71</v>
      </c>
      <c r="N410" s="11" t="s">
        <v>1056</v>
      </c>
    </row>
    <row r="411" spans="1:14" ht="15.75" customHeight="1" x14ac:dyDescent="0.15">
      <c r="A411" s="12" t="s">
        <v>1198</v>
      </c>
      <c r="B411" s="12" t="s">
        <v>327</v>
      </c>
      <c r="C411" s="7" t="s">
        <v>1199</v>
      </c>
      <c r="D411" s="13" t="s">
        <v>39</v>
      </c>
      <c r="E411" s="14">
        <v>36625</v>
      </c>
      <c r="F411" s="13" t="s">
        <v>40</v>
      </c>
      <c r="G411" s="13" t="s">
        <v>41</v>
      </c>
      <c r="H411" s="13" t="s">
        <v>179</v>
      </c>
      <c r="I411" s="13" t="s">
        <v>95</v>
      </c>
      <c r="J411" s="13" t="s">
        <v>54</v>
      </c>
      <c r="K411" s="13" t="s">
        <v>23</v>
      </c>
      <c r="L411" s="13" t="s">
        <v>55</v>
      </c>
      <c r="M411" s="15" t="s">
        <v>219</v>
      </c>
      <c r="N411" s="11" t="s">
        <v>1056</v>
      </c>
    </row>
    <row r="412" spans="1:14" ht="15.75" customHeight="1" x14ac:dyDescent="0.15">
      <c r="A412" s="6" t="s">
        <v>1200</v>
      </c>
      <c r="B412" s="6" t="s">
        <v>330</v>
      </c>
      <c r="C412" s="7" t="s">
        <v>1201</v>
      </c>
      <c r="D412" s="8" t="s">
        <v>107</v>
      </c>
      <c r="E412" s="9">
        <v>38228</v>
      </c>
      <c r="F412" s="8" t="s">
        <v>92</v>
      </c>
      <c r="G412" s="8" t="s">
        <v>41</v>
      </c>
      <c r="H412" s="8" t="s">
        <v>42</v>
      </c>
      <c r="I412" s="8" t="s">
        <v>149</v>
      </c>
      <c r="J412" s="8" t="s">
        <v>54</v>
      </c>
      <c r="K412" s="8" t="s">
        <v>77</v>
      </c>
      <c r="L412" s="8" t="s">
        <v>45</v>
      </c>
      <c r="M412" s="10" t="s">
        <v>467</v>
      </c>
      <c r="N412" s="11" t="s">
        <v>1056</v>
      </c>
    </row>
    <row r="413" spans="1:14" ht="15.75" customHeight="1" x14ac:dyDescent="0.15">
      <c r="A413" s="6" t="s">
        <v>1202</v>
      </c>
      <c r="B413" s="12" t="s">
        <v>335</v>
      </c>
      <c r="C413" s="7" t="s">
        <v>1203</v>
      </c>
      <c r="D413" s="13" t="s">
        <v>17</v>
      </c>
      <c r="E413" s="17">
        <v>37550</v>
      </c>
      <c r="F413" s="13" t="s">
        <v>186</v>
      </c>
      <c r="G413" s="13" t="s">
        <v>31</v>
      </c>
      <c r="H413" s="13" t="s">
        <v>94</v>
      </c>
      <c r="I413" s="13" t="s">
        <v>207</v>
      </c>
      <c r="J413" s="13" t="s">
        <v>34</v>
      </c>
      <c r="K413" s="13" t="s">
        <v>44</v>
      </c>
      <c r="L413" s="13" t="s">
        <v>110</v>
      </c>
      <c r="M413" s="15" t="s">
        <v>956</v>
      </c>
      <c r="N413" s="11" t="s">
        <v>1056</v>
      </c>
    </row>
    <row r="414" spans="1:14" ht="15.75" customHeight="1" x14ac:dyDescent="0.15">
      <c r="A414" s="12" t="s">
        <v>1204</v>
      </c>
      <c r="B414" s="6" t="s">
        <v>347</v>
      </c>
      <c r="C414" s="7" t="s">
        <v>1205</v>
      </c>
      <c r="D414" s="8" t="s">
        <v>49</v>
      </c>
      <c r="E414" s="9">
        <v>36998</v>
      </c>
      <c r="F414" s="8" t="s">
        <v>203</v>
      </c>
      <c r="G414" s="8" t="s">
        <v>131</v>
      </c>
      <c r="H414" s="8" t="s">
        <v>156</v>
      </c>
      <c r="I414" s="8" t="s">
        <v>33</v>
      </c>
      <c r="J414" s="8" t="s">
        <v>54</v>
      </c>
      <c r="K414" s="8" t="s">
        <v>44</v>
      </c>
      <c r="L414" s="8" t="s">
        <v>110</v>
      </c>
      <c r="M414" s="10" t="s">
        <v>357</v>
      </c>
      <c r="N414" s="11" t="s">
        <v>1056</v>
      </c>
    </row>
    <row r="415" spans="1:14" ht="15.75" customHeight="1" x14ac:dyDescent="0.15">
      <c r="A415" s="6" t="s">
        <v>1206</v>
      </c>
      <c r="B415" s="12" t="s">
        <v>351</v>
      </c>
      <c r="C415" s="7" t="s">
        <v>1207</v>
      </c>
      <c r="D415" s="13" t="s">
        <v>107</v>
      </c>
      <c r="E415" s="14">
        <v>38888</v>
      </c>
      <c r="F415" s="13" t="s">
        <v>170</v>
      </c>
      <c r="G415" s="13" t="s">
        <v>131</v>
      </c>
      <c r="H415" s="13" t="s">
        <v>1179</v>
      </c>
      <c r="I415" s="13" t="s">
        <v>1208</v>
      </c>
      <c r="J415" s="13" t="s">
        <v>22</v>
      </c>
      <c r="K415" s="13" t="s">
        <v>44</v>
      </c>
      <c r="L415" s="13" t="s">
        <v>45</v>
      </c>
      <c r="M415" s="15" t="s">
        <v>318</v>
      </c>
      <c r="N415" s="11" t="s">
        <v>1056</v>
      </c>
    </row>
    <row r="416" spans="1:14" ht="15.75" customHeight="1" x14ac:dyDescent="0.15">
      <c r="A416" s="12" t="s">
        <v>1209</v>
      </c>
      <c r="B416" s="6" t="s">
        <v>481</v>
      </c>
      <c r="C416" s="7" t="s">
        <v>1210</v>
      </c>
      <c r="D416" s="8" t="s">
        <v>49</v>
      </c>
      <c r="E416" s="9">
        <v>38032</v>
      </c>
      <c r="F416" s="8" t="s">
        <v>92</v>
      </c>
      <c r="G416" s="8" t="s">
        <v>93</v>
      </c>
      <c r="H416" s="8" t="s">
        <v>179</v>
      </c>
      <c r="I416" s="8" t="s">
        <v>33</v>
      </c>
      <c r="J416" s="8" t="s">
        <v>54</v>
      </c>
      <c r="K416" s="8" t="s">
        <v>23</v>
      </c>
      <c r="L416" s="8" t="s">
        <v>187</v>
      </c>
      <c r="M416" s="10" t="s">
        <v>318</v>
      </c>
      <c r="N416" s="11" t="s">
        <v>1056</v>
      </c>
    </row>
    <row r="417" spans="1:14" ht="15.75" customHeight="1" x14ac:dyDescent="0.15">
      <c r="A417" s="6" t="s">
        <v>1211</v>
      </c>
      <c r="B417" s="12" t="s">
        <v>355</v>
      </c>
      <c r="C417" s="7" t="s">
        <v>1212</v>
      </c>
      <c r="D417" s="13" t="s">
        <v>17</v>
      </c>
      <c r="E417" s="14">
        <v>37257</v>
      </c>
      <c r="F417" s="13" t="s">
        <v>137</v>
      </c>
      <c r="G417" s="13" t="s">
        <v>93</v>
      </c>
      <c r="H417" s="13" t="s">
        <v>837</v>
      </c>
      <c r="I417" s="13" t="s">
        <v>140</v>
      </c>
      <c r="J417" s="13" t="s">
        <v>22</v>
      </c>
      <c r="K417" s="13" t="s">
        <v>23</v>
      </c>
      <c r="L417" s="13" t="s">
        <v>362</v>
      </c>
      <c r="M417" s="15" t="s">
        <v>318</v>
      </c>
      <c r="N417" s="11" t="s">
        <v>1056</v>
      </c>
    </row>
    <row r="418" spans="1:14" ht="15.75" customHeight="1" x14ac:dyDescent="0.15">
      <c r="A418" s="6" t="s">
        <v>1213</v>
      </c>
      <c r="B418" s="6" t="s">
        <v>484</v>
      </c>
      <c r="C418" s="7" t="s">
        <v>1214</v>
      </c>
      <c r="D418" s="8" t="s">
        <v>107</v>
      </c>
      <c r="E418" s="9">
        <v>39027</v>
      </c>
      <c r="F418" s="8" t="s">
        <v>232</v>
      </c>
      <c r="G418" s="8" t="s">
        <v>131</v>
      </c>
      <c r="H418" s="8" t="s">
        <v>94</v>
      </c>
      <c r="I418" s="8" t="s">
        <v>157</v>
      </c>
      <c r="J418" s="8" t="s">
        <v>22</v>
      </c>
      <c r="K418" s="8" t="s">
        <v>77</v>
      </c>
      <c r="L418" s="8" t="s">
        <v>572</v>
      </c>
      <c r="M418" s="10" t="s">
        <v>318</v>
      </c>
      <c r="N418" s="11" t="s">
        <v>1056</v>
      </c>
    </row>
    <row r="419" spans="1:14" ht="15.75" customHeight="1" x14ac:dyDescent="0.15">
      <c r="A419" s="12" t="s">
        <v>1215</v>
      </c>
      <c r="B419" s="12" t="s">
        <v>487</v>
      </c>
      <c r="C419" s="7" t="s">
        <v>1216</v>
      </c>
      <c r="D419" s="13" t="s">
        <v>107</v>
      </c>
      <c r="E419" s="14">
        <v>37126</v>
      </c>
      <c r="F419" s="13" t="s">
        <v>203</v>
      </c>
      <c r="G419" s="13" t="s">
        <v>41</v>
      </c>
      <c r="H419" s="13" t="s">
        <v>68</v>
      </c>
      <c r="I419" s="13" t="s">
        <v>95</v>
      </c>
      <c r="J419" s="13" t="s">
        <v>22</v>
      </c>
      <c r="K419" s="13" t="s">
        <v>44</v>
      </c>
      <c r="L419" s="13" t="s">
        <v>78</v>
      </c>
      <c r="M419" s="15" t="s">
        <v>262</v>
      </c>
      <c r="N419" s="11" t="s">
        <v>1056</v>
      </c>
    </row>
    <row r="420" spans="1:14" ht="15.75" customHeight="1" x14ac:dyDescent="0.15">
      <c r="A420" s="6" t="s">
        <v>1217</v>
      </c>
      <c r="B420" s="6" t="s">
        <v>491</v>
      </c>
      <c r="C420" s="7" t="s">
        <v>1218</v>
      </c>
      <c r="D420" s="8" t="s">
        <v>107</v>
      </c>
      <c r="E420" s="9">
        <v>38618</v>
      </c>
      <c r="F420" s="8" t="s">
        <v>170</v>
      </c>
      <c r="G420" s="8" t="s">
        <v>138</v>
      </c>
      <c r="H420" s="8" t="s">
        <v>68</v>
      </c>
      <c r="I420" s="8" t="s">
        <v>207</v>
      </c>
      <c r="J420" s="8" t="s">
        <v>54</v>
      </c>
      <c r="K420" s="8" t="s">
        <v>77</v>
      </c>
      <c r="L420" s="8" t="s">
        <v>35</v>
      </c>
      <c r="M420" s="10" t="s">
        <v>357</v>
      </c>
      <c r="N420" s="11" t="s">
        <v>1056</v>
      </c>
    </row>
    <row r="421" spans="1:14" ht="15.75" customHeight="1" x14ac:dyDescent="0.15">
      <c r="A421" s="12" t="s">
        <v>1219</v>
      </c>
      <c r="B421" s="12" t="s">
        <v>364</v>
      </c>
      <c r="C421" s="7" t="s">
        <v>1220</v>
      </c>
      <c r="D421" s="13" t="s">
        <v>17</v>
      </c>
      <c r="E421" s="14">
        <v>37288</v>
      </c>
      <c r="F421" s="13" t="s">
        <v>137</v>
      </c>
      <c r="G421" s="13" t="s">
        <v>138</v>
      </c>
      <c r="H421" s="13" t="s">
        <v>225</v>
      </c>
      <c r="I421" s="13" t="s">
        <v>1221</v>
      </c>
      <c r="J421" s="13" t="s">
        <v>150</v>
      </c>
      <c r="K421" s="13" t="s">
        <v>44</v>
      </c>
      <c r="L421" s="13" t="s">
        <v>324</v>
      </c>
      <c r="M421" s="15" t="s">
        <v>318</v>
      </c>
      <c r="N421" s="11" t="s">
        <v>1056</v>
      </c>
    </row>
    <row r="422" spans="1:14" ht="15.75" customHeight="1" x14ac:dyDescent="0.15">
      <c r="A422" s="6" t="s">
        <v>1222</v>
      </c>
      <c r="B422" s="6" t="s">
        <v>498</v>
      </c>
      <c r="C422" s="7" t="s">
        <v>1223</v>
      </c>
      <c r="D422" s="8" t="s">
        <v>39</v>
      </c>
      <c r="E422" s="16">
        <v>36826</v>
      </c>
      <c r="F422" s="8" t="s">
        <v>203</v>
      </c>
      <c r="G422" s="8" t="s">
        <v>138</v>
      </c>
      <c r="H422" s="8" t="s">
        <v>225</v>
      </c>
      <c r="I422" s="8" t="s">
        <v>977</v>
      </c>
      <c r="J422" s="8" t="s">
        <v>150</v>
      </c>
      <c r="K422" s="8" t="s">
        <v>44</v>
      </c>
      <c r="L422" s="8" t="s">
        <v>324</v>
      </c>
      <c r="M422" s="10" t="s">
        <v>318</v>
      </c>
      <c r="N422" s="11" t="s">
        <v>1056</v>
      </c>
    </row>
    <row r="423" spans="1:14" ht="15.75" customHeight="1" x14ac:dyDescent="0.15">
      <c r="A423" s="6" t="s">
        <v>1224</v>
      </c>
      <c r="B423" s="12" t="s">
        <v>367</v>
      </c>
      <c r="C423" s="7" t="s">
        <v>1225</v>
      </c>
      <c r="D423" s="13" t="s">
        <v>107</v>
      </c>
      <c r="E423" s="14">
        <v>36970</v>
      </c>
      <c r="F423" s="13" t="s">
        <v>203</v>
      </c>
      <c r="G423" s="13" t="s">
        <v>93</v>
      </c>
      <c r="H423" s="13" t="s">
        <v>114</v>
      </c>
      <c r="I423" s="13" t="s">
        <v>53</v>
      </c>
      <c r="J423" s="13" t="s">
        <v>150</v>
      </c>
      <c r="K423" s="13" t="s">
        <v>77</v>
      </c>
      <c r="L423" s="13" t="s">
        <v>324</v>
      </c>
      <c r="M423" s="15" t="s">
        <v>1226</v>
      </c>
      <c r="N423" s="11" t="s">
        <v>1056</v>
      </c>
    </row>
    <row r="424" spans="1:14" ht="15.75" customHeight="1" x14ac:dyDescent="0.15">
      <c r="A424" s="12" t="s">
        <v>1227</v>
      </c>
      <c r="B424" s="6" t="s">
        <v>15</v>
      </c>
      <c r="C424" s="7" t="s">
        <v>1228</v>
      </c>
      <c r="D424" s="8" t="s">
        <v>39</v>
      </c>
      <c r="E424" s="9">
        <v>36242</v>
      </c>
      <c r="F424" s="8" t="s">
        <v>30</v>
      </c>
      <c r="G424" s="8" t="s">
        <v>31</v>
      </c>
      <c r="H424" s="8" t="s">
        <v>132</v>
      </c>
      <c r="I424" s="8" t="s">
        <v>261</v>
      </c>
      <c r="J424" s="8" t="s">
        <v>76</v>
      </c>
      <c r="K424" s="8" t="s">
        <v>44</v>
      </c>
      <c r="L424" s="8" t="s">
        <v>244</v>
      </c>
      <c r="M424" s="10" t="s">
        <v>97</v>
      </c>
      <c r="N424" s="11" t="s">
        <v>1229</v>
      </c>
    </row>
    <row r="425" spans="1:14" ht="15.75" customHeight="1" x14ac:dyDescent="0.15">
      <c r="A425" s="6" t="s">
        <v>1230</v>
      </c>
      <c r="B425" s="12" t="s">
        <v>28</v>
      </c>
      <c r="C425" s="7" t="s">
        <v>1231</v>
      </c>
      <c r="D425" s="13" t="s">
        <v>17</v>
      </c>
      <c r="E425" s="14">
        <v>36706</v>
      </c>
      <c r="F425" s="13" t="s">
        <v>40</v>
      </c>
      <c r="G425" s="13" t="s">
        <v>31</v>
      </c>
      <c r="H425" s="13" t="s">
        <v>102</v>
      </c>
      <c r="I425" s="13" t="s">
        <v>120</v>
      </c>
      <c r="J425" s="13" t="s">
        <v>76</v>
      </c>
      <c r="K425" s="13" t="s">
        <v>44</v>
      </c>
      <c r="L425" s="13" t="s">
        <v>310</v>
      </c>
      <c r="M425" s="15" t="s">
        <v>950</v>
      </c>
      <c r="N425" s="11" t="s">
        <v>1229</v>
      </c>
    </row>
    <row r="426" spans="1:14" ht="15.75" customHeight="1" x14ac:dyDescent="0.15">
      <c r="A426" s="12" t="s">
        <v>1232</v>
      </c>
      <c r="B426" s="6" t="s">
        <v>14</v>
      </c>
      <c r="C426" s="7" t="s">
        <v>1233</v>
      </c>
      <c r="D426" s="8" t="s">
        <v>17</v>
      </c>
      <c r="E426" s="9">
        <v>33801</v>
      </c>
      <c r="F426" s="8" t="s">
        <v>430</v>
      </c>
      <c r="G426" s="8" t="s">
        <v>622</v>
      </c>
      <c r="H426" s="8" t="s">
        <v>32</v>
      </c>
      <c r="I426" s="8" t="s">
        <v>21</v>
      </c>
      <c r="J426" s="8" t="s">
        <v>22</v>
      </c>
      <c r="K426" s="8" t="s">
        <v>44</v>
      </c>
      <c r="L426" s="8" t="s">
        <v>78</v>
      </c>
      <c r="M426" s="10" t="s">
        <v>79</v>
      </c>
      <c r="N426" s="11" t="s">
        <v>1229</v>
      </c>
    </row>
    <row r="427" spans="1:14" ht="15.75" customHeight="1" x14ac:dyDescent="0.15">
      <c r="A427" s="6" t="s">
        <v>1234</v>
      </c>
      <c r="B427" s="12" t="s">
        <v>27</v>
      </c>
      <c r="C427" s="7" t="s">
        <v>1235</v>
      </c>
      <c r="D427" s="13" t="s">
        <v>49</v>
      </c>
      <c r="E427" s="14">
        <v>36014</v>
      </c>
      <c r="F427" s="13" t="s">
        <v>212</v>
      </c>
      <c r="G427" s="13" t="s">
        <v>60</v>
      </c>
      <c r="H427" s="13" t="s">
        <v>179</v>
      </c>
      <c r="I427" s="13" t="s">
        <v>120</v>
      </c>
      <c r="J427" s="13" t="s">
        <v>76</v>
      </c>
      <c r="K427" s="13" t="s">
        <v>44</v>
      </c>
      <c r="L427" s="13" t="s">
        <v>55</v>
      </c>
      <c r="M427" s="15" t="s">
        <v>71</v>
      </c>
      <c r="N427" s="11" t="s">
        <v>1229</v>
      </c>
    </row>
    <row r="428" spans="1:14" ht="15.75" customHeight="1" x14ac:dyDescent="0.15">
      <c r="A428" s="6" t="s">
        <v>1236</v>
      </c>
      <c r="B428" s="6" t="s">
        <v>37</v>
      </c>
      <c r="C428" s="7" t="s">
        <v>1237</v>
      </c>
      <c r="D428" s="8" t="s">
        <v>17</v>
      </c>
      <c r="E428" s="9">
        <v>37437</v>
      </c>
      <c r="F428" s="8" t="s">
        <v>137</v>
      </c>
      <c r="G428" s="8" t="s">
        <v>31</v>
      </c>
      <c r="H428" s="8" t="s">
        <v>82</v>
      </c>
      <c r="I428" s="8" t="s">
        <v>313</v>
      </c>
      <c r="J428" s="8" t="s">
        <v>22</v>
      </c>
      <c r="K428" s="8" t="s">
        <v>44</v>
      </c>
      <c r="L428" s="8" t="s">
        <v>353</v>
      </c>
      <c r="M428" s="10" t="s">
        <v>421</v>
      </c>
      <c r="N428" s="11" t="s">
        <v>1229</v>
      </c>
    </row>
    <row r="429" spans="1:14" ht="15.75" customHeight="1" x14ac:dyDescent="0.15">
      <c r="A429" s="12" t="s">
        <v>1238</v>
      </c>
      <c r="B429" s="12" t="s">
        <v>47</v>
      </c>
      <c r="C429" s="7" t="s">
        <v>1239</v>
      </c>
      <c r="D429" s="13" t="s">
        <v>39</v>
      </c>
      <c r="E429" s="14">
        <v>36359</v>
      </c>
      <c r="F429" s="13" t="s">
        <v>30</v>
      </c>
      <c r="G429" s="13" t="s">
        <v>243</v>
      </c>
      <c r="H429" s="13" t="s">
        <v>139</v>
      </c>
      <c r="I429" s="13" t="s">
        <v>157</v>
      </c>
      <c r="J429" s="13" t="s">
        <v>76</v>
      </c>
      <c r="K429" s="13" t="s">
        <v>77</v>
      </c>
      <c r="L429" s="13" t="s">
        <v>277</v>
      </c>
      <c r="M429" s="15" t="s">
        <v>950</v>
      </c>
      <c r="N429" s="11" t="s">
        <v>1229</v>
      </c>
    </row>
    <row r="430" spans="1:14" ht="15.75" customHeight="1" x14ac:dyDescent="0.15">
      <c r="A430" s="6" t="s">
        <v>1240</v>
      </c>
      <c r="B430" s="6" t="s">
        <v>64</v>
      </c>
      <c r="C430" s="7" t="s">
        <v>1241</v>
      </c>
      <c r="D430" s="8" t="s">
        <v>17</v>
      </c>
      <c r="E430" s="9">
        <v>37725</v>
      </c>
      <c r="F430" s="8" t="s">
        <v>186</v>
      </c>
      <c r="G430" s="8" t="s">
        <v>93</v>
      </c>
      <c r="H430" s="8" t="s">
        <v>32</v>
      </c>
      <c r="I430" s="8" t="s">
        <v>95</v>
      </c>
      <c r="J430" s="8" t="s">
        <v>150</v>
      </c>
      <c r="K430" s="8" t="s">
        <v>44</v>
      </c>
      <c r="L430" s="8" t="s">
        <v>45</v>
      </c>
      <c r="M430" s="10" t="s">
        <v>97</v>
      </c>
      <c r="N430" s="11" t="s">
        <v>1229</v>
      </c>
    </row>
    <row r="431" spans="1:14" ht="15.75" customHeight="1" x14ac:dyDescent="0.15">
      <c r="A431" s="12" t="s">
        <v>1242</v>
      </c>
      <c r="B431" s="12" t="s">
        <v>72</v>
      </c>
      <c r="C431" s="7" t="s">
        <v>1243</v>
      </c>
      <c r="D431" s="13" t="s">
        <v>17</v>
      </c>
      <c r="E431" s="14">
        <v>37160</v>
      </c>
      <c r="F431" s="13" t="s">
        <v>137</v>
      </c>
      <c r="G431" s="13" t="s">
        <v>204</v>
      </c>
      <c r="H431" s="13" t="s">
        <v>68</v>
      </c>
      <c r="I431" s="13" t="s">
        <v>33</v>
      </c>
      <c r="J431" s="13" t="s">
        <v>54</v>
      </c>
      <c r="K431" s="13" t="s">
        <v>23</v>
      </c>
      <c r="L431" s="13" t="s">
        <v>165</v>
      </c>
      <c r="M431" s="15" t="s">
        <v>405</v>
      </c>
      <c r="N431" s="11" t="s">
        <v>1229</v>
      </c>
    </row>
    <row r="432" spans="1:14" ht="15.75" customHeight="1" x14ac:dyDescent="0.15">
      <c r="A432" s="6" t="s">
        <v>1244</v>
      </c>
      <c r="B432" s="6" t="s">
        <v>80</v>
      </c>
      <c r="C432" s="7" t="s">
        <v>1245</v>
      </c>
      <c r="D432" s="8" t="s">
        <v>17</v>
      </c>
      <c r="E432" s="9">
        <v>34379</v>
      </c>
      <c r="F432" s="8" t="s">
        <v>18</v>
      </c>
      <c r="G432" s="8" t="s">
        <v>101</v>
      </c>
      <c r="H432" s="8" t="s">
        <v>52</v>
      </c>
      <c r="I432" s="8" t="s">
        <v>207</v>
      </c>
      <c r="J432" s="8" t="s">
        <v>22</v>
      </c>
      <c r="K432" s="8" t="s">
        <v>23</v>
      </c>
      <c r="L432" s="8" t="s">
        <v>218</v>
      </c>
      <c r="M432" s="10" t="s">
        <v>704</v>
      </c>
      <c r="N432" s="11" t="s">
        <v>1229</v>
      </c>
    </row>
    <row r="433" spans="1:14" ht="15.75" customHeight="1" x14ac:dyDescent="0.15">
      <c r="A433" s="6" t="s">
        <v>1246</v>
      </c>
      <c r="B433" s="12" t="s">
        <v>86</v>
      </c>
      <c r="C433" s="7" t="s">
        <v>1247</v>
      </c>
      <c r="D433" s="13" t="s">
        <v>39</v>
      </c>
      <c r="E433" s="14">
        <v>34132</v>
      </c>
      <c r="F433" s="13" t="s">
        <v>182</v>
      </c>
      <c r="G433" s="13" t="s">
        <v>67</v>
      </c>
      <c r="H433" s="13" t="s">
        <v>94</v>
      </c>
      <c r="I433" s="13" t="s">
        <v>21</v>
      </c>
      <c r="J433" s="13" t="s">
        <v>76</v>
      </c>
      <c r="K433" s="13" t="s">
        <v>44</v>
      </c>
      <c r="L433" s="13" t="s">
        <v>45</v>
      </c>
      <c r="M433" s="15" t="s">
        <v>1248</v>
      </c>
      <c r="N433" s="11" t="s">
        <v>1229</v>
      </c>
    </row>
    <row r="434" spans="1:14" ht="15.75" customHeight="1" x14ac:dyDescent="0.15">
      <c r="A434" s="12" t="s">
        <v>1249</v>
      </c>
      <c r="B434" s="6" t="s">
        <v>90</v>
      </c>
      <c r="C434" s="7" t="s">
        <v>1250</v>
      </c>
      <c r="D434" s="8" t="s">
        <v>17</v>
      </c>
      <c r="E434" s="9">
        <v>34792</v>
      </c>
      <c r="F434" s="8" t="s">
        <v>59</v>
      </c>
      <c r="G434" s="8" t="s">
        <v>67</v>
      </c>
      <c r="H434" s="8" t="s">
        <v>32</v>
      </c>
      <c r="I434" s="8" t="s">
        <v>33</v>
      </c>
      <c r="J434" s="8" t="s">
        <v>76</v>
      </c>
      <c r="K434" s="8" t="s">
        <v>23</v>
      </c>
      <c r="L434" s="8" t="s">
        <v>35</v>
      </c>
      <c r="M434" s="10" t="s">
        <v>496</v>
      </c>
      <c r="N434" s="11" t="s">
        <v>1229</v>
      </c>
    </row>
    <row r="435" spans="1:14" ht="15.75" customHeight="1" x14ac:dyDescent="0.15">
      <c r="A435" s="6" t="s">
        <v>1251</v>
      </c>
      <c r="B435" s="12" t="s">
        <v>98</v>
      </c>
      <c r="C435" s="7" t="s">
        <v>1252</v>
      </c>
      <c r="D435" s="13" t="s">
        <v>107</v>
      </c>
      <c r="E435" s="14">
        <v>35012</v>
      </c>
      <c r="F435" s="13" t="s">
        <v>66</v>
      </c>
      <c r="G435" s="13" t="s">
        <v>93</v>
      </c>
      <c r="H435" s="13" t="s">
        <v>94</v>
      </c>
      <c r="I435" s="13" t="s">
        <v>382</v>
      </c>
      <c r="J435" s="13" t="s">
        <v>150</v>
      </c>
      <c r="K435" s="13" t="s">
        <v>77</v>
      </c>
      <c r="L435" s="13" t="s">
        <v>490</v>
      </c>
      <c r="M435" s="15" t="s">
        <v>1253</v>
      </c>
      <c r="N435" s="11" t="s">
        <v>1229</v>
      </c>
    </row>
    <row r="436" spans="1:14" ht="15.75" customHeight="1" x14ac:dyDescent="0.15">
      <c r="A436" s="12" t="s">
        <v>1254</v>
      </c>
      <c r="B436" s="6" t="s">
        <v>99</v>
      </c>
      <c r="C436" s="7" t="s">
        <v>1255</v>
      </c>
      <c r="D436" s="8" t="s">
        <v>107</v>
      </c>
      <c r="E436" s="9">
        <v>32387</v>
      </c>
      <c r="F436" s="8" t="s">
        <v>332</v>
      </c>
      <c r="G436" s="8" t="s">
        <v>126</v>
      </c>
      <c r="H436" s="8" t="s">
        <v>42</v>
      </c>
      <c r="I436" s="8" t="s">
        <v>120</v>
      </c>
      <c r="J436" s="8" t="s">
        <v>54</v>
      </c>
      <c r="K436" s="8" t="s">
        <v>44</v>
      </c>
      <c r="L436" s="8" t="s">
        <v>251</v>
      </c>
      <c r="M436" s="10" t="s">
        <v>56</v>
      </c>
      <c r="N436" s="11" t="s">
        <v>1229</v>
      </c>
    </row>
    <row r="437" spans="1:14" ht="15.75" customHeight="1" x14ac:dyDescent="0.15">
      <c r="A437" s="6" t="s">
        <v>1256</v>
      </c>
      <c r="B437" s="12" t="s">
        <v>105</v>
      </c>
      <c r="C437" s="7" t="s">
        <v>3420</v>
      </c>
      <c r="D437" s="13" t="s">
        <v>17</v>
      </c>
      <c r="E437" s="17">
        <v>33950</v>
      </c>
      <c r="F437" s="13" t="s">
        <v>182</v>
      </c>
      <c r="G437" s="13" t="s">
        <v>31</v>
      </c>
      <c r="H437" s="13" t="s">
        <v>171</v>
      </c>
      <c r="I437" s="13" t="s">
        <v>239</v>
      </c>
      <c r="J437" s="13" t="s">
        <v>150</v>
      </c>
      <c r="K437" s="13" t="s">
        <v>44</v>
      </c>
      <c r="L437" s="13" t="s">
        <v>490</v>
      </c>
      <c r="M437" s="15" t="s">
        <v>1257</v>
      </c>
      <c r="N437" s="11" t="s">
        <v>1229</v>
      </c>
    </row>
    <row r="438" spans="1:14" ht="15.75" customHeight="1" x14ac:dyDescent="0.15">
      <c r="A438" s="6" t="s">
        <v>1258</v>
      </c>
      <c r="B438" s="6" t="s">
        <v>1259</v>
      </c>
      <c r="C438" s="7" t="s">
        <v>1260</v>
      </c>
      <c r="D438" s="8" t="s">
        <v>107</v>
      </c>
      <c r="E438" s="9">
        <v>37927</v>
      </c>
      <c r="F438" s="8" t="s">
        <v>92</v>
      </c>
      <c r="G438" s="8" t="s">
        <v>243</v>
      </c>
      <c r="H438" s="8" t="s">
        <v>42</v>
      </c>
      <c r="I438" s="8" t="s">
        <v>115</v>
      </c>
      <c r="J438" s="8" t="s">
        <v>76</v>
      </c>
      <c r="K438" s="8" t="s">
        <v>44</v>
      </c>
      <c r="L438" s="8" t="s">
        <v>297</v>
      </c>
      <c r="M438" s="10" t="s">
        <v>628</v>
      </c>
      <c r="N438" s="11" t="s">
        <v>1229</v>
      </c>
    </row>
    <row r="439" spans="1:14" ht="15.75" customHeight="1" x14ac:dyDescent="0.15">
      <c r="A439" s="12" t="s">
        <v>1261</v>
      </c>
      <c r="B439" s="12" t="s">
        <v>112</v>
      </c>
      <c r="C439" s="7" t="s">
        <v>1262</v>
      </c>
      <c r="D439" s="13" t="s">
        <v>107</v>
      </c>
      <c r="E439" s="14">
        <v>37051</v>
      </c>
      <c r="F439" s="13" t="s">
        <v>203</v>
      </c>
      <c r="G439" s="13" t="s">
        <v>138</v>
      </c>
      <c r="H439" s="13" t="s">
        <v>191</v>
      </c>
      <c r="I439" s="13" t="s">
        <v>197</v>
      </c>
      <c r="J439" s="13" t="s">
        <v>150</v>
      </c>
      <c r="K439" s="13" t="s">
        <v>44</v>
      </c>
      <c r="L439" s="13" t="s">
        <v>55</v>
      </c>
      <c r="M439" s="15" t="s">
        <v>928</v>
      </c>
      <c r="N439" s="11" t="s">
        <v>1229</v>
      </c>
    </row>
    <row r="440" spans="1:14" ht="15.75" customHeight="1" x14ac:dyDescent="0.15">
      <c r="A440" s="6" t="s">
        <v>1263</v>
      </c>
      <c r="B440" s="6" t="s">
        <v>637</v>
      </c>
      <c r="C440" s="7" t="s">
        <v>1264</v>
      </c>
      <c r="D440" s="8" t="s">
        <v>107</v>
      </c>
      <c r="E440" s="9">
        <v>39241</v>
      </c>
      <c r="F440" s="8" t="s">
        <v>232</v>
      </c>
      <c r="G440" s="8" t="s">
        <v>93</v>
      </c>
      <c r="H440" s="8" t="s">
        <v>94</v>
      </c>
      <c r="I440" s="8" t="s">
        <v>140</v>
      </c>
      <c r="J440" s="8" t="s">
        <v>150</v>
      </c>
      <c r="K440" s="8" t="s">
        <v>77</v>
      </c>
      <c r="L440" s="8" t="s">
        <v>45</v>
      </c>
      <c r="M440" s="10" t="s">
        <v>1265</v>
      </c>
      <c r="N440" s="11" t="s">
        <v>1229</v>
      </c>
    </row>
    <row r="441" spans="1:14" ht="15.75" customHeight="1" x14ac:dyDescent="0.15">
      <c r="A441" s="12" t="s">
        <v>1266</v>
      </c>
      <c r="B441" s="12" t="s">
        <v>122</v>
      </c>
      <c r="C441" s="7" t="s">
        <v>1267</v>
      </c>
      <c r="D441" s="13" t="s">
        <v>107</v>
      </c>
      <c r="E441" s="14">
        <v>37660</v>
      </c>
      <c r="F441" s="13" t="s">
        <v>186</v>
      </c>
      <c r="G441" s="13" t="s">
        <v>131</v>
      </c>
      <c r="H441" s="13" t="s">
        <v>102</v>
      </c>
      <c r="I441" s="13" t="s">
        <v>115</v>
      </c>
      <c r="J441" s="13" t="s">
        <v>22</v>
      </c>
      <c r="K441" s="13" t="s">
        <v>23</v>
      </c>
      <c r="L441" s="13" t="s">
        <v>362</v>
      </c>
      <c r="M441" s="15" t="s">
        <v>794</v>
      </c>
      <c r="N441" s="11" t="s">
        <v>1229</v>
      </c>
    </row>
    <row r="442" spans="1:14" ht="15.75" customHeight="1" x14ac:dyDescent="0.15">
      <c r="A442" s="6" t="s">
        <v>1268</v>
      </c>
      <c r="B442" s="6" t="s">
        <v>643</v>
      </c>
      <c r="C442" s="7" t="s">
        <v>1269</v>
      </c>
      <c r="D442" s="8" t="s">
        <v>107</v>
      </c>
      <c r="E442" s="16">
        <v>37583</v>
      </c>
      <c r="F442" s="8" t="s">
        <v>186</v>
      </c>
      <c r="G442" s="8" t="s">
        <v>41</v>
      </c>
      <c r="H442" s="8" t="s">
        <v>32</v>
      </c>
      <c r="I442" s="8" t="s">
        <v>157</v>
      </c>
      <c r="J442" s="8" t="s">
        <v>22</v>
      </c>
      <c r="K442" s="8" t="s">
        <v>23</v>
      </c>
      <c r="L442" s="8" t="s">
        <v>277</v>
      </c>
      <c r="M442" s="10" t="s">
        <v>1270</v>
      </c>
      <c r="N442" s="11" t="s">
        <v>1229</v>
      </c>
    </row>
    <row r="443" spans="1:14" ht="15.75" customHeight="1" x14ac:dyDescent="0.15">
      <c r="A443" s="6" t="s">
        <v>1271</v>
      </c>
      <c r="B443" s="12" t="s">
        <v>123</v>
      </c>
      <c r="C443" s="7" t="s">
        <v>1272</v>
      </c>
      <c r="D443" s="13" t="s">
        <v>107</v>
      </c>
      <c r="E443" s="17">
        <v>35353</v>
      </c>
      <c r="F443" s="13" t="s">
        <v>148</v>
      </c>
      <c r="G443" s="13" t="s">
        <v>19</v>
      </c>
      <c r="H443" s="13" t="s">
        <v>94</v>
      </c>
      <c r="I443" s="13" t="s">
        <v>414</v>
      </c>
      <c r="J443" s="13" t="s">
        <v>54</v>
      </c>
      <c r="K443" s="13" t="s">
        <v>23</v>
      </c>
      <c r="L443" s="13" t="s">
        <v>218</v>
      </c>
      <c r="M443" s="15" t="s">
        <v>405</v>
      </c>
      <c r="N443" s="11" t="s">
        <v>1229</v>
      </c>
    </row>
    <row r="444" spans="1:14" ht="15.75" customHeight="1" x14ac:dyDescent="0.15">
      <c r="A444" s="12" t="s">
        <v>1273</v>
      </c>
      <c r="B444" s="6" t="s">
        <v>1274</v>
      </c>
      <c r="C444" s="7" t="s">
        <v>1275</v>
      </c>
      <c r="D444" s="8" t="s">
        <v>107</v>
      </c>
      <c r="E444" s="16">
        <v>38703</v>
      </c>
      <c r="F444" s="8" t="s">
        <v>170</v>
      </c>
      <c r="G444" s="8" t="s">
        <v>138</v>
      </c>
      <c r="H444" s="8" t="s">
        <v>171</v>
      </c>
      <c r="I444" s="8" t="s">
        <v>21</v>
      </c>
      <c r="J444" s="8" t="s">
        <v>150</v>
      </c>
      <c r="K444" s="8" t="s">
        <v>44</v>
      </c>
      <c r="L444" s="8" t="s">
        <v>751</v>
      </c>
      <c r="M444" s="10" t="s">
        <v>845</v>
      </c>
      <c r="N444" s="11" t="s">
        <v>1229</v>
      </c>
    </row>
    <row r="445" spans="1:14" ht="15.75" customHeight="1" x14ac:dyDescent="0.15">
      <c r="A445" s="6" t="s">
        <v>1276</v>
      </c>
      <c r="B445" s="12" t="s">
        <v>129</v>
      </c>
      <c r="C445" s="7" t="s">
        <v>1277</v>
      </c>
      <c r="D445" s="13" t="s">
        <v>107</v>
      </c>
      <c r="E445" s="14">
        <v>36997</v>
      </c>
      <c r="F445" s="13" t="s">
        <v>203</v>
      </c>
      <c r="G445" s="13" t="s">
        <v>204</v>
      </c>
      <c r="H445" s="13" t="s">
        <v>144</v>
      </c>
      <c r="I445" s="13" t="s">
        <v>33</v>
      </c>
      <c r="J445" s="13" t="s">
        <v>22</v>
      </c>
      <c r="K445" s="13" t="s">
        <v>44</v>
      </c>
      <c r="L445" s="13" t="s">
        <v>158</v>
      </c>
      <c r="M445" s="15" t="s">
        <v>1278</v>
      </c>
      <c r="N445" s="11" t="s">
        <v>1229</v>
      </c>
    </row>
    <row r="446" spans="1:14" ht="15.75" customHeight="1" x14ac:dyDescent="0.15">
      <c r="A446" s="12" t="s">
        <v>1279</v>
      </c>
      <c r="B446" s="6" t="s">
        <v>656</v>
      </c>
      <c r="C446" s="7" t="s">
        <v>1280</v>
      </c>
      <c r="D446" s="8" t="s">
        <v>107</v>
      </c>
      <c r="E446" s="9">
        <v>36603</v>
      </c>
      <c r="F446" s="8" t="s">
        <v>40</v>
      </c>
      <c r="G446" s="8" t="s">
        <v>243</v>
      </c>
      <c r="H446" s="8" t="s">
        <v>144</v>
      </c>
      <c r="I446" s="8" t="s">
        <v>115</v>
      </c>
      <c r="J446" s="8" t="s">
        <v>54</v>
      </c>
      <c r="K446" s="8" t="s">
        <v>77</v>
      </c>
      <c r="L446" s="8" t="s">
        <v>1006</v>
      </c>
      <c r="M446" s="10" t="s">
        <v>628</v>
      </c>
      <c r="N446" s="11" t="s">
        <v>1229</v>
      </c>
    </row>
    <row r="447" spans="1:14" ht="15.75" customHeight="1" x14ac:dyDescent="0.15">
      <c r="A447" s="6" t="s">
        <v>1281</v>
      </c>
      <c r="B447" s="12" t="s">
        <v>135</v>
      </c>
      <c r="C447" s="7" t="s">
        <v>1282</v>
      </c>
      <c r="D447" s="13" t="s">
        <v>107</v>
      </c>
      <c r="E447" s="14">
        <v>29242</v>
      </c>
      <c r="F447" s="13" t="s">
        <v>1283</v>
      </c>
      <c r="G447" s="13" t="s">
        <v>1284</v>
      </c>
      <c r="H447" s="13" t="s">
        <v>446</v>
      </c>
      <c r="I447" s="13" t="s">
        <v>582</v>
      </c>
      <c r="J447" s="13" t="s">
        <v>54</v>
      </c>
      <c r="K447" s="13" t="s">
        <v>77</v>
      </c>
      <c r="L447" s="13" t="s">
        <v>251</v>
      </c>
      <c r="M447" s="15" t="s">
        <v>1278</v>
      </c>
      <c r="N447" s="11" t="s">
        <v>1229</v>
      </c>
    </row>
    <row r="448" spans="1:14" ht="15.75" customHeight="1" x14ac:dyDescent="0.15">
      <c r="A448" s="6" t="s">
        <v>1285</v>
      </c>
      <c r="B448" s="6" t="s">
        <v>153</v>
      </c>
      <c r="C448" s="7" t="s">
        <v>1286</v>
      </c>
      <c r="D448" s="8" t="s">
        <v>107</v>
      </c>
      <c r="E448" s="9">
        <v>35910</v>
      </c>
      <c r="F448" s="8" t="s">
        <v>212</v>
      </c>
      <c r="G448" s="8" t="s">
        <v>31</v>
      </c>
      <c r="H448" s="8" t="s">
        <v>114</v>
      </c>
      <c r="I448" s="8" t="s">
        <v>192</v>
      </c>
      <c r="J448" s="8" t="s">
        <v>22</v>
      </c>
      <c r="K448" s="8" t="s">
        <v>44</v>
      </c>
      <c r="L448" s="8" t="s">
        <v>165</v>
      </c>
      <c r="M448" s="10" t="s">
        <v>416</v>
      </c>
      <c r="N448" s="11" t="s">
        <v>1229</v>
      </c>
    </row>
    <row r="449" spans="1:14" ht="15.75" customHeight="1" x14ac:dyDescent="0.15">
      <c r="A449" s="12" t="s">
        <v>1287</v>
      </c>
      <c r="B449" s="12" t="s">
        <v>142</v>
      </c>
      <c r="C449" s="7" t="s">
        <v>1288</v>
      </c>
      <c r="D449" s="13" t="s">
        <v>107</v>
      </c>
      <c r="E449" s="14">
        <v>35814</v>
      </c>
      <c r="F449" s="13" t="s">
        <v>212</v>
      </c>
      <c r="G449" s="13" t="s">
        <v>41</v>
      </c>
      <c r="H449" s="13" t="s">
        <v>114</v>
      </c>
      <c r="I449" s="13" t="s">
        <v>385</v>
      </c>
      <c r="J449" s="13" t="s">
        <v>76</v>
      </c>
      <c r="K449" s="13" t="s">
        <v>44</v>
      </c>
      <c r="L449" s="13" t="s">
        <v>218</v>
      </c>
      <c r="M449" s="15" t="s">
        <v>405</v>
      </c>
      <c r="N449" s="11" t="s">
        <v>1229</v>
      </c>
    </row>
    <row r="450" spans="1:14" ht="15.75" customHeight="1" x14ac:dyDescent="0.15">
      <c r="A450" s="6" t="s">
        <v>1289</v>
      </c>
      <c r="B450" s="6" t="s">
        <v>672</v>
      </c>
      <c r="C450" s="7" t="s">
        <v>1290</v>
      </c>
      <c r="D450" s="8" t="s">
        <v>49</v>
      </c>
      <c r="E450" s="9">
        <v>38412</v>
      </c>
      <c r="F450" s="8" t="s">
        <v>217</v>
      </c>
      <c r="G450" s="8" t="s">
        <v>131</v>
      </c>
      <c r="H450" s="8" t="s">
        <v>102</v>
      </c>
      <c r="I450" s="8" t="s">
        <v>21</v>
      </c>
      <c r="J450" s="8" t="s">
        <v>22</v>
      </c>
      <c r="K450" s="8" t="s">
        <v>44</v>
      </c>
      <c r="L450" s="8" t="s">
        <v>35</v>
      </c>
      <c r="M450" s="10" t="s">
        <v>318</v>
      </c>
      <c r="N450" s="11" t="s">
        <v>1229</v>
      </c>
    </row>
    <row r="451" spans="1:14" ht="15.75" customHeight="1" x14ac:dyDescent="0.15">
      <c r="A451" s="12" t="s">
        <v>1291</v>
      </c>
      <c r="B451" s="12" t="s">
        <v>678</v>
      </c>
      <c r="C451" s="7" t="s">
        <v>1292</v>
      </c>
      <c r="D451" s="13" t="s">
        <v>17</v>
      </c>
      <c r="E451" s="14">
        <v>37324</v>
      </c>
      <c r="F451" s="13" t="s">
        <v>137</v>
      </c>
      <c r="G451" s="13" t="s">
        <v>204</v>
      </c>
      <c r="H451" s="13" t="s">
        <v>196</v>
      </c>
      <c r="I451" s="13" t="s">
        <v>197</v>
      </c>
      <c r="J451" s="13" t="s">
        <v>54</v>
      </c>
      <c r="K451" s="13" t="s">
        <v>23</v>
      </c>
      <c r="L451" s="13" t="s">
        <v>297</v>
      </c>
      <c r="M451" s="15" t="s">
        <v>318</v>
      </c>
      <c r="N451" s="11" t="s">
        <v>1229</v>
      </c>
    </row>
    <row r="452" spans="1:14" ht="15.75" customHeight="1" x14ac:dyDescent="0.15">
      <c r="A452" s="6" t="s">
        <v>1293</v>
      </c>
      <c r="B452" s="6" t="s">
        <v>146</v>
      </c>
      <c r="C452" s="7" t="s">
        <v>1294</v>
      </c>
      <c r="D452" s="8" t="s">
        <v>107</v>
      </c>
      <c r="E452" s="9">
        <v>34439</v>
      </c>
      <c r="F452" s="8" t="s">
        <v>18</v>
      </c>
      <c r="G452" s="8" t="s">
        <v>60</v>
      </c>
      <c r="H452" s="8" t="s">
        <v>114</v>
      </c>
      <c r="I452" s="8" t="s">
        <v>470</v>
      </c>
      <c r="J452" s="8" t="s">
        <v>22</v>
      </c>
      <c r="K452" s="8" t="s">
        <v>44</v>
      </c>
      <c r="L452" s="8" t="s">
        <v>424</v>
      </c>
      <c r="M452" s="10" t="s">
        <v>1295</v>
      </c>
      <c r="N452" s="11" t="s">
        <v>1229</v>
      </c>
    </row>
    <row r="453" spans="1:14" ht="15.75" customHeight="1" x14ac:dyDescent="0.15">
      <c r="A453" s="6" t="s">
        <v>1296</v>
      </c>
      <c r="B453" s="12" t="s">
        <v>690</v>
      </c>
      <c r="C453" s="7" t="s">
        <v>1297</v>
      </c>
      <c r="D453" s="13" t="s">
        <v>17</v>
      </c>
      <c r="E453" s="14">
        <v>36789</v>
      </c>
      <c r="F453" s="13" t="s">
        <v>203</v>
      </c>
      <c r="G453" s="13" t="s">
        <v>131</v>
      </c>
      <c r="H453" s="13" t="s">
        <v>94</v>
      </c>
      <c r="I453" s="13" t="s">
        <v>414</v>
      </c>
      <c r="J453" s="13" t="s">
        <v>54</v>
      </c>
      <c r="K453" s="13" t="s">
        <v>77</v>
      </c>
      <c r="L453" s="13" t="s">
        <v>218</v>
      </c>
      <c r="M453" s="15" t="s">
        <v>318</v>
      </c>
      <c r="N453" s="11" t="s">
        <v>1229</v>
      </c>
    </row>
    <row r="454" spans="1:14" ht="15.75" customHeight="1" x14ac:dyDescent="0.15">
      <c r="A454" s="12" t="s">
        <v>1298</v>
      </c>
      <c r="B454" s="6" t="s">
        <v>154</v>
      </c>
      <c r="C454" s="7" t="s">
        <v>1299</v>
      </c>
      <c r="D454" s="8" t="s">
        <v>39</v>
      </c>
      <c r="E454" s="9">
        <v>33821</v>
      </c>
      <c r="F454" s="8" t="s">
        <v>430</v>
      </c>
      <c r="G454" s="8" t="s">
        <v>31</v>
      </c>
      <c r="H454" s="8" t="s">
        <v>1300</v>
      </c>
      <c r="I454" s="8" t="s">
        <v>1021</v>
      </c>
      <c r="J454" s="8" t="s">
        <v>150</v>
      </c>
      <c r="K454" s="8" t="s">
        <v>44</v>
      </c>
      <c r="L454" s="8" t="s">
        <v>324</v>
      </c>
      <c r="M454" s="10" t="s">
        <v>1301</v>
      </c>
      <c r="N454" s="11" t="s">
        <v>1229</v>
      </c>
    </row>
    <row r="455" spans="1:14" ht="15.75" customHeight="1" x14ac:dyDescent="0.15">
      <c r="A455" s="6" t="s">
        <v>1302</v>
      </c>
      <c r="B455" s="12" t="s">
        <v>697</v>
      </c>
      <c r="C455" s="7" t="s">
        <v>1303</v>
      </c>
      <c r="D455" s="13" t="s">
        <v>17</v>
      </c>
      <c r="E455" s="14">
        <v>38561</v>
      </c>
      <c r="F455" s="13" t="s">
        <v>217</v>
      </c>
      <c r="G455" s="13" t="s">
        <v>138</v>
      </c>
      <c r="H455" s="13" t="s">
        <v>102</v>
      </c>
      <c r="I455" s="13" t="s">
        <v>192</v>
      </c>
      <c r="J455" s="13" t="s">
        <v>54</v>
      </c>
      <c r="K455" s="13" t="s">
        <v>44</v>
      </c>
      <c r="L455" s="13" t="s">
        <v>183</v>
      </c>
      <c r="M455" s="15" t="s">
        <v>1270</v>
      </c>
      <c r="N455" s="11" t="s">
        <v>1229</v>
      </c>
    </row>
    <row r="456" spans="1:14" ht="15.75" customHeight="1" x14ac:dyDescent="0.15">
      <c r="A456" s="12" t="s">
        <v>1304</v>
      </c>
      <c r="B456" s="6" t="s">
        <v>159</v>
      </c>
      <c r="C456" s="7" t="s">
        <v>1305</v>
      </c>
      <c r="D456" s="8" t="s">
        <v>107</v>
      </c>
      <c r="E456" s="9">
        <v>36243</v>
      </c>
      <c r="F456" s="8" t="s">
        <v>30</v>
      </c>
      <c r="G456" s="8" t="s">
        <v>31</v>
      </c>
      <c r="H456" s="8" t="s">
        <v>52</v>
      </c>
      <c r="I456" s="8" t="s">
        <v>21</v>
      </c>
      <c r="J456" s="8" t="s">
        <v>76</v>
      </c>
      <c r="K456" s="8" t="s">
        <v>77</v>
      </c>
      <c r="L456" s="8" t="s">
        <v>96</v>
      </c>
      <c r="M456" s="10" t="s">
        <v>391</v>
      </c>
      <c r="N456" s="11" t="s">
        <v>1229</v>
      </c>
    </row>
    <row r="457" spans="1:14" ht="15.75" customHeight="1" x14ac:dyDescent="0.15">
      <c r="A457" s="6" t="s">
        <v>1306</v>
      </c>
      <c r="B457" s="12" t="s">
        <v>163</v>
      </c>
      <c r="C457" s="7" t="s">
        <v>1307</v>
      </c>
      <c r="D457" s="13" t="s">
        <v>49</v>
      </c>
      <c r="E457" s="14">
        <v>33041</v>
      </c>
      <c r="F457" s="13" t="s">
        <v>125</v>
      </c>
      <c r="G457" s="13" t="s">
        <v>119</v>
      </c>
      <c r="H457" s="13" t="s">
        <v>102</v>
      </c>
      <c r="I457" s="13" t="s">
        <v>103</v>
      </c>
      <c r="J457" s="13" t="s">
        <v>54</v>
      </c>
      <c r="K457" s="13" t="s">
        <v>44</v>
      </c>
      <c r="L457" s="13" t="s">
        <v>572</v>
      </c>
      <c r="M457" s="15" t="s">
        <v>716</v>
      </c>
      <c r="N457" s="11" t="s">
        <v>1229</v>
      </c>
    </row>
    <row r="458" spans="1:14" ht="15.75" customHeight="1" x14ac:dyDescent="0.15">
      <c r="A458" s="6" t="s">
        <v>1308</v>
      </c>
      <c r="B458" s="6" t="s">
        <v>700</v>
      </c>
      <c r="C458" s="7" t="s">
        <v>1309</v>
      </c>
      <c r="D458" s="8" t="s">
        <v>49</v>
      </c>
      <c r="E458" s="9">
        <v>37454</v>
      </c>
      <c r="F458" s="8" t="s">
        <v>137</v>
      </c>
      <c r="G458" s="8" t="s">
        <v>31</v>
      </c>
      <c r="H458" s="8" t="s">
        <v>94</v>
      </c>
      <c r="I458" s="8" t="s">
        <v>149</v>
      </c>
      <c r="J458" s="8" t="s">
        <v>76</v>
      </c>
      <c r="K458" s="8" t="s">
        <v>44</v>
      </c>
      <c r="L458" s="8" t="s">
        <v>297</v>
      </c>
      <c r="M458" s="10" t="s">
        <v>628</v>
      </c>
      <c r="N458" s="11" t="s">
        <v>1229</v>
      </c>
    </row>
    <row r="459" spans="1:14" ht="15.75" customHeight="1" x14ac:dyDescent="0.15">
      <c r="A459" s="12" t="s">
        <v>1310</v>
      </c>
      <c r="B459" s="12" t="s">
        <v>168</v>
      </c>
      <c r="C459" s="7" t="s">
        <v>1311</v>
      </c>
      <c r="D459" s="13" t="s">
        <v>107</v>
      </c>
      <c r="E459" s="14">
        <v>36264</v>
      </c>
      <c r="F459" s="13" t="s">
        <v>30</v>
      </c>
      <c r="G459" s="13" t="s">
        <v>138</v>
      </c>
      <c r="H459" s="13" t="s">
        <v>94</v>
      </c>
      <c r="I459" s="13" t="s">
        <v>120</v>
      </c>
      <c r="J459" s="13" t="s">
        <v>76</v>
      </c>
      <c r="K459" s="13" t="s">
        <v>44</v>
      </c>
      <c r="L459" s="13" t="s">
        <v>218</v>
      </c>
      <c r="M459" s="15" t="s">
        <v>199</v>
      </c>
      <c r="N459" s="11" t="s">
        <v>1229</v>
      </c>
    </row>
    <row r="460" spans="1:14" ht="15.75" customHeight="1" x14ac:dyDescent="0.15">
      <c r="A460" s="6" t="s">
        <v>1312</v>
      </c>
      <c r="B460" s="6" t="s">
        <v>173</v>
      </c>
      <c r="C460" s="7" t="s">
        <v>1313</v>
      </c>
      <c r="D460" s="8" t="s">
        <v>107</v>
      </c>
      <c r="E460" s="9">
        <v>33009</v>
      </c>
      <c r="F460" s="8" t="s">
        <v>125</v>
      </c>
      <c r="G460" s="8" t="s">
        <v>126</v>
      </c>
      <c r="H460" s="8" t="s">
        <v>82</v>
      </c>
      <c r="I460" s="8" t="s">
        <v>33</v>
      </c>
      <c r="J460" s="8" t="s">
        <v>54</v>
      </c>
      <c r="K460" s="8" t="s">
        <v>44</v>
      </c>
      <c r="L460" s="8" t="s">
        <v>297</v>
      </c>
      <c r="M460" s="10" t="s">
        <v>1314</v>
      </c>
      <c r="N460" s="11" t="s">
        <v>1229</v>
      </c>
    </row>
    <row r="461" spans="1:14" ht="15.75" customHeight="1" x14ac:dyDescent="0.15">
      <c r="A461" s="12" t="s">
        <v>1315</v>
      </c>
      <c r="B461" s="12" t="s">
        <v>175</v>
      </c>
      <c r="C461" s="7" t="s">
        <v>1316</v>
      </c>
      <c r="D461" s="13" t="s">
        <v>107</v>
      </c>
      <c r="E461" s="14">
        <v>36668</v>
      </c>
      <c r="F461" s="13" t="s">
        <v>40</v>
      </c>
      <c r="G461" s="13" t="s">
        <v>131</v>
      </c>
      <c r="H461" s="13" t="s">
        <v>82</v>
      </c>
      <c r="I461" s="13" t="s">
        <v>192</v>
      </c>
      <c r="J461" s="13" t="s">
        <v>34</v>
      </c>
      <c r="K461" s="13" t="s">
        <v>77</v>
      </c>
      <c r="L461" s="13" t="s">
        <v>218</v>
      </c>
      <c r="M461" s="15" t="s">
        <v>1317</v>
      </c>
      <c r="N461" s="11" t="s">
        <v>1229</v>
      </c>
    </row>
    <row r="462" spans="1:14" ht="15.75" customHeight="1" x14ac:dyDescent="0.15">
      <c r="A462" s="6" t="s">
        <v>1318</v>
      </c>
      <c r="B462" s="6" t="s">
        <v>200</v>
      </c>
      <c r="C462" s="7" t="s">
        <v>1319</v>
      </c>
      <c r="D462" s="8" t="s">
        <v>39</v>
      </c>
      <c r="E462" s="16">
        <v>39050</v>
      </c>
      <c r="F462" s="8" t="s">
        <v>232</v>
      </c>
      <c r="G462" s="8" t="s">
        <v>131</v>
      </c>
      <c r="H462" s="8" t="s">
        <v>42</v>
      </c>
      <c r="I462" s="8" t="s">
        <v>95</v>
      </c>
      <c r="J462" s="8" t="s">
        <v>76</v>
      </c>
      <c r="K462" s="8" t="s">
        <v>77</v>
      </c>
      <c r="L462" s="8" t="s">
        <v>297</v>
      </c>
      <c r="M462" s="10" t="s">
        <v>349</v>
      </c>
      <c r="N462" s="11" t="s">
        <v>1229</v>
      </c>
    </row>
    <row r="463" spans="1:14" ht="15.75" customHeight="1" x14ac:dyDescent="0.15">
      <c r="A463" s="6" t="s">
        <v>1320</v>
      </c>
      <c r="B463" s="12" t="s">
        <v>177</v>
      </c>
      <c r="C463" s="7" t="s">
        <v>1321</v>
      </c>
      <c r="D463" s="13" t="s">
        <v>49</v>
      </c>
      <c r="E463" s="17">
        <v>34259</v>
      </c>
      <c r="F463" s="13" t="s">
        <v>18</v>
      </c>
      <c r="G463" s="13" t="s">
        <v>67</v>
      </c>
      <c r="H463" s="13" t="s">
        <v>179</v>
      </c>
      <c r="I463" s="13" t="s">
        <v>33</v>
      </c>
      <c r="J463" s="13" t="s">
        <v>54</v>
      </c>
      <c r="K463" s="13" t="s">
        <v>44</v>
      </c>
      <c r="L463" s="13" t="s">
        <v>511</v>
      </c>
      <c r="M463" s="15" t="s">
        <v>1067</v>
      </c>
      <c r="N463" s="11" t="s">
        <v>1229</v>
      </c>
    </row>
    <row r="464" spans="1:14" ht="15.75" customHeight="1" x14ac:dyDescent="0.15">
      <c r="A464" s="12" t="s">
        <v>1322</v>
      </c>
      <c r="B464" s="6" t="s">
        <v>180</v>
      </c>
      <c r="C464" s="7" t="s">
        <v>1323</v>
      </c>
      <c r="D464" s="8" t="s">
        <v>107</v>
      </c>
      <c r="E464" s="9">
        <v>37808</v>
      </c>
      <c r="F464" s="8" t="s">
        <v>186</v>
      </c>
      <c r="G464" s="8" t="s">
        <v>93</v>
      </c>
      <c r="H464" s="8" t="s">
        <v>535</v>
      </c>
      <c r="I464" s="8" t="s">
        <v>95</v>
      </c>
      <c r="J464" s="8" t="s">
        <v>150</v>
      </c>
      <c r="K464" s="8" t="s">
        <v>44</v>
      </c>
      <c r="L464" s="8" t="s">
        <v>218</v>
      </c>
      <c r="M464" s="10" t="s">
        <v>298</v>
      </c>
      <c r="N464" s="11" t="s">
        <v>1229</v>
      </c>
    </row>
    <row r="465" spans="1:14" ht="15.75" customHeight="1" x14ac:dyDescent="0.15">
      <c r="A465" s="6" t="s">
        <v>1324</v>
      </c>
      <c r="B465" s="12" t="s">
        <v>184</v>
      </c>
      <c r="C465" s="7" t="s">
        <v>1325</v>
      </c>
      <c r="D465" s="13" t="s">
        <v>107</v>
      </c>
      <c r="E465" s="14">
        <v>34956</v>
      </c>
      <c r="F465" s="13" t="s">
        <v>66</v>
      </c>
      <c r="G465" s="13" t="s">
        <v>51</v>
      </c>
      <c r="H465" s="13" t="s">
        <v>74</v>
      </c>
      <c r="I465" s="13" t="s">
        <v>103</v>
      </c>
      <c r="J465" s="13" t="s">
        <v>76</v>
      </c>
      <c r="K465" s="13" t="s">
        <v>77</v>
      </c>
      <c r="L465" s="13" t="s">
        <v>198</v>
      </c>
      <c r="M465" s="15" t="s">
        <v>1326</v>
      </c>
      <c r="N465" s="11" t="s">
        <v>1229</v>
      </c>
    </row>
    <row r="466" spans="1:14" ht="15.75" customHeight="1" x14ac:dyDescent="0.15">
      <c r="A466" s="12" t="s">
        <v>1327</v>
      </c>
      <c r="B466" s="6" t="s">
        <v>189</v>
      </c>
      <c r="C466" s="7" t="s">
        <v>1328</v>
      </c>
      <c r="D466" s="8" t="s">
        <v>107</v>
      </c>
      <c r="E466" s="9">
        <v>37133</v>
      </c>
      <c r="F466" s="8" t="s">
        <v>203</v>
      </c>
      <c r="G466" s="8" t="s">
        <v>138</v>
      </c>
      <c r="H466" s="8" t="s">
        <v>94</v>
      </c>
      <c r="I466" s="8" t="s">
        <v>95</v>
      </c>
      <c r="J466" s="8" t="s">
        <v>76</v>
      </c>
      <c r="K466" s="8" t="s">
        <v>77</v>
      </c>
      <c r="L466" s="8" t="s">
        <v>198</v>
      </c>
      <c r="M466" s="10" t="s">
        <v>467</v>
      </c>
      <c r="N466" s="11" t="s">
        <v>1229</v>
      </c>
    </row>
    <row r="467" spans="1:14" ht="15.75" customHeight="1" x14ac:dyDescent="0.15">
      <c r="A467" s="6" t="s">
        <v>1329</v>
      </c>
      <c r="B467" s="12" t="s">
        <v>194</v>
      </c>
      <c r="C467" s="7" t="s">
        <v>1330</v>
      </c>
      <c r="D467" s="13" t="s">
        <v>39</v>
      </c>
      <c r="E467" s="14">
        <v>38169</v>
      </c>
      <c r="F467" s="13" t="s">
        <v>92</v>
      </c>
      <c r="G467" s="13" t="s">
        <v>41</v>
      </c>
      <c r="H467" s="13" t="s">
        <v>156</v>
      </c>
      <c r="I467" s="13" t="s">
        <v>157</v>
      </c>
      <c r="J467" s="13" t="s">
        <v>76</v>
      </c>
      <c r="K467" s="13" t="s">
        <v>23</v>
      </c>
      <c r="L467" s="13" t="s">
        <v>390</v>
      </c>
      <c r="M467" s="15" t="s">
        <v>219</v>
      </c>
      <c r="N467" s="11" t="s">
        <v>1229</v>
      </c>
    </row>
    <row r="468" spans="1:14" ht="15.75" customHeight="1" x14ac:dyDescent="0.15">
      <c r="A468" s="6" t="s">
        <v>1331</v>
      </c>
      <c r="B468" s="6" t="s">
        <v>201</v>
      </c>
      <c r="C468" s="7" t="s">
        <v>1332</v>
      </c>
      <c r="D468" s="8" t="s">
        <v>17</v>
      </c>
      <c r="E468" s="9">
        <v>34478</v>
      </c>
      <c r="F468" s="8" t="s">
        <v>18</v>
      </c>
      <c r="G468" s="8" t="s">
        <v>19</v>
      </c>
      <c r="H468" s="8" t="s">
        <v>132</v>
      </c>
      <c r="I468" s="8" t="s">
        <v>265</v>
      </c>
      <c r="J468" s="8" t="s">
        <v>34</v>
      </c>
      <c r="K468" s="8" t="s">
        <v>44</v>
      </c>
      <c r="L468" s="8" t="s">
        <v>218</v>
      </c>
      <c r="M468" s="10" t="s">
        <v>141</v>
      </c>
      <c r="N468" s="11" t="s">
        <v>1229</v>
      </c>
    </row>
    <row r="469" spans="1:14" ht="15.75" customHeight="1" x14ac:dyDescent="0.15">
      <c r="A469" s="12" t="s">
        <v>1333</v>
      </c>
      <c r="B469" s="12" t="s">
        <v>205</v>
      </c>
      <c r="C469" s="7" t="s">
        <v>1334</v>
      </c>
      <c r="D469" s="13" t="s">
        <v>17</v>
      </c>
      <c r="E469" s="14">
        <v>37317</v>
      </c>
      <c r="F469" s="13" t="s">
        <v>137</v>
      </c>
      <c r="G469" s="13" t="s">
        <v>93</v>
      </c>
      <c r="H469" s="13" t="s">
        <v>94</v>
      </c>
      <c r="I469" s="13" t="s">
        <v>21</v>
      </c>
      <c r="J469" s="13" t="s">
        <v>150</v>
      </c>
      <c r="K469" s="13" t="s">
        <v>44</v>
      </c>
      <c r="L469" s="13" t="s">
        <v>424</v>
      </c>
      <c r="M469" s="15" t="s">
        <v>467</v>
      </c>
      <c r="N469" s="11" t="s">
        <v>1229</v>
      </c>
    </row>
    <row r="470" spans="1:14" ht="15.75" customHeight="1" x14ac:dyDescent="0.15">
      <c r="A470" s="6" t="s">
        <v>1335</v>
      </c>
      <c r="B470" s="6" t="s">
        <v>210</v>
      </c>
      <c r="C470" s="7" t="s">
        <v>1336</v>
      </c>
      <c r="D470" s="8" t="s">
        <v>17</v>
      </c>
      <c r="E470" s="9">
        <v>38072</v>
      </c>
      <c r="F470" s="8" t="s">
        <v>92</v>
      </c>
      <c r="G470" s="8" t="s">
        <v>93</v>
      </c>
      <c r="H470" s="8" t="s">
        <v>114</v>
      </c>
      <c r="I470" s="8" t="s">
        <v>21</v>
      </c>
      <c r="J470" s="8" t="s">
        <v>150</v>
      </c>
      <c r="K470" s="8" t="s">
        <v>23</v>
      </c>
      <c r="L470" s="8" t="s">
        <v>187</v>
      </c>
      <c r="M470" s="10" t="s">
        <v>36</v>
      </c>
      <c r="N470" s="11" t="s">
        <v>1229</v>
      </c>
    </row>
    <row r="471" spans="1:14" ht="15.75" customHeight="1" x14ac:dyDescent="0.15">
      <c r="A471" s="12" t="s">
        <v>1337</v>
      </c>
      <c r="B471" s="12" t="s">
        <v>215</v>
      </c>
      <c r="C471" s="7" t="s">
        <v>1338</v>
      </c>
      <c r="D471" s="13" t="s">
        <v>107</v>
      </c>
      <c r="E471" s="14">
        <v>33394</v>
      </c>
      <c r="F471" s="13" t="s">
        <v>50</v>
      </c>
      <c r="G471" s="13" t="s">
        <v>51</v>
      </c>
      <c r="H471" s="13" t="s">
        <v>171</v>
      </c>
      <c r="I471" s="13" t="s">
        <v>197</v>
      </c>
      <c r="J471" s="13" t="s">
        <v>76</v>
      </c>
      <c r="K471" s="13" t="s">
        <v>44</v>
      </c>
      <c r="L471" s="13" t="s">
        <v>165</v>
      </c>
      <c r="M471" s="15" t="s">
        <v>1248</v>
      </c>
      <c r="N471" s="11" t="s">
        <v>1229</v>
      </c>
    </row>
    <row r="472" spans="1:14" ht="15.75" customHeight="1" x14ac:dyDescent="0.15">
      <c r="A472" s="6" t="s">
        <v>1339</v>
      </c>
      <c r="B472" s="6" t="s">
        <v>220</v>
      </c>
      <c r="C472" s="7" t="s">
        <v>1340</v>
      </c>
      <c r="D472" s="8" t="s">
        <v>107</v>
      </c>
      <c r="E472" s="16">
        <v>34699</v>
      </c>
      <c r="F472" s="8" t="s">
        <v>59</v>
      </c>
      <c r="G472" s="8" t="s">
        <v>60</v>
      </c>
      <c r="H472" s="8" t="s">
        <v>102</v>
      </c>
      <c r="I472" s="8" t="s">
        <v>342</v>
      </c>
      <c r="J472" s="8" t="s">
        <v>22</v>
      </c>
      <c r="K472" s="8" t="s">
        <v>44</v>
      </c>
      <c r="L472" s="8" t="s">
        <v>218</v>
      </c>
      <c r="M472" s="10" t="s">
        <v>1295</v>
      </c>
      <c r="N472" s="11" t="s">
        <v>1229</v>
      </c>
    </row>
    <row r="473" spans="1:14" ht="15.75" customHeight="1" x14ac:dyDescent="0.15">
      <c r="A473" s="6" t="s">
        <v>1341</v>
      </c>
      <c r="B473" s="12" t="s">
        <v>223</v>
      </c>
      <c r="C473" s="7" t="s">
        <v>1342</v>
      </c>
      <c r="D473" s="13" t="s">
        <v>39</v>
      </c>
      <c r="E473" s="14">
        <v>36677</v>
      </c>
      <c r="F473" s="13" t="s">
        <v>40</v>
      </c>
      <c r="G473" s="13" t="s">
        <v>41</v>
      </c>
      <c r="H473" s="13" t="s">
        <v>94</v>
      </c>
      <c r="I473" s="13" t="s">
        <v>197</v>
      </c>
      <c r="J473" s="13" t="s">
        <v>22</v>
      </c>
      <c r="K473" s="13" t="s">
        <v>77</v>
      </c>
      <c r="L473" s="13" t="s">
        <v>297</v>
      </c>
      <c r="M473" s="15" t="s">
        <v>161</v>
      </c>
      <c r="N473" s="11" t="s">
        <v>1229</v>
      </c>
    </row>
    <row r="474" spans="1:14" ht="15.75" customHeight="1" x14ac:dyDescent="0.15">
      <c r="A474" s="12" t="s">
        <v>1343</v>
      </c>
      <c r="B474" s="6" t="s">
        <v>227</v>
      </c>
      <c r="C474" s="7" t="s">
        <v>1344</v>
      </c>
      <c r="D474" s="8" t="s">
        <v>107</v>
      </c>
      <c r="E474" s="9">
        <v>36671</v>
      </c>
      <c r="F474" s="8" t="s">
        <v>40</v>
      </c>
      <c r="G474" s="8" t="s">
        <v>93</v>
      </c>
      <c r="H474" s="8" t="s">
        <v>52</v>
      </c>
      <c r="I474" s="8" t="s">
        <v>265</v>
      </c>
      <c r="J474" s="8" t="s">
        <v>76</v>
      </c>
      <c r="K474" s="8" t="s">
        <v>77</v>
      </c>
      <c r="L474" s="8" t="s">
        <v>283</v>
      </c>
      <c r="M474" s="10" t="s">
        <v>161</v>
      </c>
      <c r="N474" s="11" t="s">
        <v>1229</v>
      </c>
    </row>
    <row r="475" spans="1:14" ht="15.75" customHeight="1" x14ac:dyDescent="0.15">
      <c r="A475" s="6" t="s">
        <v>1345</v>
      </c>
      <c r="B475" s="12" t="s">
        <v>230</v>
      </c>
      <c r="C475" s="7" t="s">
        <v>1346</v>
      </c>
      <c r="D475" s="13" t="s">
        <v>107</v>
      </c>
      <c r="E475" s="14">
        <v>35742</v>
      </c>
      <c r="F475" s="13" t="s">
        <v>212</v>
      </c>
      <c r="G475" s="13" t="s">
        <v>204</v>
      </c>
      <c r="H475" s="13" t="s">
        <v>68</v>
      </c>
      <c r="I475" s="13" t="s">
        <v>109</v>
      </c>
      <c r="J475" s="13" t="s">
        <v>22</v>
      </c>
      <c r="K475" s="13" t="s">
        <v>44</v>
      </c>
      <c r="L475" s="13" t="s">
        <v>133</v>
      </c>
      <c r="M475" s="15" t="s">
        <v>809</v>
      </c>
      <c r="N475" s="11" t="s">
        <v>1229</v>
      </c>
    </row>
    <row r="476" spans="1:14" ht="15.75" customHeight="1" x14ac:dyDescent="0.15">
      <c r="A476" s="12" t="s">
        <v>1347</v>
      </c>
      <c r="B476" s="6" t="s">
        <v>234</v>
      </c>
      <c r="C476" s="7" t="s">
        <v>1348</v>
      </c>
      <c r="D476" s="8" t="s">
        <v>107</v>
      </c>
      <c r="E476" s="9">
        <v>35863</v>
      </c>
      <c r="F476" s="8" t="s">
        <v>212</v>
      </c>
      <c r="G476" s="8" t="s">
        <v>101</v>
      </c>
      <c r="H476" s="8" t="s">
        <v>42</v>
      </c>
      <c r="I476" s="8" t="s">
        <v>95</v>
      </c>
      <c r="J476" s="8" t="s">
        <v>54</v>
      </c>
      <c r="K476" s="8" t="s">
        <v>23</v>
      </c>
      <c r="L476" s="8" t="s">
        <v>110</v>
      </c>
      <c r="M476" s="10" t="s">
        <v>1349</v>
      </c>
      <c r="N476" s="11" t="s">
        <v>1229</v>
      </c>
    </row>
    <row r="477" spans="1:14" ht="15.75" customHeight="1" x14ac:dyDescent="0.15">
      <c r="A477" s="6" t="s">
        <v>1350</v>
      </c>
      <c r="B477" s="12" t="s">
        <v>236</v>
      </c>
      <c r="C477" s="7" t="s">
        <v>1351</v>
      </c>
      <c r="D477" s="13" t="s">
        <v>107</v>
      </c>
      <c r="E477" s="14">
        <v>36180</v>
      </c>
      <c r="F477" s="13" t="s">
        <v>30</v>
      </c>
      <c r="G477" s="13" t="s">
        <v>31</v>
      </c>
      <c r="H477" s="13" t="s">
        <v>94</v>
      </c>
      <c r="I477" s="13" t="s">
        <v>470</v>
      </c>
      <c r="J477" s="13" t="s">
        <v>22</v>
      </c>
      <c r="K477" s="13" t="s">
        <v>44</v>
      </c>
      <c r="L477" s="13" t="s">
        <v>244</v>
      </c>
      <c r="M477" s="15" t="s">
        <v>1352</v>
      </c>
      <c r="N477" s="11" t="s">
        <v>1229</v>
      </c>
    </row>
    <row r="478" spans="1:14" ht="15.75" customHeight="1" x14ac:dyDescent="0.15">
      <c r="A478" s="6" t="s">
        <v>1353</v>
      </c>
      <c r="B478" s="6" t="s">
        <v>241</v>
      </c>
      <c r="C478" s="7" t="s">
        <v>1354</v>
      </c>
      <c r="D478" s="8" t="s">
        <v>107</v>
      </c>
      <c r="E478" s="9">
        <v>35564</v>
      </c>
      <c r="F478" s="8" t="s">
        <v>148</v>
      </c>
      <c r="G478" s="8" t="s">
        <v>101</v>
      </c>
      <c r="H478" s="8" t="s">
        <v>94</v>
      </c>
      <c r="I478" s="8" t="s">
        <v>120</v>
      </c>
      <c r="J478" s="8" t="s">
        <v>22</v>
      </c>
      <c r="K478" s="8" t="s">
        <v>77</v>
      </c>
      <c r="L478" s="8" t="s">
        <v>390</v>
      </c>
      <c r="M478" s="10" t="s">
        <v>974</v>
      </c>
      <c r="N478" s="11" t="s">
        <v>1229</v>
      </c>
    </row>
    <row r="479" spans="1:14" ht="15.75" customHeight="1" x14ac:dyDescent="0.15">
      <c r="A479" s="12" t="s">
        <v>1355</v>
      </c>
      <c r="B479" s="12" t="s">
        <v>246</v>
      </c>
      <c r="C479" s="7" t="s">
        <v>1356</v>
      </c>
      <c r="D479" s="13" t="s">
        <v>49</v>
      </c>
      <c r="E479" s="14">
        <v>34101</v>
      </c>
      <c r="F479" s="13" t="s">
        <v>182</v>
      </c>
      <c r="G479" s="13" t="s">
        <v>101</v>
      </c>
      <c r="H479" s="13" t="s">
        <v>94</v>
      </c>
      <c r="I479" s="13" t="s">
        <v>115</v>
      </c>
      <c r="J479" s="13" t="s">
        <v>54</v>
      </c>
      <c r="K479" s="13" t="s">
        <v>44</v>
      </c>
      <c r="L479" s="13" t="s">
        <v>62</v>
      </c>
      <c r="M479" s="15" t="s">
        <v>161</v>
      </c>
      <c r="N479" s="11" t="s">
        <v>1229</v>
      </c>
    </row>
    <row r="480" spans="1:14" ht="15.75" customHeight="1" x14ac:dyDescent="0.15">
      <c r="A480" s="6" t="s">
        <v>1357</v>
      </c>
      <c r="B480" s="6" t="s">
        <v>249</v>
      </c>
      <c r="C480" s="7" t="s">
        <v>1358</v>
      </c>
      <c r="D480" s="8" t="s">
        <v>107</v>
      </c>
      <c r="E480" s="9">
        <v>39312</v>
      </c>
      <c r="F480" s="8" t="s">
        <v>232</v>
      </c>
      <c r="G480" s="8" t="s">
        <v>93</v>
      </c>
      <c r="H480" s="8" t="s">
        <v>179</v>
      </c>
      <c r="I480" s="8" t="s">
        <v>140</v>
      </c>
      <c r="J480" s="8" t="s">
        <v>150</v>
      </c>
      <c r="K480" s="8" t="s">
        <v>77</v>
      </c>
      <c r="L480" s="8" t="s">
        <v>218</v>
      </c>
      <c r="M480" s="10" t="s">
        <v>274</v>
      </c>
      <c r="N480" s="11" t="s">
        <v>1229</v>
      </c>
    </row>
    <row r="481" spans="1:14" ht="15.75" customHeight="1" x14ac:dyDescent="0.15">
      <c r="A481" s="12" t="s">
        <v>1359</v>
      </c>
      <c r="B481" s="12" t="s">
        <v>253</v>
      </c>
      <c r="C481" s="7" t="s">
        <v>1360</v>
      </c>
      <c r="D481" s="13" t="s">
        <v>17</v>
      </c>
      <c r="E481" s="17">
        <v>36878</v>
      </c>
      <c r="F481" s="13" t="s">
        <v>203</v>
      </c>
      <c r="G481" s="13" t="s">
        <v>41</v>
      </c>
      <c r="H481" s="13" t="s">
        <v>42</v>
      </c>
      <c r="I481" s="13" t="s">
        <v>192</v>
      </c>
      <c r="J481" s="13" t="s">
        <v>22</v>
      </c>
      <c r="K481" s="13" t="s">
        <v>44</v>
      </c>
      <c r="L481" s="13" t="s">
        <v>255</v>
      </c>
      <c r="M481" s="15" t="s">
        <v>727</v>
      </c>
      <c r="N481" s="11" t="s">
        <v>1229</v>
      </c>
    </row>
    <row r="482" spans="1:14" ht="15.75" customHeight="1" x14ac:dyDescent="0.15">
      <c r="A482" s="6" t="s">
        <v>1361</v>
      </c>
      <c r="B482" s="6" t="s">
        <v>259</v>
      </c>
      <c r="C482" s="7" t="s">
        <v>1362</v>
      </c>
      <c r="D482" s="8" t="s">
        <v>49</v>
      </c>
      <c r="E482" s="9">
        <v>36787</v>
      </c>
      <c r="F482" s="8" t="s">
        <v>203</v>
      </c>
      <c r="G482" s="8" t="s">
        <v>41</v>
      </c>
      <c r="H482" s="8" t="s">
        <v>156</v>
      </c>
      <c r="I482" s="8" t="s">
        <v>385</v>
      </c>
      <c r="J482" s="8" t="s">
        <v>22</v>
      </c>
      <c r="K482" s="8" t="s">
        <v>23</v>
      </c>
      <c r="L482" s="8" t="s">
        <v>78</v>
      </c>
      <c r="M482" s="10" t="s">
        <v>349</v>
      </c>
      <c r="N482" s="11" t="s">
        <v>1229</v>
      </c>
    </row>
    <row r="483" spans="1:14" ht="15.75" customHeight="1" x14ac:dyDescent="0.15">
      <c r="A483" s="6" t="s">
        <v>1363</v>
      </c>
      <c r="B483" s="12" t="s">
        <v>263</v>
      </c>
      <c r="C483" s="7" t="s">
        <v>1364</v>
      </c>
      <c r="D483" s="13" t="s">
        <v>107</v>
      </c>
      <c r="E483" s="14">
        <v>36030</v>
      </c>
      <c r="F483" s="13" t="s">
        <v>212</v>
      </c>
      <c r="G483" s="13" t="s">
        <v>60</v>
      </c>
      <c r="H483" s="13" t="s">
        <v>102</v>
      </c>
      <c r="I483" s="13" t="s">
        <v>115</v>
      </c>
      <c r="J483" s="13" t="s">
        <v>22</v>
      </c>
      <c r="K483" s="13" t="s">
        <v>77</v>
      </c>
      <c r="L483" s="13" t="s">
        <v>218</v>
      </c>
      <c r="M483" s="15" t="s">
        <v>298</v>
      </c>
      <c r="N483" s="11" t="s">
        <v>1229</v>
      </c>
    </row>
    <row r="484" spans="1:14" ht="15.75" customHeight="1" x14ac:dyDescent="0.15">
      <c r="A484" s="12" t="s">
        <v>1365</v>
      </c>
      <c r="B484" s="6" t="s">
        <v>266</v>
      </c>
      <c r="C484" s="7" t="s">
        <v>1366</v>
      </c>
      <c r="D484" s="8" t="s">
        <v>17</v>
      </c>
      <c r="E484" s="9">
        <v>38893</v>
      </c>
      <c r="F484" s="8" t="s">
        <v>170</v>
      </c>
      <c r="G484" s="8" t="s">
        <v>131</v>
      </c>
      <c r="H484" s="8" t="s">
        <v>114</v>
      </c>
      <c r="I484" s="8" t="s">
        <v>149</v>
      </c>
      <c r="J484" s="8" t="s">
        <v>76</v>
      </c>
      <c r="K484" s="8" t="s">
        <v>23</v>
      </c>
      <c r="L484" s="8" t="s">
        <v>218</v>
      </c>
      <c r="M484" s="10" t="s">
        <v>349</v>
      </c>
      <c r="N484" s="11" t="s">
        <v>1229</v>
      </c>
    </row>
    <row r="485" spans="1:14" ht="15.75" customHeight="1" x14ac:dyDescent="0.15">
      <c r="A485" s="6" t="s">
        <v>1367</v>
      </c>
      <c r="B485" s="12" t="s">
        <v>271</v>
      </c>
      <c r="C485" s="7" t="s">
        <v>1368</v>
      </c>
      <c r="D485" s="13" t="s">
        <v>107</v>
      </c>
      <c r="E485" s="14">
        <v>38174</v>
      </c>
      <c r="F485" s="13" t="s">
        <v>92</v>
      </c>
      <c r="G485" s="13" t="s">
        <v>41</v>
      </c>
      <c r="H485" s="13" t="s">
        <v>94</v>
      </c>
      <c r="I485" s="13" t="s">
        <v>385</v>
      </c>
      <c r="J485" s="13" t="s">
        <v>54</v>
      </c>
      <c r="K485" s="13" t="s">
        <v>77</v>
      </c>
      <c r="L485" s="13" t="s">
        <v>128</v>
      </c>
      <c r="M485" s="15" t="s">
        <v>1369</v>
      </c>
      <c r="N485" s="11" t="s">
        <v>1229</v>
      </c>
    </row>
    <row r="486" spans="1:14" ht="15.75" customHeight="1" x14ac:dyDescent="0.15">
      <c r="A486" s="12" t="s">
        <v>1370</v>
      </c>
      <c r="B486" s="6" t="s">
        <v>275</v>
      </c>
      <c r="C486" s="7" t="s">
        <v>1371</v>
      </c>
      <c r="D486" s="8" t="s">
        <v>49</v>
      </c>
      <c r="E486" s="9">
        <v>37398</v>
      </c>
      <c r="F486" s="8" t="s">
        <v>137</v>
      </c>
      <c r="G486" s="8" t="s">
        <v>131</v>
      </c>
      <c r="H486" s="8" t="s">
        <v>156</v>
      </c>
      <c r="I486" s="8" t="s">
        <v>33</v>
      </c>
      <c r="J486" s="8" t="s">
        <v>22</v>
      </c>
      <c r="K486" s="8" t="s">
        <v>44</v>
      </c>
      <c r="L486" s="8" t="s">
        <v>561</v>
      </c>
      <c r="M486" s="10" t="s">
        <v>219</v>
      </c>
      <c r="N486" s="11" t="s">
        <v>1229</v>
      </c>
    </row>
    <row r="487" spans="1:14" ht="15.75" customHeight="1" x14ac:dyDescent="0.15">
      <c r="A487" s="6" t="s">
        <v>1372</v>
      </c>
      <c r="B487" s="12" t="s">
        <v>278</v>
      </c>
      <c r="C487" s="7" t="s">
        <v>1373</v>
      </c>
      <c r="D487" s="13" t="s">
        <v>107</v>
      </c>
      <c r="E487" s="14">
        <v>35568</v>
      </c>
      <c r="F487" s="13" t="s">
        <v>148</v>
      </c>
      <c r="G487" s="13" t="s">
        <v>131</v>
      </c>
      <c r="H487" s="13" t="s">
        <v>1300</v>
      </c>
      <c r="I487" s="13" t="s">
        <v>337</v>
      </c>
      <c r="J487" s="13" t="s">
        <v>150</v>
      </c>
      <c r="K487" s="13" t="s">
        <v>44</v>
      </c>
      <c r="L487" s="13" t="s">
        <v>151</v>
      </c>
      <c r="M487" s="15" t="s">
        <v>1374</v>
      </c>
      <c r="N487" s="11" t="s">
        <v>1229</v>
      </c>
    </row>
    <row r="488" spans="1:14" ht="15.75" customHeight="1" x14ac:dyDescent="0.15">
      <c r="A488" s="6" t="s">
        <v>1375</v>
      </c>
      <c r="B488" s="6" t="s">
        <v>285</v>
      </c>
      <c r="C488" s="7" t="s">
        <v>1376</v>
      </c>
      <c r="D488" s="8" t="s">
        <v>17</v>
      </c>
      <c r="E488" s="9">
        <v>37039</v>
      </c>
      <c r="F488" s="8" t="s">
        <v>203</v>
      </c>
      <c r="G488" s="8" t="s">
        <v>204</v>
      </c>
      <c r="H488" s="8" t="s">
        <v>20</v>
      </c>
      <c r="I488" s="8" t="s">
        <v>273</v>
      </c>
      <c r="J488" s="8" t="s">
        <v>22</v>
      </c>
      <c r="K488" s="8" t="s">
        <v>23</v>
      </c>
      <c r="L488" s="8" t="s">
        <v>479</v>
      </c>
      <c r="M488" s="10" t="s">
        <v>287</v>
      </c>
      <c r="N488" s="11" t="s">
        <v>1229</v>
      </c>
    </row>
    <row r="489" spans="1:14" ht="15.75" customHeight="1" x14ac:dyDescent="0.15">
      <c r="A489" s="12" t="s">
        <v>1377</v>
      </c>
      <c r="B489" s="12" t="s">
        <v>288</v>
      </c>
      <c r="C489" s="7" t="s">
        <v>1378</v>
      </c>
      <c r="D489" s="13" t="s">
        <v>107</v>
      </c>
      <c r="E489" s="14">
        <v>36335</v>
      </c>
      <c r="F489" s="13" t="s">
        <v>30</v>
      </c>
      <c r="G489" s="13" t="s">
        <v>93</v>
      </c>
      <c r="H489" s="13" t="s">
        <v>88</v>
      </c>
      <c r="I489" s="13" t="s">
        <v>651</v>
      </c>
      <c r="J489" s="13" t="s">
        <v>150</v>
      </c>
      <c r="K489" s="13" t="s">
        <v>44</v>
      </c>
      <c r="L489" s="13" t="s">
        <v>45</v>
      </c>
      <c r="M489" s="15" t="s">
        <v>467</v>
      </c>
      <c r="N489" s="11" t="s">
        <v>1229</v>
      </c>
    </row>
    <row r="490" spans="1:14" ht="15.75" customHeight="1" x14ac:dyDescent="0.15">
      <c r="A490" s="6" t="s">
        <v>1379</v>
      </c>
      <c r="B490" s="6" t="s">
        <v>291</v>
      </c>
      <c r="C490" s="7" t="s">
        <v>1380</v>
      </c>
      <c r="D490" s="8" t="s">
        <v>107</v>
      </c>
      <c r="E490" s="9">
        <v>34765</v>
      </c>
      <c r="F490" s="8" t="s">
        <v>59</v>
      </c>
      <c r="G490" s="8" t="s">
        <v>93</v>
      </c>
      <c r="H490" s="8" t="s">
        <v>171</v>
      </c>
      <c r="I490" s="8" t="s">
        <v>1381</v>
      </c>
      <c r="J490" s="8" t="s">
        <v>150</v>
      </c>
      <c r="K490" s="8" t="s">
        <v>44</v>
      </c>
      <c r="L490" s="8" t="s">
        <v>324</v>
      </c>
      <c r="M490" s="10" t="s">
        <v>1382</v>
      </c>
      <c r="N490" s="11" t="s">
        <v>1229</v>
      </c>
    </row>
    <row r="491" spans="1:14" ht="15.75" customHeight="1" x14ac:dyDescent="0.15">
      <c r="A491" s="12" t="s">
        <v>1383</v>
      </c>
      <c r="B491" s="12" t="s">
        <v>295</v>
      </c>
      <c r="C491" s="7" t="s">
        <v>1384</v>
      </c>
      <c r="D491" s="13" t="s">
        <v>39</v>
      </c>
      <c r="E491" s="14">
        <v>36301</v>
      </c>
      <c r="F491" s="13" t="s">
        <v>30</v>
      </c>
      <c r="G491" s="13" t="s">
        <v>67</v>
      </c>
      <c r="H491" s="13" t="s">
        <v>20</v>
      </c>
      <c r="I491" s="13" t="s">
        <v>385</v>
      </c>
      <c r="J491" s="13" t="s">
        <v>22</v>
      </c>
      <c r="K491" s="13" t="s">
        <v>44</v>
      </c>
      <c r="L491" s="13" t="s">
        <v>362</v>
      </c>
      <c r="M491" s="15" t="s">
        <v>97</v>
      </c>
      <c r="N491" s="11" t="s">
        <v>1229</v>
      </c>
    </row>
    <row r="492" spans="1:14" ht="15.75" customHeight="1" x14ac:dyDescent="0.15">
      <c r="A492" s="6" t="s">
        <v>1385</v>
      </c>
      <c r="B492" s="6" t="s">
        <v>299</v>
      </c>
      <c r="C492" s="7" t="s">
        <v>1386</v>
      </c>
      <c r="D492" s="8" t="s">
        <v>39</v>
      </c>
      <c r="E492" s="9">
        <v>35642</v>
      </c>
      <c r="F492" s="8" t="s">
        <v>148</v>
      </c>
      <c r="G492" s="8" t="s">
        <v>243</v>
      </c>
      <c r="H492" s="8" t="s">
        <v>68</v>
      </c>
      <c r="I492" s="8" t="s">
        <v>103</v>
      </c>
      <c r="J492" s="8" t="s">
        <v>54</v>
      </c>
      <c r="K492" s="8" t="s">
        <v>77</v>
      </c>
      <c r="L492" s="8" t="s">
        <v>78</v>
      </c>
      <c r="M492" s="10" t="s">
        <v>458</v>
      </c>
      <c r="N492" s="11" t="s">
        <v>1229</v>
      </c>
    </row>
    <row r="493" spans="1:14" ht="15.75" customHeight="1" x14ac:dyDescent="0.15">
      <c r="A493" s="6" t="s">
        <v>1387</v>
      </c>
      <c r="B493" s="12" t="s">
        <v>303</v>
      </c>
      <c r="C493" s="7" t="s">
        <v>1388</v>
      </c>
      <c r="D493" s="13" t="s">
        <v>49</v>
      </c>
      <c r="E493" s="14">
        <v>38797</v>
      </c>
      <c r="F493" s="13" t="s">
        <v>170</v>
      </c>
      <c r="G493" s="13" t="s">
        <v>138</v>
      </c>
      <c r="H493" s="13" t="s">
        <v>32</v>
      </c>
      <c r="I493" s="13" t="s">
        <v>21</v>
      </c>
      <c r="J493" s="13" t="s">
        <v>22</v>
      </c>
      <c r="K493" s="13" t="s">
        <v>44</v>
      </c>
      <c r="L493" s="13" t="s">
        <v>110</v>
      </c>
      <c r="M493" s="15" t="s">
        <v>262</v>
      </c>
      <c r="N493" s="11" t="s">
        <v>1229</v>
      </c>
    </row>
    <row r="494" spans="1:14" ht="15.75" customHeight="1" x14ac:dyDescent="0.15">
      <c r="A494" s="12" t="s">
        <v>1389</v>
      </c>
      <c r="B494" s="6" t="s">
        <v>306</v>
      </c>
      <c r="C494" s="7" t="s">
        <v>1390</v>
      </c>
      <c r="D494" s="8" t="s">
        <v>107</v>
      </c>
      <c r="E494" s="9">
        <v>36387</v>
      </c>
      <c r="F494" s="8" t="s">
        <v>30</v>
      </c>
      <c r="G494" s="8" t="s">
        <v>67</v>
      </c>
      <c r="H494" s="8" t="s">
        <v>171</v>
      </c>
      <c r="I494" s="8" t="s">
        <v>192</v>
      </c>
      <c r="J494" s="8" t="s">
        <v>22</v>
      </c>
      <c r="K494" s="8" t="s">
        <v>23</v>
      </c>
      <c r="L494" s="8" t="s">
        <v>35</v>
      </c>
      <c r="M494" s="10" t="s">
        <v>36</v>
      </c>
      <c r="N494" s="11" t="s">
        <v>1229</v>
      </c>
    </row>
    <row r="495" spans="1:14" ht="15.75" customHeight="1" x14ac:dyDescent="0.15">
      <c r="A495" s="6" t="s">
        <v>1391</v>
      </c>
      <c r="B495" s="12" t="s">
        <v>308</v>
      </c>
      <c r="C495" s="7" t="s">
        <v>1392</v>
      </c>
      <c r="D495" s="13" t="s">
        <v>17</v>
      </c>
      <c r="E495" s="14">
        <v>37510</v>
      </c>
      <c r="F495" s="13" t="s">
        <v>186</v>
      </c>
      <c r="G495" s="13" t="s">
        <v>138</v>
      </c>
      <c r="H495" s="13" t="s">
        <v>94</v>
      </c>
      <c r="I495" s="13" t="s">
        <v>207</v>
      </c>
      <c r="J495" s="13" t="s">
        <v>22</v>
      </c>
      <c r="K495" s="13" t="s">
        <v>44</v>
      </c>
      <c r="L495" s="13" t="s">
        <v>277</v>
      </c>
      <c r="M495" s="15" t="s">
        <v>956</v>
      </c>
      <c r="N495" s="11" t="s">
        <v>1229</v>
      </c>
    </row>
    <row r="496" spans="1:14" ht="15.75" customHeight="1" x14ac:dyDescent="0.15">
      <c r="A496" s="12" t="s">
        <v>1393</v>
      </c>
      <c r="B496" s="6" t="s">
        <v>311</v>
      </c>
      <c r="C496" s="7" t="s">
        <v>1394</v>
      </c>
      <c r="D496" s="8" t="s">
        <v>107</v>
      </c>
      <c r="E496" s="9">
        <v>36029</v>
      </c>
      <c r="F496" s="8" t="s">
        <v>212</v>
      </c>
      <c r="G496" s="8" t="s">
        <v>31</v>
      </c>
      <c r="H496" s="8" t="s">
        <v>788</v>
      </c>
      <c r="I496" s="8" t="s">
        <v>192</v>
      </c>
      <c r="J496" s="8" t="s">
        <v>54</v>
      </c>
      <c r="K496" s="8" t="s">
        <v>23</v>
      </c>
      <c r="L496" s="8" t="s">
        <v>55</v>
      </c>
      <c r="M496" s="10" t="s">
        <v>1395</v>
      </c>
      <c r="N496" s="11" t="s">
        <v>1229</v>
      </c>
    </row>
    <row r="497" spans="1:14" ht="15.75" customHeight="1" x14ac:dyDescent="0.15">
      <c r="A497" s="6" t="s">
        <v>1396</v>
      </c>
      <c r="B497" s="12" t="s">
        <v>314</v>
      </c>
      <c r="C497" s="7" t="s">
        <v>1397</v>
      </c>
      <c r="D497" s="13" t="s">
        <v>107</v>
      </c>
      <c r="E497" s="14">
        <v>36607</v>
      </c>
      <c r="F497" s="13" t="s">
        <v>40</v>
      </c>
      <c r="G497" s="13" t="s">
        <v>131</v>
      </c>
      <c r="H497" s="13" t="s">
        <v>102</v>
      </c>
      <c r="I497" s="13" t="s">
        <v>149</v>
      </c>
      <c r="J497" s="13" t="s">
        <v>54</v>
      </c>
      <c r="K497" s="13" t="s">
        <v>44</v>
      </c>
      <c r="L497" s="13" t="s">
        <v>45</v>
      </c>
      <c r="M497" s="15" t="s">
        <v>298</v>
      </c>
      <c r="N497" s="11" t="s">
        <v>1229</v>
      </c>
    </row>
    <row r="498" spans="1:14" ht="15.75" customHeight="1" x14ac:dyDescent="0.15">
      <c r="A498" s="6" t="s">
        <v>1398</v>
      </c>
      <c r="B498" s="6" t="s">
        <v>334</v>
      </c>
      <c r="C498" s="7" t="s">
        <v>1399</v>
      </c>
      <c r="D498" s="8" t="s">
        <v>107</v>
      </c>
      <c r="E498" s="9">
        <v>37008</v>
      </c>
      <c r="F498" s="8" t="s">
        <v>203</v>
      </c>
      <c r="G498" s="8" t="s">
        <v>131</v>
      </c>
      <c r="H498" s="8" t="s">
        <v>535</v>
      </c>
      <c r="I498" s="8" t="s">
        <v>337</v>
      </c>
      <c r="J498" s="8" t="s">
        <v>22</v>
      </c>
      <c r="K498" s="8" t="s">
        <v>44</v>
      </c>
      <c r="L498" s="8" t="s">
        <v>218</v>
      </c>
      <c r="M498" s="10" t="s">
        <v>357</v>
      </c>
      <c r="N498" s="11" t="s">
        <v>1229</v>
      </c>
    </row>
    <row r="499" spans="1:14" ht="15.75" customHeight="1" x14ac:dyDescent="0.15">
      <c r="A499" s="12" t="s">
        <v>1400</v>
      </c>
      <c r="B499" s="12" t="s">
        <v>339</v>
      </c>
      <c r="C499" s="7" t="s">
        <v>1401</v>
      </c>
      <c r="D499" s="13" t="s">
        <v>107</v>
      </c>
      <c r="E499" s="14">
        <v>36701</v>
      </c>
      <c r="F499" s="13" t="s">
        <v>40</v>
      </c>
      <c r="G499" s="13" t="s">
        <v>19</v>
      </c>
      <c r="H499" s="13" t="s">
        <v>68</v>
      </c>
      <c r="I499" s="13" t="s">
        <v>157</v>
      </c>
      <c r="J499" s="13" t="s">
        <v>34</v>
      </c>
      <c r="K499" s="13" t="s">
        <v>44</v>
      </c>
      <c r="L499" s="13" t="s">
        <v>128</v>
      </c>
      <c r="M499" s="15" t="s">
        <v>262</v>
      </c>
      <c r="N499" s="11" t="s">
        <v>1229</v>
      </c>
    </row>
    <row r="500" spans="1:14" ht="15.75" customHeight="1" x14ac:dyDescent="0.15">
      <c r="A500" s="6" t="s">
        <v>1402</v>
      </c>
      <c r="B500" s="6" t="s">
        <v>400</v>
      </c>
      <c r="C500" s="7" t="s">
        <v>1403</v>
      </c>
      <c r="D500" s="8" t="s">
        <v>39</v>
      </c>
      <c r="E500" s="9">
        <v>36603</v>
      </c>
      <c r="F500" s="8" t="s">
        <v>40</v>
      </c>
      <c r="G500" s="8" t="s">
        <v>41</v>
      </c>
      <c r="H500" s="8" t="s">
        <v>88</v>
      </c>
      <c r="I500" s="8" t="s">
        <v>149</v>
      </c>
      <c r="J500" s="8" t="s">
        <v>76</v>
      </c>
      <c r="K500" s="8" t="s">
        <v>44</v>
      </c>
      <c r="L500" s="8" t="s">
        <v>301</v>
      </c>
      <c r="M500" s="10" t="s">
        <v>1183</v>
      </c>
      <c r="N500" s="11" t="s">
        <v>1229</v>
      </c>
    </row>
    <row r="501" spans="1:14" ht="15.75" customHeight="1" x14ac:dyDescent="0.15">
      <c r="A501" s="12" t="s">
        <v>1404</v>
      </c>
      <c r="B501" s="12" t="s">
        <v>330</v>
      </c>
      <c r="C501" s="7" t="s">
        <v>1405</v>
      </c>
      <c r="D501" s="13" t="s">
        <v>17</v>
      </c>
      <c r="E501" s="14">
        <v>36029</v>
      </c>
      <c r="F501" s="13" t="s">
        <v>212</v>
      </c>
      <c r="G501" s="13" t="s">
        <v>41</v>
      </c>
      <c r="H501" s="13" t="s">
        <v>788</v>
      </c>
      <c r="I501" s="13" t="s">
        <v>1024</v>
      </c>
      <c r="J501" s="13" t="s">
        <v>150</v>
      </c>
      <c r="K501" s="13" t="s">
        <v>44</v>
      </c>
      <c r="L501" s="13" t="s">
        <v>490</v>
      </c>
      <c r="M501" s="15" t="s">
        <v>329</v>
      </c>
      <c r="N501" s="11" t="s">
        <v>1229</v>
      </c>
    </row>
    <row r="502" spans="1:14" ht="15.75" customHeight="1" x14ac:dyDescent="0.15">
      <c r="A502" s="6" t="s">
        <v>1406</v>
      </c>
      <c r="B502" s="6" t="s">
        <v>335</v>
      </c>
      <c r="C502" s="7" t="s">
        <v>1407</v>
      </c>
      <c r="D502" s="8" t="s">
        <v>107</v>
      </c>
      <c r="E502" s="16">
        <v>34314</v>
      </c>
      <c r="F502" s="8" t="s">
        <v>18</v>
      </c>
      <c r="G502" s="8" t="s">
        <v>101</v>
      </c>
      <c r="H502" s="8" t="s">
        <v>114</v>
      </c>
      <c r="I502" s="8" t="s">
        <v>120</v>
      </c>
      <c r="J502" s="8" t="s">
        <v>76</v>
      </c>
      <c r="K502" s="8" t="s">
        <v>44</v>
      </c>
      <c r="L502" s="8" t="s">
        <v>45</v>
      </c>
      <c r="M502" s="10" t="s">
        <v>434</v>
      </c>
      <c r="N502" s="11" t="s">
        <v>1229</v>
      </c>
    </row>
    <row r="503" spans="1:14" ht="15.75" customHeight="1" x14ac:dyDescent="0.15">
      <c r="A503" s="6" t="s">
        <v>1408</v>
      </c>
      <c r="B503" s="6" t="s">
        <v>15</v>
      </c>
      <c r="C503" s="7" t="s">
        <v>1409</v>
      </c>
      <c r="D503" s="8" t="s">
        <v>17</v>
      </c>
      <c r="E503" s="9">
        <v>35688</v>
      </c>
      <c r="F503" s="8" t="s">
        <v>212</v>
      </c>
      <c r="G503" s="8" t="s">
        <v>101</v>
      </c>
      <c r="H503" s="8" t="s">
        <v>102</v>
      </c>
      <c r="I503" s="8" t="s">
        <v>582</v>
      </c>
      <c r="J503" s="8" t="s">
        <v>76</v>
      </c>
      <c r="K503" s="8" t="s">
        <v>23</v>
      </c>
      <c r="L503" s="8" t="s">
        <v>208</v>
      </c>
      <c r="M503" s="10" t="s">
        <v>434</v>
      </c>
      <c r="N503" s="11" t="s">
        <v>1410</v>
      </c>
    </row>
    <row r="504" spans="1:14" ht="15.75" customHeight="1" x14ac:dyDescent="0.15">
      <c r="A504" s="12" t="s">
        <v>1411</v>
      </c>
      <c r="B504" s="12" t="s">
        <v>28</v>
      </c>
      <c r="C504" s="7" t="s">
        <v>1412</v>
      </c>
      <c r="D504" s="13" t="s">
        <v>49</v>
      </c>
      <c r="E504" s="14">
        <v>36793</v>
      </c>
      <c r="F504" s="13" t="s">
        <v>203</v>
      </c>
      <c r="G504" s="13" t="s">
        <v>19</v>
      </c>
      <c r="H504" s="13" t="s">
        <v>88</v>
      </c>
      <c r="I504" s="13" t="s">
        <v>149</v>
      </c>
      <c r="J504" s="13" t="s">
        <v>54</v>
      </c>
      <c r="K504" s="13" t="s">
        <v>23</v>
      </c>
      <c r="L504" s="13" t="s">
        <v>116</v>
      </c>
      <c r="M504" s="15" t="s">
        <v>287</v>
      </c>
      <c r="N504" s="11" t="s">
        <v>1410</v>
      </c>
    </row>
    <row r="505" spans="1:14" ht="15.75" customHeight="1" x14ac:dyDescent="0.15">
      <c r="A505" s="6" t="s">
        <v>1413</v>
      </c>
      <c r="B505" s="6" t="s">
        <v>27</v>
      </c>
      <c r="C505" s="7" t="s">
        <v>1414</v>
      </c>
      <c r="D505" s="8" t="s">
        <v>107</v>
      </c>
      <c r="E505" s="9">
        <v>36466</v>
      </c>
      <c r="F505" s="8" t="s">
        <v>40</v>
      </c>
      <c r="G505" s="8" t="s">
        <v>19</v>
      </c>
      <c r="H505" s="8" t="s">
        <v>1179</v>
      </c>
      <c r="I505" s="8" t="s">
        <v>756</v>
      </c>
      <c r="J505" s="8" t="s">
        <v>150</v>
      </c>
      <c r="K505" s="8" t="s">
        <v>44</v>
      </c>
      <c r="L505" s="8" t="s">
        <v>151</v>
      </c>
      <c r="M505" s="10" t="s">
        <v>1415</v>
      </c>
      <c r="N505" s="11" t="s">
        <v>1410</v>
      </c>
    </row>
    <row r="506" spans="1:14" ht="15.75" customHeight="1" x14ac:dyDescent="0.15">
      <c r="A506" s="12" t="s">
        <v>1416</v>
      </c>
      <c r="B506" s="12" t="s">
        <v>37</v>
      </c>
      <c r="C506" s="7" t="s">
        <v>1417</v>
      </c>
      <c r="D506" s="13" t="s">
        <v>39</v>
      </c>
      <c r="E506" s="14">
        <v>34190</v>
      </c>
      <c r="F506" s="13" t="s">
        <v>182</v>
      </c>
      <c r="G506" s="13" t="s">
        <v>618</v>
      </c>
      <c r="H506" s="13" t="s">
        <v>74</v>
      </c>
      <c r="I506" s="13" t="s">
        <v>95</v>
      </c>
      <c r="J506" s="13" t="s">
        <v>22</v>
      </c>
      <c r="K506" s="13" t="s">
        <v>23</v>
      </c>
      <c r="L506" s="13" t="s">
        <v>165</v>
      </c>
      <c r="M506" s="15" t="s">
        <v>1418</v>
      </c>
      <c r="N506" s="11" t="s">
        <v>1410</v>
      </c>
    </row>
    <row r="507" spans="1:14" ht="15.75" customHeight="1" x14ac:dyDescent="0.15">
      <c r="A507" s="6" t="s">
        <v>1419</v>
      </c>
      <c r="B507" s="6" t="s">
        <v>47</v>
      </c>
      <c r="C507" s="7" t="s">
        <v>1420</v>
      </c>
      <c r="D507" s="8" t="s">
        <v>17</v>
      </c>
      <c r="E507" s="9">
        <v>36003</v>
      </c>
      <c r="F507" s="8" t="s">
        <v>212</v>
      </c>
      <c r="G507" s="8" t="s">
        <v>138</v>
      </c>
      <c r="H507" s="8" t="s">
        <v>156</v>
      </c>
      <c r="I507" s="8" t="s">
        <v>127</v>
      </c>
      <c r="J507" s="8" t="s">
        <v>150</v>
      </c>
      <c r="K507" s="8" t="s">
        <v>44</v>
      </c>
      <c r="L507" s="8" t="s">
        <v>1421</v>
      </c>
      <c r="M507" s="10" t="s">
        <v>809</v>
      </c>
      <c r="N507" s="11" t="s">
        <v>1410</v>
      </c>
    </row>
    <row r="508" spans="1:14" ht="15.75" customHeight="1" x14ac:dyDescent="0.15">
      <c r="A508" s="6" t="s">
        <v>1422</v>
      </c>
      <c r="B508" s="12" t="s">
        <v>57</v>
      </c>
      <c r="C508" s="7" t="s">
        <v>1423</v>
      </c>
      <c r="D508" s="13" t="s">
        <v>17</v>
      </c>
      <c r="E508" s="17">
        <v>33565</v>
      </c>
      <c r="F508" s="13" t="s">
        <v>430</v>
      </c>
      <c r="G508" s="13" t="s">
        <v>51</v>
      </c>
      <c r="H508" s="13" t="s">
        <v>102</v>
      </c>
      <c r="I508" s="13" t="s">
        <v>1381</v>
      </c>
      <c r="J508" s="13" t="s">
        <v>54</v>
      </c>
      <c r="K508" s="13" t="s">
        <v>44</v>
      </c>
      <c r="L508" s="13" t="s">
        <v>301</v>
      </c>
      <c r="M508" s="15" t="s">
        <v>89</v>
      </c>
      <c r="N508" s="11" t="s">
        <v>1410</v>
      </c>
    </row>
    <row r="509" spans="1:14" ht="15.75" customHeight="1" x14ac:dyDescent="0.15">
      <c r="A509" s="12" t="s">
        <v>1424</v>
      </c>
      <c r="B509" s="6" t="s">
        <v>64</v>
      </c>
      <c r="C509" s="7" t="s">
        <v>1425</v>
      </c>
      <c r="D509" s="8" t="s">
        <v>17</v>
      </c>
      <c r="E509" s="9">
        <v>33434</v>
      </c>
      <c r="F509" s="8" t="s">
        <v>50</v>
      </c>
      <c r="G509" s="8" t="s">
        <v>890</v>
      </c>
      <c r="H509" s="8" t="s">
        <v>82</v>
      </c>
      <c r="I509" s="8" t="s">
        <v>313</v>
      </c>
      <c r="J509" s="8" t="s">
        <v>22</v>
      </c>
      <c r="K509" s="8" t="s">
        <v>44</v>
      </c>
      <c r="L509" s="8" t="s">
        <v>208</v>
      </c>
      <c r="M509" s="10" t="s">
        <v>111</v>
      </c>
      <c r="N509" s="11" t="s">
        <v>1410</v>
      </c>
    </row>
    <row r="510" spans="1:14" ht="15.75" customHeight="1" x14ac:dyDescent="0.15">
      <c r="A510" s="6" t="s">
        <v>1426</v>
      </c>
      <c r="B510" s="12" t="s">
        <v>72</v>
      </c>
      <c r="C510" s="7" t="s">
        <v>1427</v>
      </c>
      <c r="D510" s="13" t="s">
        <v>17</v>
      </c>
      <c r="E510" s="14">
        <v>32817</v>
      </c>
      <c r="F510" s="13" t="s">
        <v>125</v>
      </c>
      <c r="G510" s="13" t="s">
        <v>611</v>
      </c>
      <c r="H510" s="13" t="s">
        <v>68</v>
      </c>
      <c r="I510" s="13" t="s">
        <v>21</v>
      </c>
      <c r="J510" s="13" t="s">
        <v>22</v>
      </c>
      <c r="K510" s="13" t="s">
        <v>77</v>
      </c>
      <c r="L510" s="13" t="s">
        <v>244</v>
      </c>
      <c r="M510" s="15" t="s">
        <v>56</v>
      </c>
      <c r="N510" s="11" t="s">
        <v>1410</v>
      </c>
    </row>
    <row r="511" spans="1:14" ht="15.75" customHeight="1" x14ac:dyDescent="0.15">
      <c r="A511" s="12" t="s">
        <v>1428</v>
      </c>
      <c r="B511" s="6" t="s">
        <v>80</v>
      </c>
      <c r="C511" s="7" t="s">
        <v>1429</v>
      </c>
      <c r="D511" s="8" t="s">
        <v>17</v>
      </c>
      <c r="E511" s="16">
        <v>33892</v>
      </c>
      <c r="F511" s="8" t="s">
        <v>182</v>
      </c>
      <c r="G511" s="8" t="s">
        <v>622</v>
      </c>
      <c r="H511" s="8" t="s">
        <v>82</v>
      </c>
      <c r="I511" s="8" t="s">
        <v>265</v>
      </c>
      <c r="J511" s="8" t="s">
        <v>54</v>
      </c>
      <c r="K511" s="8" t="s">
        <v>23</v>
      </c>
      <c r="L511" s="8" t="s">
        <v>55</v>
      </c>
      <c r="M511" s="10" t="s">
        <v>716</v>
      </c>
      <c r="N511" s="11" t="s">
        <v>1410</v>
      </c>
    </row>
    <row r="512" spans="1:14" ht="15.75" customHeight="1" x14ac:dyDescent="0.15">
      <c r="A512" s="6" t="s">
        <v>1430</v>
      </c>
      <c r="B512" s="12" t="s">
        <v>86</v>
      </c>
      <c r="C512" s="7" t="s">
        <v>1431</v>
      </c>
      <c r="D512" s="13" t="s">
        <v>39</v>
      </c>
      <c r="E512" s="14">
        <v>32425</v>
      </c>
      <c r="F512" s="13" t="s">
        <v>493</v>
      </c>
      <c r="G512" s="13" t="s">
        <v>622</v>
      </c>
      <c r="H512" s="13" t="s">
        <v>88</v>
      </c>
      <c r="I512" s="13" t="s">
        <v>470</v>
      </c>
      <c r="J512" s="13" t="s">
        <v>34</v>
      </c>
      <c r="K512" s="13" t="s">
        <v>23</v>
      </c>
      <c r="L512" s="13" t="s">
        <v>198</v>
      </c>
      <c r="M512" s="15" t="s">
        <v>1432</v>
      </c>
      <c r="N512" s="11" t="s">
        <v>1410</v>
      </c>
    </row>
    <row r="513" spans="1:14" ht="15.75" customHeight="1" x14ac:dyDescent="0.15">
      <c r="A513" s="6" t="s">
        <v>1433</v>
      </c>
      <c r="B513" s="6" t="s">
        <v>90</v>
      </c>
      <c r="C513" s="7" t="s">
        <v>1434</v>
      </c>
      <c r="D513" s="8" t="s">
        <v>107</v>
      </c>
      <c r="E513" s="9">
        <v>34371</v>
      </c>
      <c r="F513" s="8" t="s">
        <v>18</v>
      </c>
      <c r="G513" s="8" t="s">
        <v>126</v>
      </c>
      <c r="H513" s="8" t="s">
        <v>171</v>
      </c>
      <c r="I513" s="8" t="s">
        <v>127</v>
      </c>
      <c r="J513" s="8" t="s">
        <v>54</v>
      </c>
      <c r="K513" s="8" t="s">
        <v>44</v>
      </c>
      <c r="L513" s="8" t="s">
        <v>165</v>
      </c>
      <c r="M513" s="10" t="s">
        <v>193</v>
      </c>
      <c r="N513" s="11" t="s">
        <v>1410</v>
      </c>
    </row>
    <row r="514" spans="1:14" ht="15.75" customHeight="1" x14ac:dyDescent="0.15">
      <c r="A514" s="12" t="s">
        <v>1435</v>
      </c>
      <c r="B514" s="12" t="s">
        <v>98</v>
      </c>
      <c r="C514" s="7" t="s">
        <v>1436</v>
      </c>
      <c r="D514" s="13" t="s">
        <v>107</v>
      </c>
      <c r="E514" s="14">
        <v>35816</v>
      </c>
      <c r="F514" s="13" t="s">
        <v>212</v>
      </c>
      <c r="G514" s="13" t="s">
        <v>204</v>
      </c>
      <c r="H514" s="13" t="s">
        <v>102</v>
      </c>
      <c r="I514" s="13" t="s">
        <v>115</v>
      </c>
      <c r="J514" s="13" t="s">
        <v>22</v>
      </c>
      <c r="K514" s="13" t="s">
        <v>44</v>
      </c>
      <c r="L514" s="13" t="s">
        <v>431</v>
      </c>
      <c r="M514" s="15" t="s">
        <v>305</v>
      </c>
      <c r="N514" s="11" t="s">
        <v>1410</v>
      </c>
    </row>
    <row r="515" spans="1:14" ht="15.75" customHeight="1" x14ac:dyDescent="0.15">
      <c r="A515" s="6" t="s">
        <v>1437</v>
      </c>
      <c r="B515" s="6" t="s">
        <v>99</v>
      </c>
      <c r="C515" s="7" t="s">
        <v>1438</v>
      </c>
      <c r="D515" s="8" t="s">
        <v>49</v>
      </c>
      <c r="E515" s="9">
        <v>33393</v>
      </c>
      <c r="F515" s="8" t="s">
        <v>50</v>
      </c>
      <c r="G515" s="8" t="s">
        <v>51</v>
      </c>
      <c r="H515" s="8" t="s">
        <v>102</v>
      </c>
      <c r="I515" s="8" t="s">
        <v>95</v>
      </c>
      <c r="J515" s="8" t="s">
        <v>76</v>
      </c>
      <c r="K515" s="8" t="s">
        <v>44</v>
      </c>
      <c r="L515" s="8" t="s">
        <v>301</v>
      </c>
      <c r="M515" s="10" t="s">
        <v>405</v>
      </c>
      <c r="N515" s="11" t="s">
        <v>1410</v>
      </c>
    </row>
    <row r="516" spans="1:14" ht="15.75" customHeight="1" x14ac:dyDescent="0.15">
      <c r="A516" s="12" t="s">
        <v>1439</v>
      </c>
      <c r="B516" s="12" t="s">
        <v>105</v>
      </c>
      <c r="C516" s="7" t="s">
        <v>1440</v>
      </c>
      <c r="D516" s="13" t="s">
        <v>107</v>
      </c>
      <c r="E516" s="14">
        <v>38042</v>
      </c>
      <c r="F516" s="13" t="s">
        <v>92</v>
      </c>
      <c r="G516" s="13" t="s">
        <v>93</v>
      </c>
      <c r="H516" s="13" t="s">
        <v>144</v>
      </c>
      <c r="I516" s="13" t="s">
        <v>192</v>
      </c>
      <c r="J516" s="13" t="s">
        <v>54</v>
      </c>
      <c r="K516" s="13" t="s">
        <v>44</v>
      </c>
      <c r="L516" s="13" t="s">
        <v>96</v>
      </c>
      <c r="M516" s="15" t="s">
        <v>36</v>
      </c>
      <c r="N516" s="11" t="s">
        <v>1410</v>
      </c>
    </row>
    <row r="517" spans="1:14" ht="15.75" customHeight="1" x14ac:dyDescent="0.15">
      <c r="A517" s="6" t="s">
        <v>1441</v>
      </c>
      <c r="B517" s="6" t="s">
        <v>112</v>
      </c>
      <c r="C517" s="7" t="s">
        <v>1442</v>
      </c>
      <c r="D517" s="8" t="s">
        <v>107</v>
      </c>
      <c r="E517" s="9">
        <v>36251</v>
      </c>
      <c r="F517" s="8" t="s">
        <v>30</v>
      </c>
      <c r="G517" s="8" t="s">
        <v>93</v>
      </c>
      <c r="H517" s="8" t="s">
        <v>238</v>
      </c>
      <c r="I517" s="8" t="s">
        <v>1443</v>
      </c>
      <c r="J517" s="8" t="s">
        <v>150</v>
      </c>
      <c r="K517" s="8" t="s">
        <v>44</v>
      </c>
      <c r="L517" s="8" t="s">
        <v>151</v>
      </c>
      <c r="M517" s="10" t="s">
        <v>329</v>
      </c>
      <c r="N517" s="11" t="s">
        <v>1410</v>
      </c>
    </row>
    <row r="518" spans="1:14" ht="15.75" customHeight="1" x14ac:dyDescent="0.15">
      <c r="A518" s="6" t="s">
        <v>1444</v>
      </c>
      <c r="B518" s="12" t="s">
        <v>117</v>
      </c>
      <c r="C518" s="7" t="s">
        <v>1445</v>
      </c>
      <c r="D518" s="13" t="s">
        <v>107</v>
      </c>
      <c r="E518" s="14">
        <v>33044</v>
      </c>
      <c r="F518" s="13" t="s">
        <v>125</v>
      </c>
      <c r="G518" s="13" t="s">
        <v>126</v>
      </c>
      <c r="H518" s="13" t="s">
        <v>42</v>
      </c>
      <c r="I518" s="13" t="s">
        <v>21</v>
      </c>
      <c r="J518" s="13" t="s">
        <v>54</v>
      </c>
      <c r="K518" s="13" t="s">
        <v>44</v>
      </c>
      <c r="L518" s="13" t="s">
        <v>301</v>
      </c>
      <c r="M518" s="15" t="s">
        <v>619</v>
      </c>
      <c r="N518" s="11" t="s">
        <v>1410</v>
      </c>
    </row>
    <row r="519" spans="1:14" ht="15.75" customHeight="1" x14ac:dyDescent="0.15">
      <c r="A519" s="12" t="s">
        <v>1446</v>
      </c>
      <c r="B519" s="6" t="s">
        <v>123</v>
      </c>
      <c r="C519" s="7" t="s">
        <v>1447</v>
      </c>
      <c r="D519" s="8" t="s">
        <v>107</v>
      </c>
      <c r="E519" s="16">
        <v>38670</v>
      </c>
      <c r="F519" s="8" t="s">
        <v>170</v>
      </c>
      <c r="G519" s="8" t="s">
        <v>131</v>
      </c>
      <c r="H519" s="8" t="s">
        <v>20</v>
      </c>
      <c r="I519" s="8" t="s">
        <v>33</v>
      </c>
      <c r="J519" s="8" t="s">
        <v>150</v>
      </c>
      <c r="K519" s="8" t="s">
        <v>44</v>
      </c>
      <c r="L519" s="8" t="s">
        <v>751</v>
      </c>
      <c r="M519" s="10" t="s">
        <v>628</v>
      </c>
      <c r="N519" s="11" t="s">
        <v>1410</v>
      </c>
    </row>
    <row r="520" spans="1:14" ht="15.75" customHeight="1" x14ac:dyDescent="0.15">
      <c r="A520" s="6" t="s">
        <v>1448</v>
      </c>
      <c r="B520" s="12" t="s">
        <v>129</v>
      </c>
      <c r="C520" s="7" t="s">
        <v>1449</v>
      </c>
      <c r="D520" s="13" t="s">
        <v>107</v>
      </c>
      <c r="E520" s="14">
        <v>36831</v>
      </c>
      <c r="F520" s="13" t="s">
        <v>203</v>
      </c>
      <c r="G520" s="13" t="s">
        <v>93</v>
      </c>
      <c r="H520" s="13" t="s">
        <v>94</v>
      </c>
      <c r="I520" s="13" t="s">
        <v>313</v>
      </c>
      <c r="J520" s="13" t="s">
        <v>150</v>
      </c>
      <c r="K520" s="13" t="s">
        <v>44</v>
      </c>
      <c r="L520" s="13" t="s">
        <v>751</v>
      </c>
      <c r="M520" s="15" t="s">
        <v>79</v>
      </c>
      <c r="N520" s="11" t="s">
        <v>1410</v>
      </c>
    </row>
    <row r="521" spans="1:14" ht="15.75" customHeight="1" x14ac:dyDescent="0.15">
      <c r="A521" s="12" t="s">
        <v>1450</v>
      </c>
      <c r="B521" s="6" t="s">
        <v>135</v>
      </c>
      <c r="C521" s="7" t="s">
        <v>1451</v>
      </c>
      <c r="D521" s="8" t="s">
        <v>107</v>
      </c>
      <c r="E521" s="9">
        <v>36173</v>
      </c>
      <c r="F521" s="8" t="s">
        <v>30</v>
      </c>
      <c r="G521" s="8" t="s">
        <v>41</v>
      </c>
      <c r="H521" s="8" t="s">
        <v>68</v>
      </c>
      <c r="I521" s="8" t="s">
        <v>361</v>
      </c>
      <c r="J521" s="8" t="s">
        <v>76</v>
      </c>
      <c r="K521" s="8" t="s">
        <v>23</v>
      </c>
      <c r="L521" s="8" t="s">
        <v>55</v>
      </c>
      <c r="M521" s="10" t="s">
        <v>1452</v>
      </c>
      <c r="N521" s="11" t="s">
        <v>1410</v>
      </c>
    </row>
    <row r="522" spans="1:14" ht="15.75" customHeight="1" x14ac:dyDescent="0.15">
      <c r="A522" s="6" t="s">
        <v>1453</v>
      </c>
      <c r="B522" s="12" t="s">
        <v>153</v>
      </c>
      <c r="C522" s="7" t="s">
        <v>1454</v>
      </c>
      <c r="D522" s="13" t="s">
        <v>107</v>
      </c>
      <c r="E522" s="14">
        <v>39133</v>
      </c>
      <c r="F522" s="13" t="s">
        <v>232</v>
      </c>
      <c r="G522" s="13" t="s">
        <v>131</v>
      </c>
      <c r="H522" s="13" t="s">
        <v>20</v>
      </c>
      <c r="I522" s="13" t="s">
        <v>313</v>
      </c>
      <c r="J522" s="13" t="s">
        <v>54</v>
      </c>
      <c r="K522" s="13" t="s">
        <v>294</v>
      </c>
      <c r="L522" s="13" t="s">
        <v>78</v>
      </c>
      <c r="M522" s="15" t="s">
        <v>467</v>
      </c>
      <c r="N522" s="11" t="s">
        <v>1410</v>
      </c>
    </row>
    <row r="523" spans="1:14" ht="15.75" customHeight="1" x14ac:dyDescent="0.15">
      <c r="A523" s="6" t="s">
        <v>1455</v>
      </c>
      <c r="B523" s="6" t="s">
        <v>162</v>
      </c>
      <c r="C523" s="7" t="s">
        <v>1456</v>
      </c>
      <c r="D523" s="8" t="s">
        <v>107</v>
      </c>
      <c r="E523" s="16">
        <v>38712</v>
      </c>
      <c r="F523" s="8" t="s">
        <v>170</v>
      </c>
      <c r="G523" s="8" t="s">
        <v>138</v>
      </c>
      <c r="H523" s="8" t="s">
        <v>179</v>
      </c>
      <c r="I523" s="8" t="s">
        <v>582</v>
      </c>
      <c r="J523" s="8" t="s">
        <v>76</v>
      </c>
      <c r="K523" s="8" t="s">
        <v>44</v>
      </c>
      <c r="L523" s="8" t="s">
        <v>55</v>
      </c>
      <c r="M523" s="10" t="s">
        <v>605</v>
      </c>
      <c r="N523" s="11" t="s">
        <v>1410</v>
      </c>
    </row>
    <row r="524" spans="1:14" ht="15.75" customHeight="1" x14ac:dyDescent="0.15">
      <c r="A524" s="12" t="s">
        <v>1457</v>
      </c>
      <c r="B524" s="12" t="s">
        <v>167</v>
      </c>
      <c r="C524" s="7" t="s">
        <v>1458</v>
      </c>
      <c r="D524" s="13" t="s">
        <v>39</v>
      </c>
      <c r="E524" s="14">
        <v>35105</v>
      </c>
      <c r="F524" s="13" t="s">
        <v>66</v>
      </c>
      <c r="G524" s="13" t="s">
        <v>67</v>
      </c>
      <c r="H524" s="13" t="s">
        <v>94</v>
      </c>
      <c r="I524" s="13" t="s">
        <v>265</v>
      </c>
      <c r="J524" s="13" t="s">
        <v>54</v>
      </c>
      <c r="K524" s="13" t="s">
        <v>23</v>
      </c>
      <c r="L524" s="13" t="s">
        <v>277</v>
      </c>
      <c r="M524" s="15" t="s">
        <v>1459</v>
      </c>
      <c r="N524" s="11" t="s">
        <v>1410</v>
      </c>
    </row>
    <row r="525" spans="1:14" ht="15.75" customHeight="1" x14ac:dyDescent="0.15">
      <c r="A525" s="6" t="s">
        <v>1460</v>
      </c>
      <c r="B525" s="6" t="s">
        <v>146</v>
      </c>
      <c r="C525" s="7" t="s">
        <v>1461</v>
      </c>
      <c r="D525" s="8" t="s">
        <v>17</v>
      </c>
      <c r="E525" s="9">
        <v>35250</v>
      </c>
      <c r="F525" s="8" t="s">
        <v>66</v>
      </c>
      <c r="G525" s="8" t="s">
        <v>293</v>
      </c>
      <c r="H525" s="8" t="s">
        <v>156</v>
      </c>
      <c r="I525" s="8" t="s">
        <v>213</v>
      </c>
      <c r="J525" s="8" t="s">
        <v>54</v>
      </c>
      <c r="K525" s="8" t="s">
        <v>23</v>
      </c>
      <c r="L525" s="8" t="s">
        <v>572</v>
      </c>
      <c r="M525" s="10" t="s">
        <v>166</v>
      </c>
      <c r="N525" s="11" t="s">
        <v>1410</v>
      </c>
    </row>
    <row r="526" spans="1:14" ht="15.75" customHeight="1" x14ac:dyDescent="0.15">
      <c r="A526" s="12" t="s">
        <v>1462</v>
      </c>
      <c r="B526" s="12" t="s">
        <v>154</v>
      </c>
      <c r="C526" s="7" t="s">
        <v>1463</v>
      </c>
      <c r="D526" s="13" t="s">
        <v>17</v>
      </c>
      <c r="E526" s="14">
        <v>37531</v>
      </c>
      <c r="F526" s="13" t="s">
        <v>186</v>
      </c>
      <c r="G526" s="13" t="s">
        <v>131</v>
      </c>
      <c r="H526" s="13" t="s">
        <v>102</v>
      </c>
      <c r="I526" s="13" t="s">
        <v>265</v>
      </c>
      <c r="J526" s="13" t="s">
        <v>22</v>
      </c>
      <c r="K526" s="13" t="s">
        <v>23</v>
      </c>
      <c r="L526" s="13" t="s">
        <v>45</v>
      </c>
      <c r="M526" s="15" t="s">
        <v>727</v>
      </c>
      <c r="N526" s="11" t="s">
        <v>1410</v>
      </c>
    </row>
    <row r="527" spans="1:14" ht="15.75" customHeight="1" x14ac:dyDescent="0.15">
      <c r="A527" s="6" t="s">
        <v>1464</v>
      </c>
      <c r="B527" s="6" t="s">
        <v>159</v>
      </c>
      <c r="C527" s="7" t="s">
        <v>1465</v>
      </c>
      <c r="D527" s="8" t="s">
        <v>107</v>
      </c>
      <c r="E527" s="9">
        <v>37864</v>
      </c>
      <c r="F527" s="8" t="s">
        <v>186</v>
      </c>
      <c r="G527" s="8" t="s">
        <v>93</v>
      </c>
      <c r="H527" s="8" t="s">
        <v>68</v>
      </c>
      <c r="I527" s="8" t="s">
        <v>115</v>
      </c>
      <c r="J527" s="8" t="s">
        <v>54</v>
      </c>
      <c r="K527" s="8" t="s">
        <v>44</v>
      </c>
      <c r="L527" s="8" t="s">
        <v>283</v>
      </c>
      <c r="M527" s="10" t="s">
        <v>141</v>
      </c>
      <c r="N527" s="11" t="s">
        <v>1410</v>
      </c>
    </row>
    <row r="528" spans="1:14" ht="15.75" customHeight="1" x14ac:dyDescent="0.15">
      <c r="A528" s="6" t="s">
        <v>1466</v>
      </c>
      <c r="B528" s="12" t="s">
        <v>163</v>
      </c>
      <c r="C528" s="7" t="s">
        <v>1467</v>
      </c>
      <c r="D528" s="13" t="s">
        <v>107</v>
      </c>
      <c r="E528" s="14">
        <v>37102</v>
      </c>
      <c r="F528" s="13" t="s">
        <v>203</v>
      </c>
      <c r="G528" s="13" t="s">
        <v>138</v>
      </c>
      <c r="H528" s="13" t="s">
        <v>32</v>
      </c>
      <c r="I528" s="13" t="s">
        <v>43</v>
      </c>
      <c r="J528" s="13" t="s">
        <v>22</v>
      </c>
      <c r="K528" s="13" t="s">
        <v>44</v>
      </c>
      <c r="L528" s="13" t="s">
        <v>297</v>
      </c>
      <c r="M528" s="15" t="s">
        <v>287</v>
      </c>
      <c r="N528" s="11" t="s">
        <v>1410</v>
      </c>
    </row>
    <row r="529" spans="1:14" ht="15.75" customHeight="1" x14ac:dyDescent="0.15">
      <c r="A529" s="12" t="s">
        <v>1468</v>
      </c>
      <c r="B529" s="6" t="s">
        <v>168</v>
      </c>
      <c r="C529" s="7" t="s">
        <v>1469</v>
      </c>
      <c r="D529" s="8" t="s">
        <v>107</v>
      </c>
      <c r="E529" s="9">
        <v>37394</v>
      </c>
      <c r="F529" s="8" t="s">
        <v>137</v>
      </c>
      <c r="G529" s="8" t="s">
        <v>131</v>
      </c>
      <c r="H529" s="8" t="s">
        <v>179</v>
      </c>
      <c r="I529" s="8" t="s">
        <v>120</v>
      </c>
      <c r="J529" s="8" t="s">
        <v>76</v>
      </c>
      <c r="K529" s="8" t="s">
        <v>44</v>
      </c>
      <c r="L529" s="8" t="s">
        <v>55</v>
      </c>
      <c r="M529" s="10" t="s">
        <v>1470</v>
      </c>
      <c r="N529" s="11" t="s">
        <v>1410</v>
      </c>
    </row>
    <row r="530" spans="1:14" ht="15.75" customHeight="1" x14ac:dyDescent="0.15">
      <c r="A530" s="6" t="s">
        <v>1471</v>
      </c>
      <c r="B530" s="12" t="s">
        <v>173</v>
      </c>
      <c r="C530" s="7" t="s">
        <v>1472</v>
      </c>
      <c r="D530" s="13" t="s">
        <v>107</v>
      </c>
      <c r="E530" s="14">
        <v>36175</v>
      </c>
      <c r="F530" s="13" t="s">
        <v>30</v>
      </c>
      <c r="G530" s="13" t="s">
        <v>60</v>
      </c>
      <c r="H530" s="13" t="s">
        <v>52</v>
      </c>
      <c r="I530" s="13" t="s">
        <v>103</v>
      </c>
      <c r="J530" s="13" t="s">
        <v>54</v>
      </c>
      <c r="K530" s="13" t="s">
        <v>77</v>
      </c>
      <c r="L530" s="13" t="s">
        <v>45</v>
      </c>
      <c r="M530" s="15" t="s">
        <v>256</v>
      </c>
      <c r="N530" s="11" t="s">
        <v>1410</v>
      </c>
    </row>
    <row r="531" spans="1:14" ht="15.75" customHeight="1" x14ac:dyDescent="0.15">
      <c r="A531" s="12" t="s">
        <v>1473</v>
      </c>
      <c r="B531" s="6" t="s">
        <v>175</v>
      </c>
      <c r="C531" s="7" t="s">
        <v>1474</v>
      </c>
      <c r="D531" s="8" t="s">
        <v>107</v>
      </c>
      <c r="E531" s="9">
        <v>35254</v>
      </c>
      <c r="F531" s="8" t="s">
        <v>66</v>
      </c>
      <c r="G531" s="8" t="s">
        <v>19</v>
      </c>
      <c r="H531" s="8" t="s">
        <v>156</v>
      </c>
      <c r="I531" s="8" t="s">
        <v>213</v>
      </c>
      <c r="J531" s="8" t="s">
        <v>54</v>
      </c>
      <c r="K531" s="8" t="s">
        <v>77</v>
      </c>
      <c r="L531" s="8" t="s">
        <v>362</v>
      </c>
      <c r="M531" s="10" t="s">
        <v>199</v>
      </c>
      <c r="N531" s="11" t="s">
        <v>1410</v>
      </c>
    </row>
    <row r="532" spans="1:14" ht="15.75" customHeight="1" x14ac:dyDescent="0.15">
      <c r="A532" s="6" t="s">
        <v>1475</v>
      </c>
      <c r="B532" s="12" t="s">
        <v>200</v>
      </c>
      <c r="C532" s="7" t="s">
        <v>1476</v>
      </c>
      <c r="D532" s="13" t="s">
        <v>39</v>
      </c>
      <c r="E532" s="14">
        <v>36469</v>
      </c>
      <c r="F532" s="13" t="s">
        <v>40</v>
      </c>
      <c r="G532" s="13" t="s">
        <v>243</v>
      </c>
      <c r="H532" s="13" t="s">
        <v>42</v>
      </c>
      <c r="I532" s="13" t="s">
        <v>127</v>
      </c>
      <c r="J532" s="13" t="s">
        <v>22</v>
      </c>
      <c r="K532" s="13" t="s">
        <v>44</v>
      </c>
      <c r="L532" s="13" t="s">
        <v>218</v>
      </c>
      <c r="M532" s="15" t="s">
        <v>256</v>
      </c>
      <c r="N532" s="11" t="s">
        <v>1410</v>
      </c>
    </row>
    <row r="533" spans="1:14" ht="15.75" customHeight="1" x14ac:dyDescent="0.15">
      <c r="A533" s="6" t="s">
        <v>1477</v>
      </c>
      <c r="B533" s="6" t="s">
        <v>177</v>
      </c>
      <c r="C533" s="7" t="s">
        <v>1478</v>
      </c>
      <c r="D533" s="8" t="s">
        <v>39</v>
      </c>
      <c r="E533" s="9">
        <v>35540</v>
      </c>
      <c r="F533" s="8" t="s">
        <v>148</v>
      </c>
      <c r="G533" s="8" t="s">
        <v>204</v>
      </c>
      <c r="H533" s="8" t="s">
        <v>94</v>
      </c>
      <c r="I533" s="8" t="s">
        <v>207</v>
      </c>
      <c r="J533" s="8" t="s">
        <v>76</v>
      </c>
      <c r="K533" s="8" t="s">
        <v>23</v>
      </c>
      <c r="L533" s="8" t="s">
        <v>62</v>
      </c>
      <c r="M533" s="10" t="s">
        <v>619</v>
      </c>
      <c r="N533" s="11" t="s">
        <v>1410</v>
      </c>
    </row>
    <row r="534" spans="1:14" ht="15.75" customHeight="1" x14ac:dyDescent="0.15">
      <c r="A534" s="12" t="s">
        <v>1479</v>
      </c>
      <c r="B534" s="12" t="s">
        <v>180</v>
      </c>
      <c r="C534" s="7" t="s">
        <v>1480</v>
      </c>
      <c r="D534" s="13" t="s">
        <v>17</v>
      </c>
      <c r="E534" s="14">
        <v>36988</v>
      </c>
      <c r="F534" s="13" t="s">
        <v>203</v>
      </c>
      <c r="G534" s="13" t="s">
        <v>138</v>
      </c>
      <c r="H534" s="13" t="s">
        <v>32</v>
      </c>
      <c r="I534" s="13" t="s">
        <v>149</v>
      </c>
      <c r="J534" s="13" t="s">
        <v>54</v>
      </c>
      <c r="K534" s="13" t="s">
        <v>44</v>
      </c>
      <c r="L534" s="13" t="s">
        <v>218</v>
      </c>
      <c r="M534" s="15" t="s">
        <v>287</v>
      </c>
      <c r="N534" s="11" t="s">
        <v>1410</v>
      </c>
    </row>
    <row r="535" spans="1:14" ht="15.75" customHeight="1" x14ac:dyDescent="0.15">
      <c r="A535" s="6" t="s">
        <v>1481</v>
      </c>
      <c r="B535" s="6" t="s">
        <v>184</v>
      </c>
      <c r="C535" s="7" t="s">
        <v>1482</v>
      </c>
      <c r="D535" s="8" t="s">
        <v>107</v>
      </c>
      <c r="E535" s="9">
        <v>38164</v>
      </c>
      <c r="F535" s="8" t="s">
        <v>92</v>
      </c>
      <c r="G535" s="8" t="s">
        <v>243</v>
      </c>
      <c r="H535" s="8" t="s">
        <v>108</v>
      </c>
      <c r="I535" s="8" t="s">
        <v>103</v>
      </c>
      <c r="J535" s="8" t="s">
        <v>150</v>
      </c>
      <c r="K535" s="8" t="s">
        <v>77</v>
      </c>
      <c r="L535" s="8" t="s">
        <v>1483</v>
      </c>
      <c r="M535" s="10" t="s">
        <v>161</v>
      </c>
      <c r="N535" s="11" t="s">
        <v>1410</v>
      </c>
    </row>
    <row r="536" spans="1:14" ht="15.75" customHeight="1" x14ac:dyDescent="0.15">
      <c r="A536" s="12" t="s">
        <v>1484</v>
      </c>
      <c r="B536" s="12" t="s">
        <v>189</v>
      </c>
      <c r="C536" s="7" t="s">
        <v>1485</v>
      </c>
      <c r="D536" s="13" t="s">
        <v>107</v>
      </c>
      <c r="E536" s="14">
        <v>35041</v>
      </c>
      <c r="F536" s="13" t="s">
        <v>66</v>
      </c>
      <c r="G536" s="13" t="s">
        <v>60</v>
      </c>
      <c r="H536" s="13" t="s">
        <v>156</v>
      </c>
      <c r="I536" s="13" t="s">
        <v>69</v>
      </c>
      <c r="J536" s="13" t="s">
        <v>150</v>
      </c>
      <c r="K536" s="13" t="s">
        <v>77</v>
      </c>
      <c r="L536" s="13" t="s">
        <v>852</v>
      </c>
      <c r="M536" s="15" t="s">
        <v>1486</v>
      </c>
      <c r="N536" s="11" t="s">
        <v>1410</v>
      </c>
    </row>
    <row r="537" spans="1:14" ht="15.75" customHeight="1" x14ac:dyDescent="0.15">
      <c r="A537" s="6" t="s">
        <v>1487</v>
      </c>
      <c r="B537" s="6" t="s">
        <v>194</v>
      </c>
      <c r="C537" s="7" t="s">
        <v>1488</v>
      </c>
      <c r="D537" s="8" t="s">
        <v>17</v>
      </c>
      <c r="E537" s="9">
        <v>38232</v>
      </c>
      <c r="F537" s="8" t="s">
        <v>92</v>
      </c>
      <c r="G537" s="8" t="s">
        <v>41</v>
      </c>
      <c r="H537" s="8" t="s">
        <v>196</v>
      </c>
      <c r="I537" s="8" t="s">
        <v>120</v>
      </c>
      <c r="J537" s="8" t="s">
        <v>54</v>
      </c>
      <c r="K537" s="8" t="s">
        <v>23</v>
      </c>
      <c r="L537" s="8" t="s">
        <v>297</v>
      </c>
      <c r="M537" s="10" t="s">
        <v>486</v>
      </c>
      <c r="N537" s="11" t="s">
        <v>1410</v>
      </c>
    </row>
    <row r="538" spans="1:14" ht="15.75" customHeight="1" x14ac:dyDescent="0.15">
      <c r="A538" s="6" t="s">
        <v>1489</v>
      </c>
      <c r="B538" s="12" t="s">
        <v>210</v>
      </c>
      <c r="C538" s="7" t="s">
        <v>1490</v>
      </c>
      <c r="D538" s="13" t="s">
        <v>49</v>
      </c>
      <c r="E538" s="14">
        <v>36049</v>
      </c>
      <c r="F538" s="13" t="s">
        <v>30</v>
      </c>
      <c r="G538" s="13" t="s">
        <v>67</v>
      </c>
      <c r="H538" s="13" t="s">
        <v>94</v>
      </c>
      <c r="I538" s="13" t="s">
        <v>95</v>
      </c>
      <c r="J538" s="13" t="s">
        <v>54</v>
      </c>
      <c r="K538" s="13" t="s">
        <v>44</v>
      </c>
      <c r="L538" s="13" t="s">
        <v>35</v>
      </c>
      <c r="M538" s="15" t="s">
        <v>1491</v>
      </c>
      <c r="N538" s="11" t="s">
        <v>1410</v>
      </c>
    </row>
    <row r="539" spans="1:14" ht="15.75" customHeight="1" x14ac:dyDescent="0.15">
      <c r="A539" s="12" t="s">
        <v>1492</v>
      </c>
      <c r="B539" s="6" t="s">
        <v>215</v>
      </c>
      <c r="C539" s="7" t="s">
        <v>1493</v>
      </c>
      <c r="D539" s="8" t="s">
        <v>107</v>
      </c>
      <c r="E539" s="9">
        <v>35771</v>
      </c>
      <c r="F539" s="8" t="s">
        <v>212</v>
      </c>
      <c r="G539" s="8" t="s">
        <v>19</v>
      </c>
      <c r="H539" s="8" t="s">
        <v>579</v>
      </c>
      <c r="I539" s="8" t="s">
        <v>239</v>
      </c>
      <c r="J539" s="8" t="s">
        <v>54</v>
      </c>
      <c r="K539" s="8" t="s">
        <v>44</v>
      </c>
      <c r="L539" s="8" t="s">
        <v>110</v>
      </c>
      <c r="M539" s="10" t="s">
        <v>411</v>
      </c>
      <c r="N539" s="11" t="s">
        <v>1410</v>
      </c>
    </row>
    <row r="540" spans="1:14" ht="15.75" customHeight="1" x14ac:dyDescent="0.15">
      <c r="A540" s="6" t="s">
        <v>1494</v>
      </c>
      <c r="B540" s="12" t="s">
        <v>220</v>
      </c>
      <c r="C540" s="7" t="s">
        <v>1495</v>
      </c>
      <c r="D540" s="13" t="s">
        <v>107</v>
      </c>
      <c r="E540" s="14">
        <v>38568</v>
      </c>
      <c r="F540" s="13" t="s">
        <v>217</v>
      </c>
      <c r="G540" s="13" t="s">
        <v>138</v>
      </c>
      <c r="H540" s="13" t="s">
        <v>94</v>
      </c>
      <c r="I540" s="13" t="s">
        <v>115</v>
      </c>
      <c r="J540" s="13" t="s">
        <v>54</v>
      </c>
      <c r="K540" s="13" t="s">
        <v>77</v>
      </c>
      <c r="L540" s="13" t="s">
        <v>283</v>
      </c>
      <c r="M540" s="15" t="s">
        <v>141</v>
      </c>
      <c r="N540" s="11" t="s">
        <v>1410</v>
      </c>
    </row>
    <row r="541" spans="1:14" ht="15.75" customHeight="1" x14ac:dyDescent="0.15">
      <c r="A541" s="12" t="s">
        <v>1496</v>
      </c>
      <c r="B541" s="6" t="s">
        <v>223</v>
      </c>
      <c r="C541" s="7" t="s">
        <v>1497</v>
      </c>
      <c r="D541" s="8" t="s">
        <v>107</v>
      </c>
      <c r="E541" s="9">
        <v>35444</v>
      </c>
      <c r="F541" s="8" t="s">
        <v>148</v>
      </c>
      <c r="G541" s="8" t="s">
        <v>31</v>
      </c>
      <c r="H541" s="8" t="s">
        <v>20</v>
      </c>
      <c r="I541" s="8" t="s">
        <v>207</v>
      </c>
      <c r="J541" s="8" t="s">
        <v>22</v>
      </c>
      <c r="K541" s="8" t="s">
        <v>44</v>
      </c>
      <c r="L541" s="8" t="s">
        <v>218</v>
      </c>
      <c r="M541" s="10" t="s">
        <v>298</v>
      </c>
      <c r="N541" s="11" t="s">
        <v>1410</v>
      </c>
    </row>
    <row r="542" spans="1:14" ht="15.75" customHeight="1" x14ac:dyDescent="0.15">
      <c r="A542" s="6" t="s">
        <v>1498</v>
      </c>
      <c r="B542" s="12" t="s">
        <v>227</v>
      </c>
      <c r="C542" s="7" t="s">
        <v>1499</v>
      </c>
      <c r="D542" s="13" t="s">
        <v>107</v>
      </c>
      <c r="E542" s="14">
        <v>38056</v>
      </c>
      <c r="F542" s="13" t="s">
        <v>92</v>
      </c>
      <c r="G542" s="13" t="s">
        <v>93</v>
      </c>
      <c r="H542" s="13" t="s">
        <v>94</v>
      </c>
      <c r="I542" s="13" t="s">
        <v>120</v>
      </c>
      <c r="J542" s="13" t="s">
        <v>150</v>
      </c>
      <c r="K542" s="13" t="s">
        <v>44</v>
      </c>
      <c r="L542" s="13" t="s">
        <v>301</v>
      </c>
      <c r="M542" s="15" t="s">
        <v>628</v>
      </c>
      <c r="N542" s="11" t="s">
        <v>1410</v>
      </c>
    </row>
    <row r="543" spans="1:14" ht="15.75" customHeight="1" x14ac:dyDescent="0.15">
      <c r="A543" s="6" t="s">
        <v>1500</v>
      </c>
      <c r="B543" s="6" t="s">
        <v>230</v>
      </c>
      <c r="C543" s="7" t="s">
        <v>1501</v>
      </c>
      <c r="D543" s="8" t="s">
        <v>39</v>
      </c>
      <c r="E543" s="9">
        <v>37407</v>
      </c>
      <c r="F543" s="8" t="s">
        <v>137</v>
      </c>
      <c r="G543" s="8" t="s">
        <v>31</v>
      </c>
      <c r="H543" s="8" t="s">
        <v>788</v>
      </c>
      <c r="I543" s="8" t="s">
        <v>61</v>
      </c>
      <c r="J543" s="8" t="s">
        <v>54</v>
      </c>
      <c r="K543" s="8" t="s">
        <v>77</v>
      </c>
      <c r="L543" s="8" t="s">
        <v>45</v>
      </c>
      <c r="M543" s="10" t="s">
        <v>161</v>
      </c>
      <c r="N543" s="11" t="s">
        <v>1410</v>
      </c>
    </row>
    <row r="544" spans="1:14" ht="15.75" customHeight="1" x14ac:dyDescent="0.15">
      <c r="A544" s="12" t="s">
        <v>1502</v>
      </c>
      <c r="B544" s="12" t="s">
        <v>234</v>
      </c>
      <c r="C544" s="7" t="s">
        <v>1503</v>
      </c>
      <c r="D544" s="13" t="s">
        <v>49</v>
      </c>
      <c r="E544" s="14">
        <v>35536</v>
      </c>
      <c r="F544" s="13" t="s">
        <v>148</v>
      </c>
      <c r="G544" s="13" t="s">
        <v>101</v>
      </c>
      <c r="H544" s="13" t="s">
        <v>139</v>
      </c>
      <c r="I544" s="13" t="s">
        <v>127</v>
      </c>
      <c r="J544" s="13" t="s">
        <v>76</v>
      </c>
      <c r="K544" s="13" t="s">
        <v>23</v>
      </c>
      <c r="L544" s="13" t="s">
        <v>297</v>
      </c>
      <c r="M544" s="15" t="s">
        <v>950</v>
      </c>
      <c r="N544" s="11" t="s">
        <v>1410</v>
      </c>
    </row>
    <row r="545" spans="1:14" ht="15.75" customHeight="1" x14ac:dyDescent="0.15">
      <c r="A545" s="6" t="s">
        <v>1504</v>
      </c>
      <c r="B545" s="6" t="s">
        <v>236</v>
      </c>
      <c r="C545" s="7" t="s">
        <v>1505</v>
      </c>
      <c r="D545" s="8" t="s">
        <v>17</v>
      </c>
      <c r="E545" s="9">
        <v>38903</v>
      </c>
      <c r="F545" s="8" t="s">
        <v>170</v>
      </c>
      <c r="G545" s="8" t="s">
        <v>131</v>
      </c>
      <c r="H545" s="8" t="s">
        <v>156</v>
      </c>
      <c r="I545" s="8" t="s">
        <v>385</v>
      </c>
      <c r="J545" s="8" t="s">
        <v>54</v>
      </c>
      <c r="K545" s="8" t="s">
        <v>44</v>
      </c>
      <c r="L545" s="8" t="s">
        <v>165</v>
      </c>
      <c r="M545" s="10" t="s">
        <v>274</v>
      </c>
      <c r="N545" s="11" t="s">
        <v>1410</v>
      </c>
    </row>
    <row r="546" spans="1:14" ht="15.75" customHeight="1" x14ac:dyDescent="0.15">
      <c r="A546" s="12" t="s">
        <v>1506</v>
      </c>
      <c r="B546" s="12" t="s">
        <v>241</v>
      </c>
      <c r="C546" s="7" t="s">
        <v>1507</v>
      </c>
      <c r="D546" s="13" t="s">
        <v>107</v>
      </c>
      <c r="E546" s="17">
        <v>35778</v>
      </c>
      <c r="F546" s="13" t="s">
        <v>212</v>
      </c>
      <c r="G546" s="13" t="s">
        <v>204</v>
      </c>
      <c r="H546" s="13" t="s">
        <v>108</v>
      </c>
      <c r="I546" s="13" t="s">
        <v>213</v>
      </c>
      <c r="J546" s="13" t="s">
        <v>54</v>
      </c>
      <c r="K546" s="13" t="s">
        <v>77</v>
      </c>
      <c r="L546" s="13" t="s">
        <v>62</v>
      </c>
      <c r="M546" s="15" t="s">
        <v>397</v>
      </c>
      <c r="N546" s="11" t="s">
        <v>1410</v>
      </c>
    </row>
    <row r="547" spans="1:14" ht="15.75" customHeight="1" x14ac:dyDescent="0.15">
      <c r="A547" s="6" t="s">
        <v>1508</v>
      </c>
      <c r="B547" s="6" t="s">
        <v>246</v>
      </c>
      <c r="C547" s="7" t="s">
        <v>1509</v>
      </c>
      <c r="D547" s="8" t="s">
        <v>107</v>
      </c>
      <c r="E547" s="9">
        <v>35275</v>
      </c>
      <c r="F547" s="8" t="s">
        <v>66</v>
      </c>
      <c r="G547" s="8" t="s">
        <v>101</v>
      </c>
      <c r="H547" s="8" t="s">
        <v>114</v>
      </c>
      <c r="I547" s="8" t="s">
        <v>95</v>
      </c>
      <c r="J547" s="8" t="s">
        <v>34</v>
      </c>
      <c r="K547" s="8" t="s">
        <v>23</v>
      </c>
      <c r="L547" s="8" t="s">
        <v>187</v>
      </c>
      <c r="M547" s="10" t="s">
        <v>56</v>
      </c>
      <c r="N547" s="11" t="s">
        <v>1410</v>
      </c>
    </row>
    <row r="548" spans="1:14" ht="15.75" customHeight="1" x14ac:dyDescent="0.15">
      <c r="A548" s="6" t="s">
        <v>1510</v>
      </c>
      <c r="B548" s="12" t="s">
        <v>249</v>
      </c>
      <c r="C548" s="7" t="s">
        <v>1511</v>
      </c>
      <c r="D548" s="13" t="s">
        <v>107</v>
      </c>
      <c r="E548" s="14">
        <v>36946</v>
      </c>
      <c r="F548" s="13" t="s">
        <v>203</v>
      </c>
      <c r="G548" s="13" t="s">
        <v>41</v>
      </c>
      <c r="H548" s="13" t="s">
        <v>32</v>
      </c>
      <c r="I548" s="13" t="s">
        <v>192</v>
      </c>
      <c r="J548" s="13" t="s">
        <v>54</v>
      </c>
      <c r="K548" s="13" t="s">
        <v>77</v>
      </c>
      <c r="L548" s="13" t="s">
        <v>35</v>
      </c>
      <c r="M548" s="15" t="s">
        <v>134</v>
      </c>
      <c r="N548" s="11" t="s">
        <v>1410</v>
      </c>
    </row>
    <row r="549" spans="1:14" ht="15.75" customHeight="1" x14ac:dyDescent="0.15">
      <c r="A549" s="12" t="s">
        <v>1512</v>
      </c>
      <c r="B549" s="6" t="s">
        <v>253</v>
      </c>
      <c r="C549" s="7" t="s">
        <v>1513</v>
      </c>
      <c r="D549" s="8" t="s">
        <v>107</v>
      </c>
      <c r="E549" s="9">
        <v>37888</v>
      </c>
      <c r="F549" s="8" t="s">
        <v>92</v>
      </c>
      <c r="G549" s="8" t="s">
        <v>93</v>
      </c>
      <c r="H549" s="8" t="s">
        <v>42</v>
      </c>
      <c r="I549" s="8" t="s">
        <v>582</v>
      </c>
      <c r="J549" s="8" t="s">
        <v>54</v>
      </c>
      <c r="K549" s="8" t="s">
        <v>44</v>
      </c>
      <c r="L549" s="8" t="s">
        <v>297</v>
      </c>
      <c r="M549" s="10" t="s">
        <v>161</v>
      </c>
      <c r="N549" s="11" t="s">
        <v>1410</v>
      </c>
    </row>
    <row r="550" spans="1:14" ht="15.75" customHeight="1" x14ac:dyDescent="0.15">
      <c r="A550" s="6" t="s">
        <v>1514</v>
      </c>
      <c r="B550" s="12" t="s">
        <v>257</v>
      </c>
      <c r="C550" s="7" t="s">
        <v>1515</v>
      </c>
      <c r="D550" s="13" t="s">
        <v>107</v>
      </c>
      <c r="E550" s="14">
        <v>36681</v>
      </c>
      <c r="F550" s="13" t="s">
        <v>40</v>
      </c>
      <c r="G550" s="13" t="s">
        <v>41</v>
      </c>
      <c r="H550" s="13" t="s">
        <v>191</v>
      </c>
      <c r="I550" s="13" t="s">
        <v>61</v>
      </c>
      <c r="J550" s="13" t="s">
        <v>150</v>
      </c>
      <c r="K550" s="13" t="s">
        <v>77</v>
      </c>
      <c r="L550" s="13" t="s">
        <v>301</v>
      </c>
      <c r="M550" s="15" t="s">
        <v>1067</v>
      </c>
      <c r="N550" s="11" t="s">
        <v>1410</v>
      </c>
    </row>
    <row r="551" spans="1:14" ht="15.75" customHeight="1" x14ac:dyDescent="0.15">
      <c r="A551" s="12" t="s">
        <v>1516</v>
      </c>
      <c r="B551" s="6" t="s">
        <v>259</v>
      </c>
      <c r="C551" s="7" t="s">
        <v>1517</v>
      </c>
      <c r="D551" s="8" t="s">
        <v>17</v>
      </c>
      <c r="E551" s="9">
        <v>37516</v>
      </c>
      <c r="F551" s="8" t="s">
        <v>186</v>
      </c>
      <c r="G551" s="8" t="s">
        <v>31</v>
      </c>
      <c r="H551" s="8" t="s">
        <v>695</v>
      </c>
      <c r="I551" s="8" t="s">
        <v>323</v>
      </c>
      <c r="J551" s="8" t="s">
        <v>54</v>
      </c>
      <c r="K551" s="8" t="s">
        <v>23</v>
      </c>
      <c r="L551" s="8" t="s">
        <v>165</v>
      </c>
      <c r="M551" s="10" t="s">
        <v>1518</v>
      </c>
      <c r="N551" s="11" t="s">
        <v>1410</v>
      </c>
    </row>
    <row r="552" spans="1:14" ht="15.75" customHeight="1" x14ac:dyDescent="0.15">
      <c r="A552" s="6" t="s">
        <v>1519</v>
      </c>
      <c r="B552" s="12" t="s">
        <v>263</v>
      </c>
      <c r="C552" s="7" t="s">
        <v>1520</v>
      </c>
      <c r="D552" s="13" t="s">
        <v>107</v>
      </c>
      <c r="E552" s="14">
        <v>37342</v>
      </c>
      <c r="F552" s="13" t="s">
        <v>137</v>
      </c>
      <c r="G552" s="13" t="s">
        <v>138</v>
      </c>
      <c r="H552" s="13" t="s">
        <v>20</v>
      </c>
      <c r="I552" s="13" t="s">
        <v>33</v>
      </c>
      <c r="J552" s="13" t="s">
        <v>76</v>
      </c>
      <c r="K552" s="13" t="s">
        <v>44</v>
      </c>
      <c r="L552" s="13" t="s">
        <v>424</v>
      </c>
      <c r="M552" s="15" t="s">
        <v>199</v>
      </c>
      <c r="N552" s="11" t="s">
        <v>1410</v>
      </c>
    </row>
    <row r="553" spans="1:14" ht="15.75" customHeight="1" x14ac:dyDescent="0.15">
      <c r="A553" s="6" t="s">
        <v>1521</v>
      </c>
      <c r="B553" s="6" t="s">
        <v>266</v>
      </c>
      <c r="C553" s="7" t="s">
        <v>3419</v>
      </c>
      <c r="D553" s="8" t="s">
        <v>107</v>
      </c>
      <c r="E553" s="9">
        <v>34737</v>
      </c>
      <c r="F553" s="8" t="s">
        <v>59</v>
      </c>
      <c r="G553" s="8" t="s">
        <v>243</v>
      </c>
      <c r="H553" s="8" t="s">
        <v>171</v>
      </c>
      <c r="I553" s="8" t="s">
        <v>1021</v>
      </c>
      <c r="J553" s="8" t="s">
        <v>150</v>
      </c>
      <c r="K553" s="8" t="s">
        <v>44</v>
      </c>
      <c r="L553" s="8" t="s">
        <v>1483</v>
      </c>
      <c r="M553" s="10" t="s">
        <v>1486</v>
      </c>
      <c r="N553" s="11" t="s">
        <v>1410</v>
      </c>
    </row>
    <row r="554" spans="1:14" ht="15.75" customHeight="1" x14ac:dyDescent="0.15">
      <c r="A554" s="12" t="s">
        <v>1522</v>
      </c>
      <c r="B554" s="12" t="s">
        <v>268</v>
      </c>
      <c r="C554" s="7" t="s">
        <v>1523</v>
      </c>
      <c r="D554" s="13" t="s">
        <v>49</v>
      </c>
      <c r="E554" s="14">
        <v>37049</v>
      </c>
      <c r="F554" s="13" t="s">
        <v>203</v>
      </c>
      <c r="G554" s="13" t="s">
        <v>204</v>
      </c>
      <c r="H554" s="13" t="s">
        <v>42</v>
      </c>
      <c r="I554" s="13" t="s">
        <v>109</v>
      </c>
      <c r="J554" s="13" t="s">
        <v>76</v>
      </c>
      <c r="K554" s="13" t="s">
        <v>44</v>
      </c>
      <c r="L554" s="13" t="s">
        <v>251</v>
      </c>
      <c r="M554" s="15" t="s">
        <v>298</v>
      </c>
      <c r="N554" s="11" t="s">
        <v>1410</v>
      </c>
    </row>
    <row r="555" spans="1:14" ht="15.75" customHeight="1" x14ac:dyDescent="0.15">
      <c r="A555" s="6" t="s">
        <v>1524</v>
      </c>
      <c r="B555" s="6" t="s">
        <v>271</v>
      </c>
      <c r="C555" s="7" t="s">
        <v>1525</v>
      </c>
      <c r="D555" s="8" t="s">
        <v>17</v>
      </c>
      <c r="E555" s="16">
        <v>37246</v>
      </c>
      <c r="F555" s="8" t="s">
        <v>137</v>
      </c>
      <c r="G555" s="8" t="s">
        <v>93</v>
      </c>
      <c r="H555" s="8" t="s">
        <v>196</v>
      </c>
      <c r="I555" s="8" t="s">
        <v>43</v>
      </c>
      <c r="J555" s="8" t="s">
        <v>76</v>
      </c>
      <c r="K555" s="8" t="s">
        <v>44</v>
      </c>
      <c r="L555" s="8" t="s">
        <v>62</v>
      </c>
      <c r="M555" s="10" t="s">
        <v>161</v>
      </c>
      <c r="N555" s="11" t="s">
        <v>1410</v>
      </c>
    </row>
    <row r="556" spans="1:14" ht="15.75" customHeight="1" x14ac:dyDescent="0.15">
      <c r="A556" s="12" t="s">
        <v>1526</v>
      </c>
      <c r="B556" s="12" t="s">
        <v>275</v>
      </c>
      <c r="C556" s="7" t="s">
        <v>1527</v>
      </c>
      <c r="D556" s="13" t="s">
        <v>39</v>
      </c>
      <c r="E556" s="14">
        <v>36060</v>
      </c>
      <c r="F556" s="13" t="s">
        <v>30</v>
      </c>
      <c r="G556" s="13" t="s">
        <v>31</v>
      </c>
      <c r="H556" s="13" t="s">
        <v>68</v>
      </c>
      <c r="I556" s="13" t="s">
        <v>75</v>
      </c>
      <c r="J556" s="13" t="s">
        <v>54</v>
      </c>
      <c r="K556" s="13" t="s">
        <v>23</v>
      </c>
      <c r="L556" s="13" t="s">
        <v>663</v>
      </c>
      <c r="M556" s="15" t="s">
        <v>1528</v>
      </c>
      <c r="N556" s="11" t="s">
        <v>1410</v>
      </c>
    </row>
    <row r="557" spans="1:14" ht="15.75" customHeight="1" x14ac:dyDescent="0.15">
      <c r="A557" s="6" t="s">
        <v>1529</v>
      </c>
      <c r="B557" s="6" t="s">
        <v>278</v>
      </c>
      <c r="C557" s="7" t="s">
        <v>1530</v>
      </c>
      <c r="D557" s="8" t="s">
        <v>107</v>
      </c>
      <c r="E557" s="9">
        <v>37876</v>
      </c>
      <c r="F557" s="8" t="s">
        <v>92</v>
      </c>
      <c r="G557" s="8" t="s">
        <v>243</v>
      </c>
      <c r="H557" s="8" t="s">
        <v>94</v>
      </c>
      <c r="I557" s="8" t="s">
        <v>120</v>
      </c>
      <c r="J557" s="8" t="s">
        <v>54</v>
      </c>
      <c r="K557" s="8" t="s">
        <v>77</v>
      </c>
      <c r="L557" s="8" t="s">
        <v>128</v>
      </c>
      <c r="M557" s="10" t="s">
        <v>1531</v>
      </c>
      <c r="N557" s="11" t="s">
        <v>1410</v>
      </c>
    </row>
    <row r="558" spans="1:14" ht="15.75" customHeight="1" x14ac:dyDescent="0.15">
      <c r="A558" s="6" t="s">
        <v>1532</v>
      </c>
      <c r="B558" s="12" t="s">
        <v>281</v>
      </c>
      <c r="C558" s="7" t="s">
        <v>1533</v>
      </c>
      <c r="D558" s="13" t="s">
        <v>107</v>
      </c>
      <c r="E558" s="14">
        <v>36394</v>
      </c>
      <c r="F558" s="13" t="s">
        <v>30</v>
      </c>
      <c r="G558" s="13" t="s">
        <v>243</v>
      </c>
      <c r="H558" s="13" t="s">
        <v>196</v>
      </c>
      <c r="I558" s="13" t="s">
        <v>192</v>
      </c>
      <c r="J558" s="13" t="s">
        <v>54</v>
      </c>
      <c r="K558" s="13" t="s">
        <v>23</v>
      </c>
      <c r="L558" s="13" t="s">
        <v>565</v>
      </c>
      <c r="M558" s="15" t="s">
        <v>262</v>
      </c>
      <c r="N558" s="11" t="s">
        <v>1410</v>
      </c>
    </row>
    <row r="559" spans="1:14" ht="15.75" customHeight="1" x14ac:dyDescent="0.15">
      <c r="A559" s="12" t="s">
        <v>1534</v>
      </c>
      <c r="B559" s="6" t="s">
        <v>285</v>
      </c>
      <c r="C559" s="7" t="s">
        <v>1535</v>
      </c>
      <c r="D559" s="8" t="s">
        <v>107</v>
      </c>
      <c r="E559" s="9">
        <v>38205</v>
      </c>
      <c r="F559" s="8" t="s">
        <v>92</v>
      </c>
      <c r="G559" s="8" t="s">
        <v>41</v>
      </c>
      <c r="H559" s="8" t="s">
        <v>102</v>
      </c>
      <c r="I559" s="8" t="s">
        <v>83</v>
      </c>
      <c r="J559" s="8" t="s">
        <v>76</v>
      </c>
      <c r="K559" s="8" t="s">
        <v>77</v>
      </c>
      <c r="L559" s="8" t="s">
        <v>404</v>
      </c>
      <c r="M559" s="10" t="s">
        <v>441</v>
      </c>
      <c r="N559" s="11" t="s">
        <v>1410</v>
      </c>
    </row>
    <row r="560" spans="1:14" ht="15.75" customHeight="1" x14ac:dyDescent="0.15">
      <c r="A560" s="6" t="s">
        <v>1536</v>
      </c>
      <c r="B560" s="12" t="s">
        <v>288</v>
      </c>
      <c r="C560" s="7" t="s">
        <v>1537</v>
      </c>
      <c r="D560" s="13" t="s">
        <v>39</v>
      </c>
      <c r="E560" s="14">
        <v>36385</v>
      </c>
      <c r="F560" s="13" t="s">
        <v>30</v>
      </c>
      <c r="G560" s="13" t="s">
        <v>243</v>
      </c>
      <c r="H560" s="13" t="s">
        <v>42</v>
      </c>
      <c r="I560" s="13" t="s">
        <v>192</v>
      </c>
      <c r="J560" s="13" t="s">
        <v>22</v>
      </c>
      <c r="K560" s="13" t="s">
        <v>23</v>
      </c>
      <c r="L560" s="13" t="s">
        <v>128</v>
      </c>
      <c r="M560" s="15" t="s">
        <v>1067</v>
      </c>
      <c r="N560" s="11" t="s">
        <v>1410</v>
      </c>
    </row>
    <row r="561" spans="1:14" ht="15.75" customHeight="1" x14ac:dyDescent="0.15">
      <c r="A561" s="12" t="s">
        <v>1538</v>
      </c>
      <c r="B561" s="6" t="s">
        <v>291</v>
      </c>
      <c r="C561" s="7" t="s">
        <v>1539</v>
      </c>
      <c r="D561" s="8" t="s">
        <v>49</v>
      </c>
      <c r="E561" s="9">
        <v>35626</v>
      </c>
      <c r="F561" s="8" t="s">
        <v>148</v>
      </c>
      <c r="G561" s="8" t="s">
        <v>204</v>
      </c>
      <c r="H561" s="8" t="s">
        <v>139</v>
      </c>
      <c r="I561" s="8" t="s">
        <v>213</v>
      </c>
      <c r="J561" s="8" t="s">
        <v>22</v>
      </c>
      <c r="K561" s="8" t="s">
        <v>44</v>
      </c>
      <c r="L561" s="8" t="s">
        <v>187</v>
      </c>
      <c r="M561" s="10" t="s">
        <v>25</v>
      </c>
      <c r="N561" s="11" t="s">
        <v>1410</v>
      </c>
    </row>
    <row r="562" spans="1:14" ht="15.75" customHeight="1" x14ac:dyDescent="0.15">
      <c r="A562" s="6" t="s">
        <v>1540</v>
      </c>
      <c r="B562" s="12" t="s">
        <v>295</v>
      </c>
      <c r="C562" s="7" t="s">
        <v>1541</v>
      </c>
      <c r="D562" s="13" t="s">
        <v>107</v>
      </c>
      <c r="E562" s="17">
        <v>35416</v>
      </c>
      <c r="F562" s="13" t="s">
        <v>148</v>
      </c>
      <c r="G562" s="13" t="s">
        <v>41</v>
      </c>
      <c r="H562" s="13" t="s">
        <v>171</v>
      </c>
      <c r="I562" s="13" t="s">
        <v>692</v>
      </c>
      <c r="J562" s="13" t="s">
        <v>150</v>
      </c>
      <c r="K562" s="13" t="s">
        <v>77</v>
      </c>
      <c r="L562" s="13" t="s">
        <v>490</v>
      </c>
      <c r="M562" s="15" t="s">
        <v>193</v>
      </c>
      <c r="N562" s="11" t="s">
        <v>1410</v>
      </c>
    </row>
    <row r="563" spans="1:14" ht="15.75" customHeight="1" x14ac:dyDescent="0.15">
      <c r="A563" s="6" t="s">
        <v>1542</v>
      </c>
      <c r="B563" s="6" t="s">
        <v>299</v>
      </c>
      <c r="C563" s="7" t="s">
        <v>1543</v>
      </c>
      <c r="D563" s="8" t="s">
        <v>107</v>
      </c>
      <c r="E563" s="9">
        <v>35308</v>
      </c>
      <c r="F563" s="8" t="s">
        <v>66</v>
      </c>
      <c r="G563" s="8" t="s">
        <v>19</v>
      </c>
      <c r="H563" s="8" t="s">
        <v>32</v>
      </c>
      <c r="I563" s="8" t="s">
        <v>127</v>
      </c>
      <c r="J563" s="8" t="s">
        <v>76</v>
      </c>
      <c r="K563" s="8" t="s">
        <v>44</v>
      </c>
      <c r="L563" s="8" t="s">
        <v>390</v>
      </c>
      <c r="M563" s="10" t="s">
        <v>280</v>
      </c>
      <c r="N563" s="11" t="s">
        <v>1410</v>
      </c>
    </row>
    <row r="564" spans="1:14" ht="15.75" customHeight="1" x14ac:dyDescent="0.15">
      <c r="A564" s="12" t="s">
        <v>1544</v>
      </c>
      <c r="B564" s="12" t="s">
        <v>303</v>
      </c>
      <c r="C564" s="7" t="s">
        <v>1545</v>
      </c>
      <c r="D564" s="13" t="s">
        <v>49</v>
      </c>
      <c r="E564" s="14">
        <v>38506</v>
      </c>
      <c r="F564" s="13" t="s">
        <v>217</v>
      </c>
      <c r="G564" s="13" t="s">
        <v>138</v>
      </c>
      <c r="H564" s="13" t="s">
        <v>132</v>
      </c>
      <c r="I564" s="13" t="s">
        <v>207</v>
      </c>
      <c r="J564" s="13" t="s">
        <v>54</v>
      </c>
      <c r="K564" s="13" t="s">
        <v>44</v>
      </c>
      <c r="L564" s="13" t="s">
        <v>55</v>
      </c>
      <c r="M564" s="15" t="s">
        <v>441</v>
      </c>
      <c r="N564" s="11" t="s">
        <v>1410</v>
      </c>
    </row>
    <row r="565" spans="1:14" ht="15.75" customHeight="1" x14ac:dyDescent="0.15">
      <c r="A565" s="6" t="s">
        <v>1546</v>
      </c>
      <c r="B565" s="6" t="s">
        <v>306</v>
      </c>
      <c r="C565" s="7" t="s">
        <v>1547</v>
      </c>
      <c r="D565" s="8" t="s">
        <v>107</v>
      </c>
      <c r="E565" s="9">
        <v>35169</v>
      </c>
      <c r="F565" s="8" t="s">
        <v>66</v>
      </c>
      <c r="G565" s="8" t="s">
        <v>293</v>
      </c>
      <c r="H565" s="8" t="s">
        <v>42</v>
      </c>
      <c r="I565" s="8" t="s">
        <v>213</v>
      </c>
      <c r="J565" s="8" t="s">
        <v>54</v>
      </c>
      <c r="K565" s="8" t="s">
        <v>23</v>
      </c>
      <c r="L565" s="8" t="s">
        <v>45</v>
      </c>
      <c r="M565" s="10" t="s">
        <v>641</v>
      </c>
      <c r="N565" s="11" t="s">
        <v>1410</v>
      </c>
    </row>
    <row r="566" spans="1:14" ht="15.75" customHeight="1" x14ac:dyDescent="0.15">
      <c r="A566" s="12" t="s">
        <v>1548</v>
      </c>
      <c r="B566" s="12" t="s">
        <v>308</v>
      </c>
      <c r="C566" s="7" t="s">
        <v>1549</v>
      </c>
      <c r="D566" s="13" t="s">
        <v>17</v>
      </c>
      <c r="E566" s="14">
        <v>38878</v>
      </c>
      <c r="F566" s="13" t="s">
        <v>170</v>
      </c>
      <c r="G566" s="13" t="s">
        <v>131</v>
      </c>
      <c r="H566" s="13" t="s">
        <v>102</v>
      </c>
      <c r="I566" s="13" t="s">
        <v>53</v>
      </c>
      <c r="J566" s="13" t="s">
        <v>22</v>
      </c>
      <c r="K566" s="13" t="s">
        <v>23</v>
      </c>
      <c r="L566" s="13" t="s">
        <v>283</v>
      </c>
      <c r="M566" s="15" t="s">
        <v>845</v>
      </c>
      <c r="N566" s="11" t="s">
        <v>1410</v>
      </c>
    </row>
    <row r="567" spans="1:14" ht="15.75" customHeight="1" x14ac:dyDescent="0.15">
      <c r="A567" s="6" t="s">
        <v>1550</v>
      </c>
      <c r="B567" s="6" t="s">
        <v>311</v>
      </c>
      <c r="C567" s="7" t="s">
        <v>1551</v>
      </c>
      <c r="D567" s="8" t="s">
        <v>107</v>
      </c>
      <c r="E567" s="9">
        <v>36709</v>
      </c>
      <c r="F567" s="8" t="s">
        <v>40</v>
      </c>
      <c r="G567" s="8" t="s">
        <v>41</v>
      </c>
      <c r="H567" s="8" t="s">
        <v>52</v>
      </c>
      <c r="I567" s="8" t="s">
        <v>273</v>
      </c>
      <c r="J567" s="8" t="s">
        <v>76</v>
      </c>
      <c r="K567" s="8" t="s">
        <v>23</v>
      </c>
      <c r="L567" s="8" t="s">
        <v>133</v>
      </c>
      <c r="M567" s="10" t="s">
        <v>727</v>
      </c>
      <c r="N567" s="11" t="s">
        <v>1410</v>
      </c>
    </row>
    <row r="568" spans="1:14" ht="15.75" customHeight="1" x14ac:dyDescent="0.15">
      <c r="A568" s="6" t="s">
        <v>1552</v>
      </c>
      <c r="B568" s="12" t="s">
        <v>314</v>
      </c>
      <c r="C568" s="7" t="s">
        <v>1553</v>
      </c>
      <c r="D568" s="13" t="s">
        <v>107</v>
      </c>
      <c r="E568" s="14">
        <v>37691</v>
      </c>
      <c r="F568" s="13" t="s">
        <v>186</v>
      </c>
      <c r="G568" s="13" t="s">
        <v>131</v>
      </c>
      <c r="H568" s="13" t="s">
        <v>179</v>
      </c>
      <c r="I568" s="13" t="s">
        <v>385</v>
      </c>
      <c r="J568" s="13" t="s">
        <v>54</v>
      </c>
      <c r="K568" s="13" t="s">
        <v>44</v>
      </c>
      <c r="L568" s="13" t="s">
        <v>35</v>
      </c>
      <c r="M568" s="15" t="s">
        <v>1554</v>
      </c>
      <c r="N568" s="11" t="s">
        <v>1410</v>
      </c>
    </row>
    <row r="569" spans="1:14" ht="15.75" customHeight="1" x14ac:dyDescent="0.15">
      <c r="A569" s="12" t="s">
        <v>1555</v>
      </c>
      <c r="B569" s="6" t="s">
        <v>363</v>
      </c>
      <c r="C569" s="7" t="s">
        <v>1556</v>
      </c>
      <c r="D569" s="8" t="s">
        <v>39</v>
      </c>
      <c r="E569" s="9">
        <v>36378</v>
      </c>
      <c r="F569" s="8" t="s">
        <v>30</v>
      </c>
      <c r="G569" s="8" t="s">
        <v>243</v>
      </c>
      <c r="H569" s="8" t="s">
        <v>42</v>
      </c>
      <c r="I569" s="8" t="s">
        <v>127</v>
      </c>
      <c r="J569" s="8" t="s">
        <v>22</v>
      </c>
      <c r="K569" s="8" t="s">
        <v>23</v>
      </c>
      <c r="L569" s="8" t="s">
        <v>218</v>
      </c>
      <c r="M569" s="10" t="s">
        <v>298</v>
      </c>
      <c r="N569" s="11" t="s">
        <v>1410</v>
      </c>
    </row>
    <row r="570" spans="1:14" ht="15.75" customHeight="1" x14ac:dyDescent="0.15">
      <c r="A570" s="6" t="s">
        <v>1557</v>
      </c>
      <c r="B570" s="12" t="s">
        <v>316</v>
      </c>
      <c r="C570" s="7" t="s">
        <v>1026</v>
      </c>
      <c r="D570" s="13" t="s">
        <v>107</v>
      </c>
      <c r="E570" s="14">
        <v>37121</v>
      </c>
      <c r="F570" s="13" t="s">
        <v>203</v>
      </c>
      <c r="G570" s="13" t="s">
        <v>243</v>
      </c>
      <c r="H570" s="13" t="s">
        <v>42</v>
      </c>
      <c r="I570" s="13" t="s">
        <v>192</v>
      </c>
      <c r="J570" s="13" t="s">
        <v>150</v>
      </c>
      <c r="K570" s="13" t="s">
        <v>44</v>
      </c>
      <c r="L570" s="13" t="s">
        <v>324</v>
      </c>
      <c r="M570" s="15" t="s">
        <v>161</v>
      </c>
      <c r="N570" s="11" t="s">
        <v>1410</v>
      </c>
    </row>
    <row r="571" spans="1:14" ht="15.75" customHeight="1" x14ac:dyDescent="0.15">
      <c r="A571" s="12" t="s">
        <v>1558</v>
      </c>
      <c r="B571" s="6" t="s">
        <v>325</v>
      </c>
      <c r="C571" s="7" t="s">
        <v>1559</v>
      </c>
      <c r="D571" s="8" t="s">
        <v>107</v>
      </c>
      <c r="E571" s="9">
        <v>37637</v>
      </c>
      <c r="F571" s="8" t="s">
        <v>186</v>
      </c>
      <c r="G571" s="8" t="s">
        <v>31</v>
      </c>
      <c r="H571" s="8" t="s">
        <v>42</v>
      </c>
      <c r="I571" s="8" t="s">
        <v>95</v>
      </c>
      <c r="J571" s="8" t="s">
        <v>22</v>
      </c>
      <c r="K571" s="8" t="s">
        <v>44</v>
      </c>
      <c r="L571" s="8" t="s">
        <v>431</v>
      </c>
      <c r="M571" s="10" t="s">
        <v>248</v>
      </c>
      <c r="N571" s="11" t="s">
        <v>1410</v>
      </c>
    </row>
    <row r="572" spans="1:14" ht="15.75" customHeight="1" x14ac:dyDescent="0.15">
      <c r="A572" s="6" t="s">
        <v>1560</v>
      </c>
      <c r="B572" s="12" t="s">
        <v>335</v>
      </c>
      <c r="C572" s="7" t="s">
        <v>1561</v>
      </c>
      <c r="D572" s="13" t="s">
        <v>17</v>
      </c>
      <c r="E572" s="14">
        <v>35400</v>
      </c>
      <c r="F572" s="13" t="s">
        <v>148</v>
      </c>
      <c r="G572" s="13" t="s">
        <v>243</v>
      </c>
      <c r="H572" s="13" t="s">
        <v>139</v>
      </c>
      <c r="I572" s="13" t="s">
        <v>213</v>
      </c>
      <c r="J572" s="13" t="s">
        <v>76</v>
      </c>
      <c r="K572" s="13" t="s">
        <v>44</v>
      </c>
      <c r="L572" s="13" t="s">
        <v>78</v>
      </c>
      <c r="M572" s="15" t="s">
        <v>1562</v>
      </c>
      <c r="N572" s="11" t="s">
        <v>1410</v>
      </c>
    </row>
    <row r="573" spans="1:14" ht="15.75" customHeight="1" x14ac:dyDescent="0.15">
      <c r="A573" s="6" t="s">
        <v>1563</v>
      </c>
      <c r="B573" s="6" t="s">
        <v>340</v>
      </c>
      <c r="C573" s="7" t="s">
        <v>1564</v>
      </c>
      <c r="D573" s="8" t="s">
        <v>107</v>
      </c>
      <c r="E573" s="9">
        <v>36381</v>
      </c>
      <c r="F573" s="8" t="s">
        <v>30</v>
      </c>
      <c r="G573" s="8" t="s">
        <v>243</v>
      </c>
      <c r="H573" s="8" t="s">
        <v>156</v>
      </c>
      <c r="I573" s="8" t="s">
        <v>149</v>
      </c>
      <c r="J573" s="8" t="s">
        <v>34</v>
      </c>
      <c r="K573" s="8" t="s">
        <v>77</v>
      </c>
      <c r="L573" s="8" t="s">
        <v>244</v>
      </c>
      <c r="M573" s="10" t="s">
        <v>256</v>
      </c>
      <c r="N573" s="11" t="s">
        <v>1410</v>
      </c>
    </row>
    <row r="574" spans="1:14" ht="15.75" customHeight="1" x14ac:dyDescent="0.15">
      <c r="A574" s="12" t="s">
        <v>1565</v>
      </c>
      <c r="B574" s="12" t="s">
        <v>344</v>
      </c>
      <c r="C574" s="7" t="s">
        <v>1566</v>
      </c>
      <c r="D574" s="13" t="s">
        <v>17</v>
      </c>
      <c r="E574" s="14">
        <v>38866</v>
      </c>
      <c r="F574" s="13" t="s">
        <v>170</v>
      </c>
      <c r="G574" s="13" t="s">
        <v>131</v>
      </c>
      <c r="H574" s="13" t="s">
        <v>156</v>
      </c>
      <c r="I574" s="13" t="s">
        <v>213</v>
      </c>
      <c r="J574" s="13" t="s">
        <v>76</v>
      </c>
      <c r="K574" s="13" t="s">
        <v>44</v>
      </c>
      <c r="L574" s="13" t="s">
        <v>110</v>
      </c>
      <c r="M574" s="15" t="s">
        <v>605</v>
      </c>
      <c r="N574" s="11" t="s">
        <v>1410</v>
      </c>
    </row>
    <row r="575" spans="1:14" ht="15.75" customHeight="1" x14ac:dyDescent="0.15">
      <c r="A575" s="6" t="s">
        <v>1567</v>
      </c>
      <c r="B575" s="6" t="s">
        <v>347</v>
      </c>
      <c r="C575" s="7" t="s">
        <v>1568</v>
      </c>
      <c r="D575" s="8" t="s">
        <v>17</v>
      </c>
      <c r="E575" s="9">
        <v>37856</v>
      </c>
      <c r="F575" s="8" t="s">
        <v>186</v>
      </c>
      <c r="G575" s="8" t="s">
        <v>243</v>
      </c>
      <c r="H575" s="8" t="s">
        <v>32</v>
      </c>
      <c r="I575" s="8" t="s">
        <v>103</v>
      </c>
      <c r="J575" s="8" t="s">
        <v>22</v>
      </c>
      <c r="K575" s="8" t="s">
        <v>44</v>
      </c>
      <c r="L575" s="8" t="s">
        <v>55</v>
      </c>
      <c r="M575" s="10" t="s">
        <v>605</v>
      </c>
      <c r="N575" s="11" t="s">
        <v>1410</v>
      </c>
    </row>
    <row r="576" spans="1:14" ht="15.75" customHeight="1" x14ac:dyDescent="0.15">
      <c r="A576" s="12" t="s">
        <v>1569</v>
      </c>
      <c r="B576" s="12" t="s">
        <v>351</v>
      </c>
      <c r="C576" s="7" t="s">
        <v>1570</v>
      </c>
      <c r="D576" s="13" t="s">
        <v>39</v>
      </c>
      <c r="E576" s="14">
        <v>36419</v>
      </c>
      <c r="F576" s="13" t="s">
        <v>40</v>
      </c>
      <c r="G576" s="13" t="s">
        <v>138</v>
      </c>
      <c r="H576" s="13" t="s">
        <v>52</v>
      </c>
      <c r="I576" s="13" t="s">
        <v>213</v>
      </c>
      <c r="J576" s="13" t="s">
        <v>22</v>
      </c>
      <c r="K576" s="13" t="s">
        <v>77</v>
      </c>
      <c r="L576" s="13" t="s">
        <v>84</v>
      </c>
      <c r="M576" s="15" t="s">
        <v>628</v>
      </c>
      <c r="N576" s="11" t="s">
        <v>1410</v>
      </c>
    </row>
    <row r="577" spans="1:14" ht="15.75" customHeight="1" x14ac:dyDescent="0.15">
      <c r="A577" s="6" t="s">
        <v>1571</v>
      </c>
      <c r="B577" s="6" t="s">
        <v>481</v>
      </c>
      <c r="C577" s="7" t="s">
        <v>1572</v>
      </c>
      <c r="D577" s="8" t="s">
        <v>17</v>
      </c>
      <c r="E577" s="9">
        <v>37405</v>
      </c>
      <c r="F577" s="8" t="s">
        <v>137</v>
      </c>
      <c r="G577" s="8" t="s">
        <v>31</v>
      </c>
      <c r="H577" s="8" t="s">
        <v>102</v>
      </c>
      <c r="I577" s="8" t="s">
        <v>103</v>
      </c>
      <c r="J577" s="8" t="s">
        <v>54</v>
      </c>
      <c r="K577" s="8" t="s">
        <v>44</v>
      </c>
      <c r="L577" s="8" t="s">
        <v>116</v>
      </c>
      <c r="M577" s="10" t="s">
        <v>605</v>
      </c>
      <c r="N577" s="11" t="s">
        <v>1410</v>
      </c>
    </row>
    <row r="578" spans="1:14" ht="15.75" customHeight="1" x14ac:dyDescent="0.15">
      <c r="A578" s="6" t="s">
        <v>1573</v>
      </c>
      <c r="B578" s="12" t="s">
        <v>355</v>
      </c>
      <c r="C578" s="7" t="s">
        <v>1574</v>
      </c>
      <c r="D578" s="13" t="s">
        <v>49</v>
      </c>
      <c r="E578" s="14">
        <v>36364</v>
      </c>
      <c r="F578" s="13" t="s">
        <v>30</v>
      </c>
      <c r="G578" s="13" t="s">
        <v>131</v>
      </c>
      <c r="H578" s="13" t="s">
        <v>32</v>
      </c>
      <c r="I578" s="13" t="s">
        <v>115</v>
      </c>
      <c r="J578" s="13" t="s">
        <v>54</v>
      </c>
      <c r="K578" s="13" t="s">
        <v>44</v>
      </c>
      <c r="L578" s="13" t="s">
        <v>35</v>
      </c>
      <c r="M578" s="15" t="s">
        <v>628</v>
      </c>
      <c r="N578" s="11" t="s">
        <v>1410</v>
      </c>
    </row>
    <row r="579" spans="1:14" ht="15.75" customHeight="1" x14ac:dyDescent="0.15">
      <c r="A579" s="12" t="s">
        <v>1575</v>
      </c>
      <c r="B579" s="6" t="s">
        <v>484</v>
      </c>
      <c r="C579" s="7" t="s">
        <v>1576</v>
      </c>
      <c r="D579" s="8" t="s">
        <v>107</v>
      </c>
      <c r="E579" s="9">
        <v>37161</v>
      </c>
      <c r="F579" s="8" t="s">
        <v>137</v>
      </c>
      <c r="G579" s="8" t="s">
        <v>138</v>
      </c>
      <c r="H579" s="8" t="s">
        <v>42</v>
      </c>
      <c r="I579" s="8" t="s">
        <v>213</v>
      </c>
      <c r="J579" s="8" t="s">
        <v>54</v>
      </c>
      <c r="K579" s="8" t="s">
        <v>44</v>
      </c>
      <c r="L579" s="8" t="s">
        <v>218</v>
      </c>
      <c r="M579" s="10" t="s">
        <v>628</v>
      </c>
      <c r="N579" s="11" t="s">
        <v>1410</v>
      </c>
    </row>
    <row r="580" spans="1:14" ht="15.75" customHeight="1" x14ac:dyDescent="0.15">
      <c r="A580" s="6" t="s">
        <v>1577</v>
      </c>
      <c r="B580" s="12" t="s">
        <v>487</v>
      </c>
      <c r="C580" s="7" t="s">
        <v>1578</v>
      </c>
      <c r="D580" s="13" t="s">
        <v>17</v>
      </c>
      <c r="E580" s="14">
        <v>39135</v>
      </c>
      <c r="F580" s="13" t="s">
        <v>232</v>
      </c>
      <c r="G580" s="13" t="s">
        <v>131</v>
      </c>
      <c r="H580" s="13" t="s">
        <v>94</v>
      </c>
      <c r="I580" s="13" t="s">
        <v>313</v>
      </c>
      <c r="J580" s="13" t="s">
        <v>54</v>
      </c>
      <c r="K580" s="13" t="s">
        <v>44</v>
      </c>
      <c r="L580" s="13" t="s">
        <v>165</v>
      </c>
      <c r="M580" s="15" t="s">
        <v>605</v>
      </c>
      <c r="N580" s="11" t="s">
        <v>1410</v>
      </c>
    </row>
    <row r="581" spans="1:14" ht="15.75" customHeight="1" x14ac:dyDescent="0.15">
      <c r="A581" s="12" t="s">
        <v>1579</v>
      </c>
      <c r="B581" s="6" t="s">
        <v>491</v>
      </c>
      <c r="C581" s="7" t="s">
        <v>1580</v>
      </c>
      <c r="D581" s="8" t="s">
        <v>107</v>
      </c>
      <c r="E581" s="9">
        <v>38949</v>
      </c>
      <c r="F581" s="8" t="s">
        <v>170</v>
      </c>
      <c r="G581" s="8" t="s">
        <v>131</v>
      </c>
      <c r="H581" s="8" t="s">
        <v>369</v>
      </c>
      <c r="I581" s="8" t="s">
        <v>120</v>
      </c>
      <c r="J581" s="8" t="s">
        <v>54</v>
      </c>
      <c r="K581" s="8" t="s">
        <v>77</v>
      </c>
      <c r="L581" s="8" t="s">
        <v>663</v>
      </c>
      <c r="M581" s="10" t="s">
        <v>605</v>
      </c>
      <c r="N581" s="11" t="s">
        <v>1410</v>
      </c>
    </row>
    <row r="582" spans="1:14" ht="15.75" customHeight="1" x14ac:dyDescent="0.15">
      <c r="A582" s="6" t="s">
        <v>1581</v>
      </c>
      <c r="B582" s="12" t="s">
        <v>359</v>
      </c>
      <c r="C582" s="7" t="s">
        <v>1582</v>
      </c>
      <c r="D582" s="13" t="s">
        <v>17</v>
      </c>
      <c r="E582" s="14">
        <v>38659</v>
      </c>
      <c r="F582" s="13" t="s">
        <v>170</v>
      </c>
      <c r="G582" s="13" t="s">
        <v>138</v>
      </c>
      <c r="H582" s="13" t="s">
        <v>114</v>
      </c>
      <c r="I582" s="13" t="s">
        <v>337</v>
      </c>
      <c r="J582" s="13" t="s">
        <v>54</v>
      </c>
      <c r="K582" s="13" t="s">
        <v>23</v>
      </c>
      <c r="L582" s="13" t="s">
        <v>55</v>
      </c>
      <c r="M582" s="15" t="s">
        <v>605</v>
      </c>
      <c r="N582" s="11" t="s">
        <v>1410</v>
      </c>
    </row>
    <row r="583" spans="1:14" ht="15.75" customHeight="1" x14ac:dyDescent="0.15">
      <c r="A583" s="6" t="s">
        <v>1583</v>
      </c>
      <c r="B583" s="6" t="s">
        <v>364</v>
      </c>
      <c r="C583" s="7" t="s">
        <v>1584</v>
      </c>
      <c r="D583" s="8" t="s">
        <v>49</v>
      </c>
      <c r="E583" s="9">
        <v>37450</v>
      </c>
      <c r="F583" s="8" t="s">
        <v>137</v>
      </c>
      <c r="G583" s="8" t="s">
        <v>31</v>
      </c>
      <c r="H583" s="8" t="s">
        <v>102</v>
      </c>
      <c r="I583" s="8" t="s">
        <v>21</v>
      </c>
      <c r="J583" s="8" t="s">
        <v>22</v>
      </c>
      <c r="K583" s="8" t="s">
        <v>23</v>
      </c>
      <c r="L583" s="8" t="s">
        <v>45</v>
      </c>
      <c r="M583" s="10" t="s">
        <v>248</v>
      </c>
      <c r="N583" s="11" t="s">
        <v>1410</v>
      </c>
    </row>
    <row r="584" spans="1:14" ht="15.75" customHeight="1" x14ac:dyDescent="0.15">
      <c r="A584" s="12" t="s">
        <v>1585</v>
      </c>
      <c r="B584" s="12" t="s">
        <v>498</v>
      </c>
      <c r="C584" s="7" t="s">
        <v>1586</v>
      </c>
      <c r="D584" s="13" t="s">
        <v>17</v>
      </c>
      <c r="E584" s="14">
        <v>38536</v>
      </c>
      <c r="F584" s="13" t="s">
        <v>217</v>
      </c>
      <c r="G584" s="13" t="s">
        <v>138</v>
      </c>
      <c r="H584" s="13" t="s">
        <v>94</v>
      </c>
      <c r="I584" s="13" t="s">
        <v>33</v>
      </c>
      <c r="J584" s="13" t="s">
        <v>22</v>
      </c>
      <c r="K584" s="13" t="s">
        <v>44</v>
      </c>
      <c r="L584" s="13" t="s">
        <v>218</v>
      </c>
      <c r="M584" s="15" t="s">
        <v>605</v>
      </c>
      <c r="N584" s="11" t="s">
        <v>1410</v>
      </c>
    </row>
    <row r="585" spans="1:14" ht="15.75" customHeight="1" x14ac:dyDescent="0.15">
      <c r="A585" s="6" t="s">
        <v>1587</v>
      </c>
      <c r="B585" s="6" t="s">
        <v>367</v>
      </c>
      <c r="C585" s="7" t="s">
        <v>1588</v>
      </c>
      <c r="D585" s="8" t="s">
        <v>107</v>
      </c>
      <c r="E585" s="16">
        <v>36459</v>
      </c>
      <c r="F585" s="8" t="s">
        <v>40</v>
      </c>
      <c r="G585" s="8" t="s">
        <v>131</v>
      </c>
      <c r="H585" s="8" t="s">
        <v>88</v>
      </c>
      <c r="I585" s="8" t="s">
        <v>95</v>
      </c>
      <c r="J585" s="8" t="s">
        <v>54</v>
      </c>
      <c r="K585" s="8" t="s">
        <v>44</v>
      </c>
      <c r="L585" s="8" t="s">
        <v>133</v>
      </c>
      <c r="M585" s="10" t="s">
        <v>262</v>
      </c>
      <c r="N585" s="11" t="s">
        <v>1410</v>
      </c>
    </row>
    <row r="586" spans="1:14" ht="15.75" customHeight="1" x14ac:dyDescent="0.15">
      <c r="A586" s="12" t="s">
        <v>1589</v>
      </c>
      <c r="B586" s="12" t="s">
        <v>371</v>
      </c>
      <c r="C586" s="7" t="s">
        <v>1590</v>
      </c>
      <c r="D586" s="13" t="s">
        <v>49</v>
      </c>
      <c r="E586" s="14">
        <v>39214</v>
      </c>
      <c r="F586" s="13" t="s">
        <v>232</v>
      </c>
      <c r="G586" s="13" t="s">
        <v>93</v>
      </c>
      <c r="H586" s="13" t="s">
        <v>144</v>
      </c>
      <c r="I586" s="13" t="s">
        <v>470</v>
      </c>
      <c r="J586" s="13" t="s">
        <v>22</v>
      </c>
      <c r="K586" s="13" t="s">
        <v>44</v>
      </c>
      <c r="L586" s="13" t="s">
        <v>1006</v>
      </c>
      <c r="M586" s="15" t="s">
        <v>605</v>
      </c>
      <c r="N586" s="11" t="s">
        <v>1410</v>
      </c>
    </row>
    <row r="587" spans="1:14" ht="15.75" customHeight="1" x14ac:dyDescent="0.15">
      <c r="A587" s="6" t="s">
        <v>1591</v>
      </c>
      <c r="B587" s="6" t="s">
        <v>375</v>
      </c>
      <c r="C587" s="7" t="s">
        <v>1592</v>
      </c>
      <c r="D587" s="8" t="s">
        <v>107</v>
      </c>
      <c r="E587" s="9">
        <v>37134</v>
      </c>
      <c r="F587" s="8" t="s">
        <v>203</v>
      </c>
      <c r="G587" s="8" t="s">
        <v>138</v>
      </c>
      <c r="H587" s="8" t="s">
        <v>20</v>
      </c>
      <c r="I587" s="8" t="s">
        <v>192</v>
      </c>
      <c r="J587" s="8" t="s">
        <v>22</v>
      </c>
      <c r="K587" s="8" t="s">
        <v>44</v>
      </c>
      <c r="L587" s="8" t="s">
        <v>165</v>
      </c>
      <c r="M587" s="10" t="s">
        <v>161</v>
      </c>
      <c r="N587" s="11" t="s">
        <v>1410</v>
      </c>
    </row>
    <row r="588" spans="1:14" ht="15.75" customHeight="1" x14ac:dyDescent="0.15">
      <c r="A588" s="6" t="s">
        <v>1593</v>
      </c>
      <c r="B588" s="12" t="s">
        <v>509</v>
      </c>
      <c r="C588" s="7" t="s">
        <v>1594</v>
      </c>
      <c r="D588" s="13" t="s">
        <v>107</v>
      </c>
      <c r="E588" s="14">
        <v>38922</v>
      </c>
      <c r="F588" s="13" t="s">
        <v>170</v>
      </c>
      <c r="G588" s="13" t="s">
        <v>131</v>
      </c>
      <c r="H588" s="13" t="s">
        <v>156</v>
      </c>
      <c r="I588" s="13" t="s">
        <v>127</v>
      </c>
      <c r="J588" s="13" t="s">
        <v>76</v>
      </c>
      <c r="K588" s="13" t="s">
        <v>44</v>
      </c>
      <c r="L588" s="13" t="s">
        <v>301</v>
      </c>
      <c r="M588" s="15" t="s">
        <v>605</v>
      </c>
      <c r="N588" s="11" t="s">
        <v>1410</v>
      </c>
    </row>
    <row r="589" spans="1:14" ht="15.75" customHeight="1" x14ac:dyDescent="0.15">
      <c r="A589" s="12" t="s">
        <v>1595</v>
      </c>
      <c r="B589" s="6" t="s">
        <v>512</v>
      </c>
      <c r="C589" s="7" t="s">
        <v>1596</v>
      </c>
      <c r="D589" s="8" t="s">
        <v>107</v>
      </c>
      <c r="E589" s="9">
        <v>37423</v>
      </c>
      <c r="F589" s="8" t="s">
        <v>137</v>
      </c>
      <c r="G589" s="8" t="s">
        <v>131</v>
      </c>
      <c r="H589" s="8" t="s">
        <v>579</v>
      </c>
      <c r="I589" s="8" t="s">
        <v>61</v>
      </c>
      <c r="J589" s="8" t="s">
        <v>34</v>
      </c>
      <c r="K589" s="8" t="s">
        <v>44</v>
      </c>
      <c r="L589" s="8" t="s">
        <v>244</v>
      </c>
      <c r="M589" s="10" t="s">
        <v>628</v>
      </c>
      <c r="N589" s="11" t="s">
        <v>1410</v>
      </c>
    </row>
    <row r="590" spans="1:14" ht="15.75" customHeight="1" x14ac:dyDescent="0.15">
      <c r="A590" s="6" t="s">
        <v>1597</v>
      </c>
      <c r="B590" s="12" t="s">
        <v>515</v>
      </c>
      <c r="C590" s="7" t="s">
        <v>1598</v>
      </c>
      <c r="D590" s="13" t="s">
        <v>107</v>
      </c>
      <c r="E590" s="14">
        <v>38026</v>
      </c>
      <c r="F590" s="13" t="s">
        <v>92</v>
      </c>
      <c r="G590" s="13" t="s">
        <v>243</v>
      </c>
      <c r="H590" s="13" t="s">
        <v>171</v>
      </c>
      <c r="I590" s="13" t="s">
        <v>470</v>
      </c>
      <c r="J590" s="13" t="s">
        <v>76</v>
      </c>
      <c r="K590" s="13" t="s">
        <v>44</v>
      </c>
      <c r="L590" s="13" t="s">
        <v>55</v>
      </c>
      <c r="M590" s="15" t="s">
        <v>605</v>
      </c>
      <c r="N590" s="11" t="s">
        <v>1410</v>
      </c>
    </row>
    <row r="591" spans="1:14" ht="15.75" customHeight="1" x14ac:dyDescent="0.15">
      <c r="A591" s="12" t="s">
        <v>1599</v>
      </c>
      <c r="B591" s="6" t="s">
        <v>518</v>
      </c>
      <c r="C591" s="7" t="s">
        <v>1600</v>
      </c>
      <c r="D591" s="8" t="s">
        <v>107</v>
      </c>
      <c r="E591" s="9">
        <v>37411</v>
      </c>
      <c r="F591" s="8" t="s">
        <v>137</v>
      </c>
      <c r="G591" s="8" t="s">
        <v>131</v>
      </c>
      <c r="H591" s="8" t="s">
        <v>196</v>
      </c>
      <c r="I591" s="8" t="s">
        <v>342</v>
      </c>
      <c r="J591" s="8" t="s">
        <v>22</v>
      </c>
      <c r="K591" s="8" t="s">
        <v>44</v>
      </c>
      <c r="L591" s="8" t="s">
        <v>35</v>
      </c>
      <c r="M591" s="10" t="s">
        <v>628</v>
      </c>
      <c r="N591" s="11" t="s">
        <v>1410</v>
      </c>
    </row>
    <row r="592" spans="1:14" ht="15.75" customHeight="1" x14ac:dyDescent="0.15">
      <c r="A592" s="6" t="s">
        <v>1601</v>
      </c>
      <c r="B592" s="12" t="s">
        <v>521</v>
      </c>
      <c r="C592" s="7" t="s">
        <v>1602</v>
      </c>
      <c r="D592" s="13" t="s">
        <v>107</v>
      </c>
      <c r="E592" s="14">
        <v>36593</v>
      </c>
      <c r="F592" s="13" t="s">
        <v>40</v>
      </c>
      <c r="G592" s="13" t="s">
        <v>138</v>
      </c>
      <c r="H592" s="13" t="s">
        <v>20</v>
      </c>
      <c r="I592" s="13" t="s">
        <v>95</v>
      </c>
      <c r="J592" s="13" t="s">
        <v>54</v>
      </c>
      <c r="K592" s="13" t="s">
        <v>44</v>
      </c>
      <c r="L592" s="13" t="s">
        <v>218</v>
      </c>
      <c r="M592" s="15" t="s">
        <v>161</v>
      </c>
      <c r="N592" s="11" t="s">
        <v>1410</v>
      </c>
    </row>
    <row r="593" spans="1:14" ht="15.75" customHeight="1" x14ac:dyDescent="0.15">
      <c r="A593" s="6" t="s">
        <v>1603</v>
      </c>
      <c r="B593" s="6" t="s">
        <v>526</v>
      </c>
      <c r="C593" s="7" t="s">
        <v>1604</v>
      </c>
      <c r="D593" s="8" t="s">
        <v>39</v>
      </c>
      <c r="E593" s="9">
        <v>37453</v>
      </c>
      <c r="F593" s="8" t="s">
        <v>137</v>
      </c>
      <c r="G593" s="8" t="s">
        <v>131</v>
      </c>
      <c r="H593" s="8" t="s">
        <v>114</v>
      </c>
      <c r="I593" s="8" t="s">
        <v>197</v>
      </c>
      <c r="J593" s="8" t="s">
        <v>54</v>
      </c>
      <c r="K593" s="8" t="s">
        <v>44</v>
      </c>
      <c r="L593" s="8" t="s">
        <v>187</v>
      </c>
      <c r="M593" s="10" t="s">
        <v>628</v>
      </c>
      <c r="N593" s="11" t="s">
        <v>1410</v>
      </c>
    </row>
    <row r="594" spans="1:14" ht="15.75" customHeight="1" x14ac:dyDescent="0.15">
      <c r="A594" s="12" t="s">
        <v>1605</v>
      </c>
      <c r="B594" s="12" t="s">
        <v>1606</v>
      </c>
      <c r="C594" s="7" t="s">
        <v>1607</v>
      </c>
      <c r="D594" s="13" t="s">
        <v>17</v>
      </c>
      <c r="E594" s="14">
        <v>39343</v>
      </c>
      <c r="F594" s="13" t="s">
        <v>571</v>
      </c>
      <c r="G594" s="13" t="s">
        <v>93</v>
      </c>
      <c r="H594" s="13" t="s">
        <v>837</v>
      </c>
      <c r="I594" s="13" t="s">
        <v>361</v>
      </c>
      <c r="J594" s="13" t="s">
        <v>76</v>
      </c>
      <c r="K594" s="13" t="s">
        <v>23</v>
      </c>
      <c r="L594" s="13" t="s">
        <v>297</v>
      </c>
      <c r="M594" s="15" t="s">
        <v>605</v>
      </c>
      <c r="N594" s="11" t="s">
        <v>1410</v>
      </c>
    </row>
    <row r="595" spans="1:14" ht="15.75" customHeight="1" x14ac:dyDescent="0.15">
      <c r="A595" s="6" t="s">
        <v>1608</v>
      </c>
      <c r="B595" s="6" t="s">
        <v>529</v>
      </c>
      <c r="C595" s="7" t="s">
        <v>1609</v>
      </c>
      <c r="D595" s="8" t="s">
        <v>107</v>
      </c>
      <c r="E595" s="9">
        <v>38003</v>
      </c>
      <c r="F595" s="8" t="s">
        <v>92</v>
      </c>
      <c r="G595" s="8" t="s">
        <v>243</v>
      </c>
      <c r="H595" s="8" t="s">
        <v>579</v>
      </c>
      <c r="I595" s="8" t="s">
        <v>115</v>
      </c>
      <c r="J595" s="8" t="s">
        <v>22</v>
      </c>
      <c r="K595" s="8" t="s">
        <v>44</v>
      </c>
      <c r="L595" s="8" t="s">
        <v>218</v>
      </c>
      <c r="M595" s="10" t="s">
        <v>605</v>
      </c>
      <c r="N595" s="11" t="s">
        <v>1410</v>
      </c>
    </row>
    <row r="596" spans="1:14" ht="15.75" customHeight="1" x14ac:dyDescent="0.15">
      <c r="A596" s="12" t="s">
        <v>1610</v>
      </c>
      <c r="B596" s="12" t="s">
        <v>531</v>
      </c>
      <c r="C596" s="7" t="s">
        <v>1611</v>
      </c>
      <c r="D596" s="13" t="s">
        <v>107</v>
      </c>
      <c r="E596" s="14">
        <v>37800</v>
      </c>
      <c r="F596" s="13" t="s">
        <v>186</v>
      </c>
      <c r="G596" s="13" t="s">
        <v>93</v>
      </c>
      <c r="H596" s="13" t="s">
        <v>156</v>
      </c>
      <c r="I596" s="13" t="s">
        <v>157</v>
      </c>
      <c r="J596" s="13" t="s">
        <v>54</v>
      </c>
      <c r="K596" s="13" t="s">
        <v>23</v>
      </c>
      <c r="L596" s="13" t="s">
        <v>297</v>
      </c>
      <c r="M596" s="15" t="s">
        <v>628</v>
      </c>
      <c r="N596" s="11" t="s">
        <v>1410</v>
      </c>
    </row>
    <row r="597" spans="1:14" ht="15.75" customHeight="1" x14ac:dyDescent="0.15">
      <c r="A597" s="6" t="s">
        <v>1612</v>
      </c>
      <c r="B597" s="6" t="s">
        <v>533</v>
      </c>
      <c r="C597" s="7" t="s">
        <v>1613</v>
      </c>
      <c r="D597" s="8" t="s">
        <v>39</v>
      </c>
      <c r="E597" s="9">
        <v>38935</v>
      </c>
      <c r="F597" s="8" t="s">
        <v>170</v>
      </c>
      <c r="G597" s="8" t="s">
        <v>131</v>
      </c>
      <c r="H597" s="8" t="s">
        <v>20</v>
      </c>
      <c r="I597" s="8" t="s">
        <v>1190</v>
      </c>
      <c r="J597" s="8" t="s">
        <v>22</v>
      </c>
      <c r="K597" s="8" t="s">
        <v>23</v>
      </c>
      <c r="L597" s="8" t="s">
        <v>301</v>
      </c>
      <c r="M597" s="10" t="s">
        <v>605</v>
      </c>
      <c r="N597" s="11" t="s">
        <v>1410</v>
      </c>
    </row>
    <row r="598" spans="1:14" ht="15.75" customHeight="1" x14ac:dyDescent="0.15">
      <c r="A598" s="6" t="s">
        <v>1614</v>
      </c>
      <c r="B598" s="12" t="s">
        <v>536</v>
      </c>
      <c r="C598" s="7" t="s">
        <v>1615</v>
      </c>
      <c r="D598" s="13" t="s">
        <v>107</v>
      </c>
      <c r="E598" s="14">
        <v>37931</v>
      </c>
      <c r="F598" s="13" t="s">
        <v>92</v>
      </c>
      <c r="G598" s="13" t="s">
        <v>243</v>
      </c>
      <c r="H598" s="13" t="s">
        <v>108</v>
      </c>
      <c r="I598" s="13" t="s">
        <v>127</v>
      </c>
      <c r="J598" s="13" t="s">
        <v>76</v>
      </c>
      <c r="K598" s="13" t="s">
        <v>23</v>
      </c>
      <c r="L598" s="13" t="s">
        <v>35</v>
      </c>
      <c r="M598" s="15" t="s">
        <v>605</v>
      </c>
      <c r="N598" s="11" t="s">
        <v>1410</v>
      </c>
    </row>
    <row r="599" spans="1:14" ht="15.75" customHeight="1" x14ac:dyDescent="0.15">
      <c r="A599" s="12" t="s">
        <v>1616</v>
      </c>
      <c r="B599" s="6" t="s">
        <v>538</v>
      </c>
      <c r="C599" s="7" t="s">
        <v>1617</v>
      </c>
      <c r="D599" s="8" t="s">
        <v>107</v>
      </c>
      <c r="E599" s="16">
        <v>39007</v>
      </c>
      <c r="F599" s="8" t="s">
        <v>232</v>
      </c>
      <c r="G599" s="8" t="s">
        <v>131</v>
      </c>
      <c r="H599" s="8" t="s">
        <v>196</v>
      </c>
      <c r="I599" s="8" t="s">
        <v>103</v>
      </c>
      <c r="J599" s="8" t="s">
        <v>150</v>
      </c>
      <c r="K599" s="8" t="s">
        <v>77</v>
      </c>
      <c r="L599" s="8" t="s">
        <v>70</v>
      </c>
      <c r="M599" s="10" t="s">
        <v>605</v>
      </c>
      <c r="N599" s="11" t="s">
        <v>1410</v>
      </c>
    </row>
    <row r="600" spans="1:14" ht="15.75" customHeight="1" x14ac:dyDescent="0.15">
      <c r="A600" s="6" t="s">
        <v>1618</v>
      </c>
      <c r="B600" s="12" t="s">
        <v>541</v>
      </c>
      <c r="C600" s="7" t="s">
        <v>1619</v>
      </c>
      <c r="D600" s="13" t="s">
        <v>17</v>
      </c>
      <c r="E600" s="14">
        <v>39265</v>
      </c>
      <c r="F600" s="13" t="s">
        <v>232</v>
      </c>
      <c r="G600" s="13" t="s">
        <v>93</v>
      </c>
      <c r="H600" s="13" t="s">
        <v>179</v>
      </c>
      <c r="I600" s="13" t="s">
        <v>582</v>
      </c>
      <c r="J600" s="13" t="s">
        <v>150</v>
      </c>
      <c r="K600" s="13" t="s">
        <v>44</v>
      </c>
      <c r="L600" s="13" t="s">
        <v>110</v>
      </c>
      <c r="M600" s="15" t="s">
        <v>605</v>
      </c>
      <c r="N600" s="11" t="s">
        <v>1410</v>
      </c>
    </row>
    <row r="601" spans="1:14" ht="15.75" customHeight="1" x14ac:dyDescent="0.15">
      <c r="A601" s="12" t="s">
        <v>1620</v>
      </c>
      <c r="B601" s="6" t="s">
        <v>543</v>
      </c>
      <c r="C601" s="7" t="s">
        <v>1621</v>
      </c>
      <c r="D601" s="8" t="s">
        <v>39</v>
      </c>
      <c r="E601" s="9">
        <v>36998</v>
      </c>
      <c r="F601" s="8" t="s">
        <v>203</v>
      </c>
      <c r="G601" s="8" t="s">
        <v>93</v>
      </c>
      <c r="H601" s="8" t="s">
        <v>114</v>
      </c>
      <c r="I601" s="8" t="s">
        <v>109</v>
      </c>
      <c r="J601" s="8" t="s">
        <v>76</v>
      </c>
      <c r="K601" s="8" t="s">
        <v>44</v>
      </c>
      <c r="L601" s="8" t="s">
        <v>45</v>
      </c>
      <c r="M601" s="10" t="s">
        <v>628</v>
      </c>
      <c r="N601" s="11" t="s">
        <v>1410</v>
      </c>
    </row>
    <row r="602" spans="1:14" ht="15.75" customHeight="1" x14ac:dyDescent="0.15">
      <c r="A602" s="6" t="s">
        <v>1622</v>
      </c>
      <c r="B602" s="12" t="s">
        <v>545</v>
      </c>
      <c r="C602" s="7" t="s">
        <v>1623</v>
      </c>
      <c r="D602" s="13" t="s">
        <v>107</v>
      </c>
      <c r="E602" s="14">
        <v>38855</v>
      </c>
      <c r="F602" s="13" t="s">
        <v>170</v>
      </c>
      <c r="G602" s="13" t="s">
        <v>131</v>
      </c>
      <c r="H602" s="13" t="s">
        <v>108</v>
      </c>
      <c r="I602" s="13" t="s">
        <v>213</v>
      </c>
      <c r="J602" s="13" t="s">
        <v>22</v>
      </c>
      <c r="K602" s="13" t="s">
        <v>44</v>
      </c>
      <c r="L602" s="13" t="s">
        <v>158</v>
      </c>
      <c r="M602" s="15" t="s">
        <v>605</v>
      </c>
      <c r="N602" s="11" t="s">
        <v>1410</v>
      </c>
    </row>
    <row r="603" spans="1:14" ht="15.75" customHeight="1" x14ac:dyDescent="0.15">
      <c r="A603" s="6" t="s">
        <v>1624</v>
      </c>
      <c r="B603" s="6" t="s">
        <v>551</v>
      </c>
      <c r="C603" s="7" t="s">
        <v>1625</v>
      </c>
      <c r="D603" s="8" t="s">
        <v>39</v>
      </c>
      <c r="E603" s="9">
        <v>36718</v>
      </c>
      <c r="F603" s="8" t="s">
        <v>40</v>
      </c>
      <c r="G603" s="8" t="s">
        <v>41</v>
      </c>
      <c r="H603" s="8" t="s">
        <v>144</v>
      </c>
      <c r="I603" s="8" t="s">
        <v>804</v>
      </c>
      <c r="J603" s="8" t="s">
        <v>76</v>
      </c>
      <c r="K603" s="8" t="s">
        <v>23</v>
      </c>
      <c r="L603" s="8" t="s">
        <v>55</v>
      </c>
      <c r="M603" s="10" t="s">
        <v>928</v>
      </c>
      <c r="N603" s="11" t="s">
        <v>1410</v>
      </c>
    </row>
    <row r="604" spans="1:14" ht="15.75" customHeight="1" x14ac:dyDescent="0.15">
      <c r="A604" s="12" t="s">
        <v>1626</v>
      </c>
      <c r="B604" s="12" t="s">
        <v>553</v>
      </c>
      <c r="C604" s="7" t="s">
        <v>1627</v>
      </c>
      <c r="D604" s="13" t="s">
        <v>107</v>
      </c>
      <c r="E604" s="14">
        <v>39244</v>
      </c>
      <c r="F604" s="13" t="s">
        <v>232</v>
      </c>
      <c r="G604" s="13" t="s">
        <v>93</v>
      </c>
      <c r="H604" s="13" t="s">
        <v>88</v>
      </c>
      <c r="I604" s="13" t="s">
        <v>385</v>
      </c>
      <c r="J604" s="13" t="s">
        <v>54</v>
      </c>
      <c r="K604" s="13" t="s">
        <v>44</v>
      </c>
      <c r="L604" s="13" t="s">
        <v>35</v>
      </c>
      <c r="M604" s="15" t="s">
        <v>605</v>
      </c>
      <c r="N604" s="11" t="s">
        <v>1410</v>
      </c>
    </row>
    <row r="605" spans="1:14" ht="15.75" customHeight="1" x14ac:dyDescent="0.15">
      <c r="A605" s="6" t="s">
        <v>1628</v>
      </c>
      <c r="B605" s="6" t="s">
        <v>557</v>
      </c>
      <c r="C605" s="7" t="s">
        <v>1629</v>
      </c>
      <c r="D605" s="8" t="s">
        <v>107</v>
      </c>
      <c r="E605" s="16">
        <v>37586</v>
      </c>
      <c r="F605" s="8" t="s">
        <v>186</v>
      </c>
      <c r="G605" s="8" t="s">
        <v>31</v>
      </c>
      <c r="H605" s="8" t="s">
        <v>88</v>
      </c>
      <c r="I605" s="8" t="s">
        <v>127</v>
      </c>
      <c r="J605" s="8" t="s">
        <v>76</v>
      </c>
      <c r="K605" s="8" t="s">
        <v>23</v>
      </c>
      <c r="L605" s="8" t="s">
        <v>35</v>
      </c>
      <c r="M605" s="10" t="s">
        <v>349</v>
      </c>
      <c r="N605" s="11" t="s">
        <v>1410</v>
      </c>
    </row>
    <row r="606" spans="1:14" ht="15.75" customHeight="1" x14ac:dyDescent="0.15">
      <c r="A606" s="12" t="s">
        <v>1630</v>
      </c>
      <c r="B606" s="12" t="s">
        <v>559</v>
      </c>
      <c r="C606" s="7" t="s">
        <v>1631</v>
      </c>
      <c r="D606" s="13" t="s">
        <v>39</v>
      </c>
      <c r="E606" s="14">
        <v>39393</v>
      </c>
      <c r="F606" s="13" t="s">
        <v>571</v>
      </c>
      <c r="G606" s="13" t="s">
        <v>93</v>
      </c>
      <c r="H606" s="13" t="s">
        <v>369</v>
      </c>
      <c r="I606" s="13" t="s">
        <v>489</v>
      </c>
      <c r="J606" s="13" t="s">
        <v>150</v>
      </c>
      <c r="K606" s="13" t="s">
        <v>44</v>
      </c>
      <c r="L606" s="13" t="s">
        <v>324</v>
      </c>
      <c r="M606" s="15" t="s">
        <v>605</v>
      </c>
      <c r="N606" s="11" t="s">
        <v>1410</v>
      </c>
    </row>
    <row r="607" spans="1:14" ht="15.75" customHeight="1" x14ac:dyDescent="0.15">
      <c r="A607" s="6" t="s">
        <v>1632</v>
      </c>
      <c r="B607" s="6" t="s">
        <v>563</v>
      </c>
      <c r="C607" s="7" t="s">
        <v>1633</v>
      </c>
      <c r="D607" s="8" t="s">
        <v>17</v>
      </c>
      <c r="E607" s="9">
        <v>38175</v>
      </c>
      <c r="F607" s="8" t="s">
        <v>92</v>
      </c>
      <c r="G607" s="8" t="s">
        <v>41</v>
      </c>
      <c r="H607" s="8" t="s">
        <v>68</v>
      </c>
      <c r="I607" s="8" t="s">
        <v>265</v>
      </c>
      <c r="J607" s="8" t="s">
        <v>34</v>
      </c>
      <c r="K607" s="8" t="s">
        <v>44</v>
      </c>
      <c r="L607" s="8" t="s">
        <v>55</v>
      </c>
      <c r="M607" s="10" t="s">
        <v>605</v>
      </c>
      <c r="N607" s="11" t="s">
        <v>1410</v>
      </c>
    </row>
    <row r="608" spans="1:14" ht="15.75" customHeight="1" x14ac:dyDescent="0.15">
      <c r="A608" s="6" t="s">
        <v>1634</v>
      </c>
      <c r="B608" s="12" t="s">
        <v>567</v>
      </c>
      <c r="C608" s="7" t="s">
        <v>1635</v>
      </c>
      <c r="D608" s="13" t="s">
        <v>107</v>
      </c>
      <c r="E608" s="14">
        <v>38572</v>
      </c>
      <c r="F608" s="13" t="s">
        <v>217</v>
      </c>
      <c r="G608" s="13" t="s">
        <v>138</v>
      </c>
      <c r="H608" s="13" t="s">
        <v>94</v>
      </c>
      <c r="I608" s="13" t="s">
        <v>265</v>
      </c>
      <c r="J608" s="13" t="s">
        <v>54</v>
      </c>
      <c r="K608" s="13" t="s">
        <v>77</v>
      </c>
      <c r="L608" s="13" t="s">
        <v>390</v>
      </c>
      <c r="M608" s="15" t="s">
        <v>605</v>
      </c>
      <c r="N608" s="11" t="s">
        <v>1410</v>
      </c>
    </row>
    <row r="609" spans="1:14" ht="15.75" customHeight="1" x14ac:dyDescent="0.15">
      <c r="A609" s="12" t="s">
        <v>1636</v>
      </c>
      <c r="B609" s="6" t="s">
        <v>569</v>
      </c>
      <c r="C609" s="7" t="s">
        <v>1637</v>
      </c>
      <c r="D609" s="8" t="s">
        <v>107</v>
      </c>
      <c r="E609" s="9">
        <v>38196</v>
      </c>
      <c r="F609" s="8" t="s">
        <v>92</v>
      </c>
      <c r="G609" s="8" t="s">
        <v>41</v>
      </c>
      <c r="H609" s="8" t="s">
        <v>88</v>
      </c>
      <c r="I609" s="8" t="s">
        <v>43</v>
      </c>
      <c r="J609" s="8" t="s">
        <v>34</v>
      </c>
      <c r="K609" s="8" t="s">
        <v>44</v>
      </c>
      <c r="L609" s="8" t="s">
        <v>55</v>
      </c>
      <c r="M609" s="10" t="s">
        <v>605</v>
      </c>
      <c r="N609" s="11" t="s">
        <v>1410</v>
      </c>
    </row>
    <row r="610" spans="1:14" ht="15.75" customHeight="1" x14ac:dyDescent="0.15">
      <c r="A610" s="6" t="s">
        <v>1638</v>
      </c>
      <c r="B610" s="12" t="s">
        <v>573</v>
      </c>
      <c r="C610" s="7" t="s">
        <v>1639</v>
      </c>
      <c r="D610" s="13" t="s">
        <v>107</v>
      </c>
      <c r="E610" s="14">
        <v>38178</v>
      </c>
      <c r="F610" s="13" t="s">
        <v>92</v>
      </c>
      <c r="G610" s="13" t="s">
        <v>41</v>
      </c>
      <c r="H610" s="13" t="s">
        <v>179</v>
      </c>
      <c r="I610" s="13" t="s">
        <v>21</v>
      </c>
      <c r="J610" s="13" t="s">
        <v>22</v>
      </c>
      <c r="K610" s="13" t="s">
        <v>44</v>
      </c>
      <c r="L610" s="13" t="s">
        <v>78</v>
      </c>
      <c r="M610" s="15" t="s">
        <v>605</v>
      </c>
      <c r="N610" s="11" t="s">
        <v>1410</v>
      </c>
    </row>
    <row r="611" spans="1:14" ht="15.75" customHeight="1" x14ac:dyDescent="0.15">
      <c r="A611" s="12" t="s">
        <v>1640</v>
      </c>
      <c r="B611" s="6" t="s">
        <v>575</v>
      </c>
      <c r="C611" s="7" t="s">
        <v>1641</v>
      </c>
      <c r="D611" s="8" t="s">
        <v>107</v>
      </c>
      <c r="E611" s="9">
        <v>38354</v>
      </c>
      <c r="F611" s="8" t="s">
        <v>217</v>
      </c>
      <c r="G611" s="8" t="s">
        <v>41</v>
      </c>
      <c r="H611" s="8" t="s">
        <v>42</v>
      </c>
      <c r="I611" s="8" t="s">
        <v>33</v>
      </c>
      <c r="J611" s="8" t="s">
        <v>76</v>
      </c>
      <c r="K611" s="8" t="s">
        <v>44</v>
      </c>
      <c r="L611" s="8" t="s">
        <v>218</v>
      </c>
      <c r="M611" s="10" t="s">
        <v>605</v>
      </c>
      <c r="N611" s="11" t="s">
        <v>1410</v>
      </c>
    </row>
    <row r="612" spans="1:14" ht="15.75" customHeight="1" x14ac:dyDescent="0.15">
      <c r="A612" s="6" t="s">
        <v>1642</v>
      </c>
      <c r="B612" s="12" t="s">
        <v>585</v>
      </c>
      <c r="C612" s="7" t="s">
        <v>1643</v>
      </c>
      <c r="D612" s="13" t="s">
        <v>39</v>
      </c>
      <c r="E612" s="14">
        <v>36628</v>
      </c>
      <c r="F612" s="13" t="s">
        <v>40</v>
      </c>
      <c r="G612" s="13" t="s">
        <v>41</v>
      </c>
      <c r="H612" s="13" t="s">
        <v>88</v>
      </c>
      <c r="I612" s="13" t="s">
        <v>382</v>
      </c>
      <c r="J612" s="13" t="s">
        <v>54</v>
      </c>
      <c r="K612" s="13" t="s">
        <v>44</v>
      </c>
      <c r="L612" s="13" t="s">
        <v>55</v>
      </c>
      <c r="M612" s="15" t="s">
        <v>628</v>
      </c>
      <c r="N612" s="11" t="s">
        <v>1410</v>
      </c>
    </row>
    <row r="613" spans="1:14" ht="15.75" customHeight="1" x14ac:dyDescent="0.15">
      <c r="A613" s="6" t="s">
        <v>1644</v>
      </c>
      <c r="B613" s="6" t="s">
        <v>591</v>
      </c>
      <c r="C613" s="7" t="s">
        <v>1645</v>
      </c>
      <c r="D613" s="8" t="s">
        <v>39</v>
      </c>
      <c r="E613" s="9">
        <v>38084</v>
      </c>
      <c r="F613" s="8" t="s">
        <v>92</v>
      </c>
      <c r="G613" s="8" t="s">
        <v>41</v>
      </c>
      <c r="H613" s="8" t="s">
        <v>144</v>
      </c>
      <c r="I613" s="8" t="s">
        <v>75</v>
      </c>
      <c r="J613" s="8" t="s">
        <v>54</v>
      </c>
      <c r="K613" s="8" t="s">
        <v>44</v>
      </c>
      <c r="L613" s="8" t="s">
        <v>218</v>
      </c>
      <c r="M613" s="10" t="s">
        <v>605</v>
      </c>
      <c r="N613" s="11" t="s">
        <v>1410</v>
      </c>
    </row>
    <row r="614" spans="1:14" ht="15.75" customHeight="1" x14ac:dyDescent="0.15">
      <c r="A614" s="12" t="s">
        <v>1646</v>
      </c>
      <c r="B614" s="12" t="s">
        <v>593</v>
      </c>
      <c r="C614" s="7" t="s">
        <v>1647</v>
      </c>
      <c r="D614" s="13" t="s">
        <v>107</v>
      </c>
      <c r="E614" s="14">
        <v>38424</v>
      </c>
      <c r="F614" s="13" t="s">
        <v>217</v>
      </c>
      <c r="G614" s="13" t="s">
        <v>41</v>
      </c>
      <c r="H614" s="13" t="s">
        <v>108</v>
      </c>
      <c r="I614" s="13" t="s">
        <v>470</v>
      </c>
      <c r="J614" s="13" t="s">
        <v>76</v>
      </c>
      <c r="K614" s="13" t="s">
        <v>23</v>
      </c>
      <c r="L614" s="13" t="s">
        <v>45</v>
      </c>
      <c r="M614" s="15" t="s">
        <v>605</v>
      </c>
      <c r="N614" s="11" t="s">
        <v>1410</v>
      </c>
    </row>
    <row r="615" spans="1:14" ht="15.75" customHeight="1" x14ac:dyDescent="0.15">
      <c r="A615" s="6" t="s">
        <v>1648</v>
      </c>
      <c r="B615" s="6" t="s">
        <v>597</v>
      </c>
      <c r="C615" s="7" t="s">
        <v>1649</v>
      </c>
      <c r="D615" s="8" t="s">
        <v>17</v>
      </c>
      <c r="E615" s="9">
        <v>36697</v>
      </c>
      <c r="F615" s="8" t="s">
        <v>40</v>
      </c>
      <c r="G615" s="8" t="s">
        <v>41</v>
      </c>
      <c r="H615" s="8" t="s">
        <v>446</v>
      </c>
      <c r="I615" s="8" t="s">
        <v>140</v>
      </c>
      <c r="J615" s="8" t="s">
        <v>22</v>
      </c>
      <c r="K615" s="8" t="s">
        <v>23</v>
      </c>
      <c r="L615" s="8" t="s">
        <v>121</v>
      </c>
      <c r="M615" s="10" t="s">
        <v>628</v>
      </c>
      <c r="N615" s="11" t="s">
        <v>1410</v>
      </c>
    </row>
    <row r="616" spans="1:14" ht="15.75" customHeight="1" x14ac:dyDescent="0.15">
      <c r="A616" s="12" t="s">
        <v>1650</v>
      </c>
      <c r="B616" s="12" t="s">
        <v>599</v>
      </c>
      <c r="C616" s="7" t="s">
        <v>1651</v>
      </c>
      <c r="D616" s="13" t="s">
        <v>49</v>
      </c>
      <c r="E616" s="14">
        <v>38134</v>
      </c>
      <c r="F616" s="13" t="s">
        <v>92</v>
      </c>
      <c r="G616" s="13" t="s">
        <v>41</v>
      </c>
      <c r="H616" s="13" t="s">
        <v>88</v>
      </c>
      <c r="I616" s="13" t="s">
        <v>1021</v>
      </c>
      <c r="J616" s="13" t="s">
        <v>76</v>
      </c>
      <c r="K616" s="13" t="s">
        <v>44</v>
      </c>
      <c r="L616" s="13" t="s">
        <v>301</v>
      </c>
      <c r="M616" s="15" t="s">
        <v>605</v>
      </c>
      <c r="N616" s="11" t="s">
        <v>1410</v>
      </c>
    </row>
    <row r="617" spans="1:14" ht="15.75" customHeight="1" x14ac:dyDescent="0.15">
      <c r="A617" s="6" t="s">
        <v>1652</v>
      </c>
      <c r="B617" s="6" t="s">
        <v>606</v>
      </c>
      <c r="C617" s="7" t="s">
        <v>1653</v>
      </c>
      <c r="D617" s="8" t="s">
        <v>39</v>
      </c>
      <c r="E617" s="9">
        <v>39168</v>
      </c>
      <c r="F617" s="8" t="s">
        <v>232</v>
      </c>
      <c r="G617" s="8" t="s">
        <v>41</v>
      </c>
      <c r="H617" s="8" t="s">
        <v>108</v>
      </c>
      <c r="I617" s="8" t="s">
        <v>33</v>
      </c>
      <c r="J617" s="8" t="s">
        <v>150</v>
      </c>
      <c r="K617" s="8" t="s">
        <v>44</v>
      </c>
      <c r="L617" s="8" t="s">
        <v>324</v>
      </c>
      <c r="M617" s="10" t="s">
        <v>161</v>
      </c>
      <c r="N617" s="11" t="s">
        <v>1410</v>
      </c>
    </row>
    <row r="618" spans="1:14" ht="15.75" customHeight="1" x14ac:dyDescent="0.15">
      <c r="A618" s="6" t="s">
        <v>1654</v>
      </c>
      <c r="B618" s="12" t="s">
        <v>609</v>
      </c>
      <c r="C618" s="7" t="s">
        <v>1655</v>
      </c>
      <c r="D618" s="13" t="s">
        <v>17</v>
      </c>
      <c r="E618" s="14">
        <v>39351</v>
      </c>
      <c r="F618" s="13" t="s">
        <v>571</v>
      </c>
      <c r="G618" s="13" t="s">
        <v>93</v>
      </c>
      <c r="H618" s="13" t="s">
        <v>156</v>
      </c>
      <c r="I618" s="13" t="s">
        <v>140</v>
      </c>
      <c r="J618" s="13" t="s">
        <v>150</v>
      </c>
      <c r="K618" s="13" t="s">
        <v>44</v>
      </c>
      <c r="L618" s="13" t="s">
        <v>852</v>
      </c>
      <c r="M618" s="15" t="s">
        <v>287</v>
      </c>
      <c r="N618" s="11" t="s">
        <v>1410</v>
      </c>
    </row>
    <row r="619" spans="1:14" ht="15.75" customHeight="1" x14ac:dyDescent="0.15">
      <c r="A619" s="12" t="s">
        <v>1656</v>
      </c>
      <c r="B619" s="6" t="s">
        <v>612</v>
      </c>
      <c r="C619" s="7" t="s">
        <v>1657</v>
      </c>
      <c r="D619" s="8" t="s">
        <v>17</v>
      </c>
      <c r="E619" s="9">
        <v>39418</v>
      </c>
      <c r="F619" s="8" t="s">
        <v>571</v>
      </c>
      <c r="G619" s="8" t="s">
        <v>138</v>
      </c>
      <c r="H619" s="8" t="s">
        <v>108</v>
      </c>
      <c r="I619" s="8" t="s">
        <v>33</v>
      </c>
      <c r="J619" s="8" t="s">
        <v>150</v>
      </c>
      <c r="K619" s="8" t="s">
        <v>44</v>
      </c>
      <c r="L619" s="8" t="s">
        <v>324</v>
      </c>
      <c r="M619" s="10" t="s">
        <v>161</v>
      </c>
      <c r="N619" s="11" t="s">
        <v>1410</v>
      </c>
    </row>
    <row r="620" spans="1:14" ht="15.75" customHeight="1" x14ac:dyDescent="0.15">
      <c r="A620" s="6" t="s">
        <v>1658</v>
      </c>
      <c r="B620" s="12" t="s">
        <v>616</v>
      </c>
      <c r="C620" s="7" t="s">
        <v>1659</v>
      </c>
      <c r="D620" s="13" t="s">
        <v>107</v>
      </c>
      <c r="E620" s="17">
        <v>38668</v>
      </c>
      <c r="F620" s="13" t="s">
        <v>170</v>
      </c>
      <c r="G620" s="13" t="s">
        <v>138</v>
      </c>
      <c r="H620" s="13" t="s">
        <v>196</v>
      </c>
      <c r="I620" s="13" t="s">
        <v>21</v>
      </c>
      <c r="J620" s="13" t="s">
        <v>150</v>
      </c>
      <c r="K620" s="13" t="s">
        <v>77</v>
      </c>
      <c r="L620" s="13" t="s">
        <v>852</v>
      </c>
      <c r="M620" s="15" t="s">
        <v>287</v>
      </c>
      <c r="N620" s="11" t="s">
        <v>1410</v>
      </c>
    </row>
    <row r="621" spans="1:14" ht="15.75" customHeight="1" x14ac:dyDescent="0.15">
      <c r="A621" s="12" t="s">
        <v>1660</v>
      </c>
      <c r="B621" s="6" t="s">
        <v>27</v>
      </c>
      <c r="C621" s="7" t="s">
        <v>3421</v>
      </c>
      <c r="D621" s="8" t="s">
        <v>49</v>
      </c>
      <c r="E621" s="9">
        <v>35213</v>
      </c>
      <c r="F621" s="8" t="s">
        <v>66</v>
      </c>
      <c r="G621" s="8" t="s">
        <v>67</v>
      </c>
      <c r="H621" s="8" t="s">
        <v>369</v>
      </c>
      <c r="I621" s="8" t="s">
        <v>1381</v>
      </c>
      <c r="J621" s="8" t="s">
        <v>150</v>
      </c>
      <c r="K621" s="8" t="s">
        <v>44</v>
      </c>
      <c r="L621" s="8" t="s">
        <v>852</v>
      </c>
      <c r="M621" s="10" t="s">
        <v>193</v>
      </c>
      <c r="N621" s="11" t="s">
        <v>1661</v>
      </c>
    </row>
    <row r="622" spans="1:14" ht="15.75" customHeight="1" x14ac:dyDescent="0.15">
      <c r="A622" s="6" t="s">
        <v>1662</v>
      </c>
      <c r="B622" s="12" t="s">
        <v>37</v>
      </c>
      <c r="C622" s="7" t="s">
        <v>1663</v>
      </c>
      <c r="D622" s="13" t="s">
        <v>49</v>
      </c>
      <c r="E622" s="17">
        <v>35791</v>
      </c>
      <c r="F622" s="13" t="s">
        <v>212</v>
      </c>
      <c r="G622" s="13" t="s">
        <v>204</v>
      </c>
      <c r="H622" s="13" t="s">
        <v>94</v>
      </c>
      <c r="I622" s="13" t="s">
        <v>192</v>
      </c>
      <c r="J622" s="13" t="s">
        <v>54</v>
      </c>
      <c r="K622" s="13" t="s">
        <v>44</v>
      </c>
      <c r="L622" s="13" t="s">
        <v>165</v>
      </c>
      <c r="M622" s="15" t="s">
        <v>619</v>
      </c>
      <c r="N622" s="11" t="s">
        <v>1661</v>
      </c>
    </row>
    <row r="623" spans="1:14" ht="15.75" customHeight="1" x14ac:dyDescent="0.15">
      <c r="A623" s="6" t="s">
        <v>1664</v>
      </c>
      <c r="B623" s="6" t="s">
        <v>47</v>
      </c>
      <c r="C623" s="7" t="s">
        <v>1665</v>
      </c>
      <c r="D623" s="8" t="s">
        <v>17</v>
      </c>
      <c r="E623" s="9">
        <v>35442</v>
      </c>
      <c r="F623" s="8" t="s">
        <v>148</v>
      </c>
      <c r="G623" s="8" t="s">
        <v>243</v>
      </c>
      <c r="H623" s="8" t="s">
        <v>446</v>
      </c>
      <c r="I623" s="8" t="s">
        <v>582</v>
      </c>
      <c r="J623" s="8" t="s">
        <v>54</v>
      </c>
      <c r="K623" s="8" t="s">
        <v>23</v>
      </c>
      <c r="L623" s="8" t="s">
        <v>187</v>
      </c>
      <c r="M623" s="10" t="s">
        <v>897</v>
      </c>
      <c r="N623" s="11" t="s">
        <v>1661</v>
      </c>
    </row>
    <row r="624" spans="1:14" ht="15.75" customHeight="1" x14ac:dyDescent="0.15">
      <c r="A624" s="12" t="s">
        <v>1666</v>
      </c>
      <c r="B624" s="12" t="s">
        <v>57</v>
      </c>
      <c r="C624" s="7" t="s">
        <v>1667</v>
      </c>
      <c r="D624" s="13" t="s">
        <v>17</v>
      </c>
      <c r="E624" s="14">
        <v>36703</v>
      </c>
      <c r="F624" s="13" t="s">
        <v>40</v>
      </c>
      <c r="G624" s="13" t="s">
        <v>19</v>
      </c>
      <c r="H624" s="13" t="s">
        <v>88</v>
      </c>
      <c r="I624" s="13" t="s">
        <v>414</v>
      </c>
      <c r="J624" s="13" t="s">
        <v>22</v>
      </c>
      <c r="K624" s="13" t="s">
        <v>44</v>
      </c>
      <c r="L624" s="13" t="s">
        <v>151</v>
      </c>
      <c r="M624" s="15" t="s">
        <v>425</v>
      </c>
      <c r="N624" s="11" t="s">
        <v>1661</v>
      </c>
    </row>
    <row r="625" spans="1:14" ht="15.75" customHeight="1" x14ac:dyDescent="0.15">
      <c r="A625" s="6" t="s">
        <v>1668</v>
      </c>
      <c r="B625" s="6" t="s">
        <v>64</v>
      </c>
      <c r="C625" s="7" t="s">
        <v>1669</v>
      </c>
      <c r="D625" s="8" t="s">
        <v>17</v>
      </c>
      <c r="E625" s="9">
        <v>36240</v>
      </c>
      <c r="F625" s="8" t="s">
        <v>30</v>
      </c>
      <c r="G625" s="8" t="s">
        <v>93</v>
      </c>
      <c r="H625" s="8" t="s">
        <v>114</v>
      </c>
      <c r="I625" s="8" t="s">
        <v>109</v>
      </c>
      <c r="J625" s="8" t="s">
        <v>150</v>
      </c>
      <c r="K625" s="8" t="s">
        <v>44</v>
      </c>
      <c r="L625" s="8" t="s">
        <v>324</v>
      </c>
      <c r="M625" s="10" t="s">
        <v>56</v>
      </c>
      <c r="N625" s="11" t="s">
        <v>1661</v>
      </c>
    </row>
    <row r="626" spans="1:14" ht="15.75" customHeight="1" x14ac:dyDescent="0.15">
      <c r="A626" s="12" t="s">
        <v>1670</v>
      </c>
      <c r="B626" s="12" t="s">
        <v>72</v>
      </c>
      <c r="C626" s="7" t="s">
        <v>1671</v>
      </c>
      <c r="D626" s="13" t="s">
        <v>39</v>
      </c>
      <c r="E626" s="14">
        <v>33710</v>
      </c>
      <c r="F626" s="13" t="s">
        <v>430</v>
      </c>
      <c r="G626" s="13" t="s">
        <v>622</v>
      </c>
      <c r="H626" s="13" t="s">
        <v>32</v>
      </c>
      <c r="I626" s="13" t="s">
        <v>33</v>
      </c>
      <c r="J626" s="13" t="s">
        <v>54</v>
      </c>
      <c r="K626" s="13" t="s">
        <v>23</v>
      </c>
      <c r="L626" s="13" t="s">
        <v>431</v>
      </c>
      <c r="M626" s="15" t="s">
        <v>199</v>
      </c>
      <c r="N626" s="11" t="s">
        <v>1661</v>
      </c>
    </row>
    <row r="627" spans="1:14" ht="15.75" customHeight="1" x14ac:dyDescent="0.15">
      <c r="A627" s="6" t="s">
        <v>1672</v>
      </c>
      <c r="B627" s="6" t="s">
        <v>80</v>
      </c>
      <c r="C627" s="7" t="s">
        <v>1673</v>
      </c>
      <c r="D627" s="8" t="s">
        <v>39</v>
      </c>
      <c r="E627" s="9">
        <v>35237</v>
      </c>
      <c r="F627" s="8" t="s">
        <v>66</v>
      </c>
      <c r="G627" s="8" t="s">
        <v>293</v>
      </c>
      <c r="H627" s="8" t="s">
        <v>114</v>
      </c>
      <c r="I627" s="8" t="s">
        <v>213</v>
      </c>
      <c r="J627" s="8" t="s">
        <v>76</v>
      </c>
      <c r="K627" s="8" t="s">
        <v>23</v>
      </c>
      <c r="L627" s="8" t="s">
        <v>218</v>
      </c>
      <c r="M627" s="10" t="s">
        <v>496</v>
      </c>
      <c r="N627" s="11" t="s">
        <v>1661</v>
      </c>
    </row>
    <row r="628" spans="1:14" ht="15.75" customHeight="1" x14ac:dyDescent="0.15">
      <c r="A628" s="6" t="s">
        <v>1674</v>
      </c>
      <c r="B628" s="12" t="s">
        <v>86</v>
      </c>
      <c r="C628" s="7" t="s">
        <v>1675</v>
      </c>
      <c r="D628" s="13" t="s">
        <v>17</v>
      </c>
      <c r="E628" s="14">
        <v>33249</v>
      </c>
      <c r="F628" s="13" t="s">
        <v>50</v>
      </c>
      <c r="G628" s="13" t="s">
        <v>119</v>
      </c>
      <c r="H628" s="13" t="s">
        <v>156</v>
      </c>
      <c r="I628" s="13" t="s">
        <v>273</v>
      </c>
      <c r="J628" s="13" t="s">
        <v>54</v>
      </c>
      <c r="K628" s="13" t="s">
        <v>23</v>
      </c>
      <c r="L628" s="13" t="s">
        <v>55</v>
      </c>
      <c r="M628" s="15" t="s">
        <v>256</v>
      </c>
      <c r="N628" s="11" t="s">
        <v>1661</v>
      </c>
    </row>
    <row r="629" spans="1:14" ht="15.75" customHeight="1" x14ac:dyDescent="0.15">
      <c r="A629" s="12" t="s">
        <v>1676</v>
      </c>
      <c r="B629" s="6" t="s">
        <v>90</v>
      </c>
      <c r="C629" s="7" t="s">
        <v>1677</v>
      </c>
      <c r="D629" s="8" t="s">
        <v>49</v>
      </c>
      <c r="E629" s="9">
        <v>35207</v>
      </c>
      <c r="F629" s="8" t="s">
        <v>66</v>
      </c>
      <c r="G629" s="8" t="s">
        <v>293</v>
      </c>
      <c r="H629" s="8" t="s">
        <v>108</v>
      </c>
      <c r="I629" s="8" t="s">
        <v>470</v>
      </c>
      <c r="J629" s="8" t="s">
        <v>54</v>
      </c>
      <c r="K629" s="8" t="s">
        <v>44</v>
      </c>
      <c r="L629" s="8" t="s">
        <v>96</v>
      </c>
      <c r="M629" s="10" t="s">
        <v>199</v>
      </c>
      <c r="N629" s="11" t="s">
        <v>1661</v>
      </c>
    </row>
    <row r="630" spans="1:14" ht="15.75" customHeight="1" x14ac:dyDescent="0.15">
      <c r="A630" s="6" t="s">
        <v>1678</v>
      </c>
      <c r="B630" s="12" t="s">
        <v>99</v>
      </c>
      <c r="C630" s="7" t="s">
        <v>1679</v>
      </c>
      <c r="D630" s="13" t="s">
        <v>107</v>
      </c>
      <c r="E630" s="14">
        <v>36740</v>
      </c>
      <c r="F630" s="13" t="s">
        <v>40</v>
      </c>
      <c r="G630" s="13" t="s">
        <v>41</v>
      </c>
      <c r="H630" s="13" t="s">
        <v>52</v>
      </c>
      <c r="I630" s="13" t="s">
        <v>261</v>
      </c>
      <c r="J630" s="13" t="s">
        <v>54</v>
      </c>
      <c r="K630" s="13" t="s">
        <v>77</v>
      </c>
      <c r="L630" s="13" t="s">
        <v>218</v>
      </c>
      <c r="M630" s="15" t="s">
        <v>506</v>
      </c>
      <c r="N630" s="11" t="s">
        <v>1661</v>
      </c>
    </row>
    <row r="631" spans="1:14" ht="15.75" customHeight="1" x14ac:dyDescent="0.15">
      <c r="A631" s="12" t="s">
        <v>1680</v>
      </c>
      <c r="B631" s="6" t="s">
        <v>105</v>
      </c>
      <c r="C631" s="7" t="s">
        <v>1681</v>
      </c>
      <c r="D631" s="8" t="s">
        <v>107</v>
      </c>
      <c r="E631" s="9">
        <v>34749</v>
      </c>
      <c r="F631" s="8" t="s">
        <v>59</v>
      </c>
      <c r="G631" s="8" t="s">
        <v>19</v>
      </c>
      <c r="H631" s="8" t="s">
        <v>102</v>
      </c>
      <c r="I631" s="8" t="s">
        <v>414</v>
      </c>
      <c r="J631" s="8" t="s">
        <v>54</v>
      </c>
      <c r="K631" s="8" t="s">
        <v>44</v>
      </c>
      <c r="L631" s="8" t="s">
        <v>62</v>
      </c>
      <c r="M631" s="10" t="s">
        <v>1682</v>
      </c>
      <c r="N631" s="11" t="s">
        <v>1661</v>
      </c>
    </row>
    <row r="632" spans="1:14" ht="15.75" customHeight="1" x14ac:dyDescent="0.15">
      <c r="A632" s="6" t="s">
        <v>1683</v>
      </c>
      <c r="B632" s="12" t="s">
        <v>112</v>
      </c>
      <c r="C632" s="7" t="s">
        <v>1684</v>
      </c>
      <c r="D632" s="13" t="s">
        <v>107</v>
      </c>
      <c r="E632" s="14">
        <v>33758</v>
      </c>
      <c r="F632" s="13" t="s">
        <v>430</v>
      </c>
      <c r="G632" s="13" t="s">
        <v>101</v>
      </c>
      <c r="H632" s="13" t="s">
        <v>42</v>
      </c>
      <c r="I632" s="13" t="s">
        <v>43</v>
      </c>
      <c r="J632" s="13" t="s">
        <v>34</v>
      </c>
      <c r="K632" s="13" t="s">
        <v>77</v>
      </c>
      <c r="L632" s="13" t="s">
        <v>165</v>
      </c>
      <c r="M632" s="15" t="s">
        <v>85</v>
      </c>
      <c r="N632" s="11" t="s">
        <v>1661</v>
      </c>
    </row>
    <row r="633" spans="1:14" ht="15.75" customHeight="1" x14ac:dyDescent="0.15">
      <c r="A633" s="6" t="s">
        <v>1685</v>
      </c>
      <c r="B633" s="6" t="s">
        <v>122</v>
      </c>
      <c r="C633" s="7" t="s">
        <v>1686</v>
      </c>
      <c r="D633" s="8" t="s">
        <v>107</v>
      </c>
      <c r="E633" s="9">
        <v>36260</v>
      </c>
      <c r="F633" s="8" t="s">
        <v>30</v>
      </c>
      <c r="G633" s="8" t="s">
        <v>243</v>
      </c>
      <c r="H633" s="8" t="s">
        <v>42</v>
      </c>
      <c r="I633" s="8" t="s">
        <v>95</v>
      </c>
      <c r="J633" s="8" t="s">
        <v>54</v>
      </c>
      <c r="K633" s="8" t="s">
        <v>44</v>
      </c>
      <c r="L633" s="8" t="s">
        <v>390</v>
      </c>
      <c r="M633" s="10" t="s">
        <v>1687</v>
      </c>
      <c r="N633" s="11" t="s">
        <v>1661</v>
      </c>
    </row>
    <row r="634" spans="1:14" ht="15.75" customHeight="1" x14ac:dyDescent="0.15">
      <c r="A634" s="12" t="s">
        <v>1688</v>
      </c>
      <c r="B634" s="12" t="s">
        <v>117</v>
      </c>
      <c r="C634" s="7" t="s">
        <v>1689</v>
      </c>
      <c r="D634" s="13" t="s">
        <v>107</v>
      </c>
      <c r="E634" s="14">
        <v>38073</v>
      </c>
      <c r="F634" s="13" t="s">
        <v>92</v>
      </c>
      <c r="G634" s="13" t="s">
        <v>243</v>
      </c>
      <c r="H634" s="13" t="s">
        <v>788</v>
      </c>
      <c r="I634" s="13" t="s">
        <v>756</v>
      </c>
      <c r="J634" s="13" t="s">
        <v>76</v>
      </c>
      <c r="K634" s="13" t="s">
        <v>44</v>
      </c>
      <c r="L634" s="13" t="s">
        <v>35</v>
      </c>
      <c r="M634" s="15" t="s">
        <v>1317</v>
      </c>
      <c r="N634" s="11" t="s">
        <v>1661</v>
      </c>
    </row>
    <row r="635" spans="1:14" ht="15.75" customHeight="1" x14ac:dyDescent="0.15">
      <c r="A635" s="6" t="s">
        <v>1690</v>
      </c>
      <c r="B635" s="6" t="s">
        <v>123</v>
      </c>
      <c r="C635" s="7" t="s">
        <v>1691</v>
      </c>
      <c r="D635" s="8" t="s">
        <v>107</v>
      </c>
      <c r="E635" s="9">
        <v>35673</v>
      </c>
      <c r="F635" s="8" t="s">
        <v>148</v>
      </c>
      <c r="G635" s="8" t="s">
        <v>31</v>
      </c>
      <c r="H635" s="8" t="s">
        <v>102</v>
      </c>
      <c r="I635" s="8" t="s">
        <v>385</v>
      </c>
      <c r="J635" s="8" t="s">
        <v>22</v>
      </c>
      <c r="K635" s="8" t="s">
        <v>23</v>
      </c>
      <c r="L635" s="8" t="s">
        <v>128</v>
      </c>
      <c r="M635" s="10" t="s">
        <v>63</v>
      </c>
      <c r="N635" s="11" t="s">
        <v>1661</v>
      </c>
    </row>
    <row r="636" spans="1:14" ht="15.75" customHeight="1" x14ac:dyDescent="0.15">
      <c r="A636" s="12" t="s">
        <v>1692</v>
      </c>
      <c r="B636" s="12" t="s">
        <v>129</v>
      </c>
      <c r="C636" s="7" t="s">
        <v>1693</v>
      </c>
      <c r="D636" s="13" t="s">
        <v>107</v>
      </c>
      <c r="E636" s="14">
        <v>33856</v>
      </c>
      <c r="F636" s="13" t="s">
        <v>182</v>
      </c>
      <c r="G636" s="13" t="s">
        <v>293</v>
      </c>
      <c r="H636" s="13" t="s">
        <v>171</v>
      </c>
      <c r="I636" s="13" t="s">
        <v>342</v>
      </c>
      <c r="J636" s="13" t="s">
        <v>76</v>
      </c>
      <c r="K636" s="13" t="s">
        <v>77</v>
      </c>
      <c r="L636" s="13" t="s">
        <v>244</v>
      </c>
      <c r="M636" s="15" t="s">
        <v>193</v>
      </c>
      <c r="N636" s="11" t="s">
        <v>1661</v>
      </c>
    </row>
    <row r="637" spans="1:14" ht="15.75" customHeight="1" x14ac:dyDescent="0.15">
      <c r="A637" s="6" t="s">
        <v>1694</v>
      </c>
      <c r="B637" s="6" t="s">
        <v>135</v>
      </c>
      <c r="C637" s="7" t="s">
        <v>1695</v>
      </c>
      <c r="D637" s="8" t="s">
        <v>107</v>
      </c>
      <c r="E637" s="9">
        <v>33771</v>
      </c>
      <c r="F637" s="8" t="s">
        <v>430</v>
      </c>
      <c r="G637" s="8" t="s">
        <v>60</v>
      </c>
      <c r="H637" s="8" t="s">
        <v>156</v>
      </c>
      <c r="I637" s="8" t="s">
        <v>157</v>
      </c>
      <c r="J637" s="8" t="s">
        <v>54</v>
      </c>
      <c r="K637" s="8" t="s">
        <v>44</v>
      </c>
      <c r="L637" s="8" t="s">
        <v>128</v>
      </c>
      <c r="M637" s="10" t="s">
        <v>1696</v>
      </c>
      <c r="N637" s="11" t="s">
        <v>1661</v>
      </c>
    </row>
    <row r="638" spans="1:14" ht="15.75" customHeight="1" x14ac:dyDescent="0.15">
      <c r="A638" s="6" t="s">
        <v>1697</v>
      </c>
      <c r="B638" s="12" t="s">
        <v>153</v>
      </c>
      <c r="C638" s="7" t="s">
        <v>1698</v>
      </c>
      <c r="D638" s="13" t="s">
        <v>107</v>
      </c>
      <c r="E638" s="14">
        <v>34422</v>
      </c>
      <c r="F638" s="13" t="s">
        <v>18</v>
      </c>
      <c r="G638" s="13" t="s">
        <v>101</v>
      </c>
      <c r="H638" s="13" t="s">
        <v>225</v>
      </c>
      <c r="I638" s="13" t="s">
        <v>651</v>
      </c>
      <c r="J638" s="13" t="s">
        <v>54</v>
      </c>
      <c r="K638" s="13" t="s">
        <v>77</v>
      </c>
      <c r="L638" s="13" t="s">
        <v>301</v>
      </c>
      <c r="M638" s="15" t="s">
        <v>1699</v>
      </c>
      <c r="N638" s="11" t="s">
        <v>1661</v>
      </c>
    </row>
    <row r="639" spans="1:14" ht="15.75" customHeight="1" x14ac:dyDescent="0.15">
      <c r="A639" s="12" t="s">
        <v>1700</v>
      </c>
      <c r="B639" s="6" t="s">
        <v>142</v>
      </c>
      <c r="C639" s="7" t="s">
        <v>1701</v>
      </c>
      <c r="D639" s="8" t="s">
        <v>17</v>
      </c>
      <c r="E639" s="9">
        <v>36305</v>
      </c>
      <c r="F639" s="8" t="s">
        <v>30</v>
      </c>
      <c r="G639" s="8" t="s">
        <v>67</v>
      </c>
      <c r="H639" s="8" t="s">
        <v>144</v>
      </c>
      <c r="I639" s="8" t="s">
        <v>414</v>
      </c>
      <c r="J639" s="8" t="s">
        <v>22</v>
      </c>
      <c r="K639" s="8" t="s">
        <v>23</v>
      </c>
      <c r="L639" s="8" t="s">
        <v>218</v>
      </c>
      <c r="M639" s="10" t="s">
        <v>145</v>
      </c>
      <c r="N639" s="11" t="s">
        <v>1661</v>
      </c>
    </row>
    <row r="640" spans="1:14" ht="15.75" customHeight="1" x14ac:dyDescent="0.15">
      <c r="A640" s="6" t="s">
        <v>1702</v>
      </c>
      <c r="B640" s="12" t="s">
        <v>146</v>
      </c>
      <c r="C640" s="7" t="s">
        <v>1703</v>
      </c>
      <c r="D640" s="13" t="s">
        <v>107</v>
      </c>
      <c r="E640" s="14">
        <v>36767</v>
      </c>
      <c r="F640" s="13" t="s">
        <v>40</v>
      </c>
      <c r="G640" s="13" t="s">
        <v>41</v>
      </c>
      <c r="H640" s="13" t="s">
        <v>102</v>
      </c>
      <c r="I640" s="13" t="s">
        <v>127</v>
      </c>
      <c r="J640" s="13" t="s">
        <v>22</v>
      </c>
      <c r="K640" s="13" t="s">
        <v>44</v>
      </c>
      <c r="L640" s="13" t="s">
        <v>301</v>
      </c>
      <c r="M640" s="15" t="s">
        <v>724</v>
      </c>
      <c r="N640" s="11" t="s">
        <v>1661</v>
      </c>
    </row>
    <row r="641" spans="1:14" ht="15.75" customHeight="1" x14ac:dyDescent="0.15">
      <c r="A641" s="12" t="s">
        <v>1704</v>
      </c>
      <c r="B641" s="6" t="s">
        <v>154</v>
      </c>
      <c r="C641" s="7" t="s">
        <v>1705</v>
      </c>
      <c r="D641" s="8" t="s">
        <v>107</v>
      </c>
      <c r="E641" s="9">
        <v>31200</v>
      </c>
      <c r="F641" s="8" t="s">
        <v>1706</v>
      </c>
      <c r="G641" s="8" t="s">
        <v>611</v>
      </c>
      <c r="H641" s="8" t="s">
        <v>94</v>
      </c>
      <c r="I641" s="8" t="s">
        <v>21</v>
      </c>
      <c r="J641" s="8" t="s">
        <v>22</v>
      </c>
      <c r="K641" s="8" t="s">
        <v>77</v>
      </c>
      <c r="L641" s="8" t="s">
        <v>78</v>
      </c>
      <c r="M641" s="10" t="s">
        <v>1707</v>
      </c>
      <c r="N641" s="11" t="s">
        <v>1661</v>
      </c>
    </row>
    <row r="642" spans="1:14" ht="15.75" customHeight="1" x14ac:dyDescent="0.15">
      <c r="A642" s="6" t="s">
        <v>1708</v>
      </c>
      <c r="B642" s="12" t="s">
        <v>159</v>
      </c>
      <c r="C642" s="7" t="s">
        <v>1709</v>
      </c>
      <c r="D642" s="13" t="s">
        <v>107</v>
      </c>
      <c r="E642" s="14">
        <v>34534</v>
      </c>
      <c r="F642" s="13" t="s">
        <v>18</v>
      </c>
      <c r="G642" s="13" t="s">
        <v>60</v>
      </c>
      <c r="H642" s="13" t="s">
        <v>171</v>
      </c>
      <c r="I642" s="13" t="s">
        <v>61</v>
      </c>
      <c r="J642" s="13" t="s">
        <v>54</v>
      </c>
      <c r="K642" s="13" t="s">
        <v>44</v>
      </c>
      <c r="L642" s="13" t="s">
        <v>45</v>
      </c>
      <c r="M642" s="15" t="s">
        <v>104</v>
      </c>
      <c r="N642" s="11" t="s">
        <v>1661</v>
      </c>
    </row>
    <row r="643" spans="1:14" ht="15.75" customHeight="1" x14ac:dyDescent="0.15">
      <c r="A643" s="6" t="s">
        <v>1710</v>
      </c>
      <c r="B643" s="6" t="s">
        <v>163</v>
      </c>
      <c r="C643" s="7" t="s">
        <v>1711</v>
      </c>
      <c r="D643" s="8" t="s">
        <v>107</v>
      </c>
      <c r="E643" s="16">
        <v>37922</v>
      </c>
      <c r="F643" s="8" t="s">
        <v>92</v>
      </c>
      <c r="G643" s="8" t="s">
        <v>93</v>
      </c>
      <c r="H643" s="8" t="s">
        <v>156</v>
      </c>
      <c r="I643" s="8" t="s">
        <v>140</v>
      </c>
      <c r="J643" s="8" t="s">
        <v>54</v>
      </c>
      <c r="K643" s="8" t="s">
        <v>23</v>
      </c>
      <c r="L643" s="8" t="s">
        <v>45</v>
      </c>
      <c r="M643" s="10" t="s">
        <v>727</v>
      </c>
      <c r="N643" s="11" t="s">
        <v>1661</v>
      </c>
    </row>
    <row r="644" spans="1:14" ht="15.75" customHeight="1" x14ac:dyDescent="0.15">
      <c r="A644" s="12" t="s">
        <v>1712</v>
      </c>
      <c r="B644" s="12" t="s">
        <v>168</v>
      </c>
      <c r="C644" s="7" t="s">
        <v>1713</v>
      </c>
      <c r="D644" s="13" t="s">
        <v>107</v>
      </c>
      <c r="E644" s="14">
        <v>35945</v>
      </c>
      <c r="F644" s="13" t="s">
        <v>212</v>
      </c>
      <c r="G644" s="13" t="s">
        <v>204</v>
      </c>
      <c r="H644" s="13" t="s">
        <v>68</v>
      </c>
      <c r="I644" s="13" t="s">
        <v>109</v>
      </c>
      <c r="J644" s="13" t="s">
        <v>22</v>
      </c>
      <c r="K644" s="13" t="s">
        <v>77</v>
      </c>
      <c r="L644" s="13" t="s">
        <v>479</v>
      </c>
      <c r="M644" s="15" t="s">
        <v>1714</v>
      </c>
      <c r="N644" s="11" t="s">
        <v>1661</v>
      </c>
    </row>
    <row r="645" spans="1:14" ht="15.75" customHeight="1" x14ac:dyDescent="0.15">
      <c r="A645" s="6" t="s">
        <v>1715</v>
      </c>
      <c r="B645" s="6" t="s">
        <v>173</v>
      </c>
      <c r="C645" s="7" t="s">
        <v>1716</v>
      </c>
      <c r="D645" s="8" t="s">
        <v>107</v>
      </c>
      <c r="E645" s="9">
        <v>37313</v>
      </c>
      <c r="F645" s="8" t="s">
        <v>137</v>
      </c>
      <c r="G645" s="8" t="s">
        <v>138</v>
      </c>
      <c r="H645" s="8" t="s">
        <v>94</v>
      </c>
      <c r="I645" s="8" t="s">
        <v>149</v>
      </c>
      <c r="J645" s="8" t="s">
        <v>76</v>
      </c>
      <c r="K645" s="8" t="s">
        <v>77</v>
      </c>
      <c r="L645" s="8" t="s">
        <v>218</v>
      </c>
      <c r="M645" s="10" t="s">
        <v>794</v>
      </c>
      <c r="N645" s="11" t="s">
        <v>1661</v>
      </c>
    </row>
    <row r="646" spans="1:14" ht="15.75" customHeight="1" x14ac:dyDescent="0.15">
      <c r="A646" s="12" t="s">
        <v>1717</v>
      </c>
      <c r="B646" s="12" t="s">
        <v>175</v>
      </c>
      <c r="C646" s="7" t="s">
        <v>1718</v>
      </c>
      <c r="D646" s="13" t="s">
        <v>107</v>
      </c>
      <c r="E646" s="14">
        <v>36386</v>
      </c>
      <c r="F646" s="13" t="s">
        <v>30</v>
      </c>
      <c r="G646" s="13" t="s">
        <v>93</v>
      </c>
      <c r="H646" s="13" t="s">
        <v>171</v>
      </c>
      <c r="I646" s="13" t="s">
        <v>33</v>
      </c>
      <c r="J646" s="13" t="s">
        <v>150</v>
      </c>
      <c r="K646" s="13" t="s">
        <v>44</v>
      </c>
      <c r="L646" s="13" t="s">
        <v>324</v>
      </c>
      <c r="M646" s="15" t="s">
        <v>56</v>
      </c>
      <c r="N646" s="11" t="s">
        <v>1661</v>
      </c>
    </row>
    <row r="647" spans="1:14" ht="15.75" customHeight="1" x14ac:dyDescent="0.15">
      <c r="A647" s="6" t="s">
        <v>1719</v>
      </c>
      <c r="B647" s="6" t="s">
        <v>200</v>
      </c>
      <c r="C647" s="7" t="s">
        <v>1720</v>
      </c>
      <c r="D647" s="8" t="s">
        <v>107</v>
      </c>
      <c r="E647" s="9">
        <v>38825</v>
      </c>
      <c r="F647" s="8" t="s">
        <v>170</v>
      </c>
      <c r="G647" s="8" t="s">
        <v>131</v>
      </c>
      <c r="H647" s="8" t="s">
        <v>88</v>
      </c>
      <c r="I647" s="8" t="s">
        <v>414</v>
      </c>
      <c r="J647" s="8" t="s">
        <v>22</v>
      </c>
      <c r="K647" s="8" t="s">
        <v>23</v>
      </c>
      <c r="L647" s="8" t="s">
        <v>55</v>
      </c>
      <c r="M647" s="10" t="s">
        <v>1721</v>
      </c>
      <c r="N647" s="11" t="s">
        <v>1661</v>
      </c>
    </row>
    <row r="648" spans="1:14" ht="15.75" customHeight="1" x14ac:dyDescent="0.15">
      <c r="A648" s="6" t="s">
        <v>1722</v>
      </c>
      <c r="B648" s="12" t="s">
        <v>177</v>
      </c>
      <c r="C648" s="7" t="s">
        <v>1723</v>
      </c>
      <c r="D648" s="13" t="s">
        <v>107</v>
      </c>
      <c r="E648" s="17">
        <v>39038</v>
      </c>
      <c r="F648" s="13" t="s">
        <v>232</v>
      </c>
      <c r="G648" s="13" t="s">
        <v>131</v>
      </c>
      <c r="H648" s="13" t="s">
        <v>1179</v>
      </c>
      <c r="I648" s="13" t="s">
        <v>323</v>
      </c>
      <c r="J648" s="13" t="s">
        <v>54</v>
      </c>
      <c r="K648" s="13" t="s">
        <v>77</v>
      </c>
      <c r="L648" s="13" t="s">
        <v>45</v>
      </c>
      <c r="M648" s="15" t="s">
        <v>980</v>
      </c>
      <c r="N648" s="11" t="s">
        <v>1661</v>
      </c>
    </row>
    <row r="649" spans="1:14" ht="15.75" customHeight="1" x14ac:dyDescent="0.15">
      <c r="A649" s="12" t="s">
        <v>1724</v>
      </c>
      <c r="B649" s="6" t="s">
        <v>180</v>
      </c>
      <c r="C649" s="7" t="s">
        <v>1725</v>
      </c>
      <c r="D649" s="8" t="s">
        <v>49</v>
      </c>
      <c r="E649" s="9">
        <v>37325</v>
      </c>
      <c r="F649" s="8" t="s">
        <v>137</v>
      </c>
      <c r="G649" s="8" t="s">
        <v>138</v>
      </c>
      <c r="H649" s="8" t="s">
        <v>42</v>
      </c>
      <c r="I649" s="8" t="s">
        <v>414</v>
      </c>
      <c r="J649" s="8" t="s">
        <v>54</v>
      </c>
      <c r="K649" s="8" t="s">
        <v>44</v>
      </c>
      <c r="L649" s="8" t="s">
        <v>55</v>
      </c>
      <c r="M649" s="10" t="s">
        <v>36</v>
      </c>
      <c r="N649" s="11" t="s">
        <v>1661</v>
      </c>
    </row>
    <row r="650" spans="1:14" ht="15.75" customHeight="1" x14ac:dyDescent="0.15">
      <c r="A650" s="6" t="s">
        <v>1726</v>
      </c>
      <c r="B650" s="12" t="s">
        <v>184</v>
      </c>
      <c r="C650" s="7" t="s">
        <v>1727</v>
      </c>
      <c r="D650" s="13" t="s">
        <v>107</v>
      </c>
      <c r="E650" s="14">
        <v>35925</v>
      </c>
      <c r="F650" s="13" t="s">
        <v>212</v>
      </c>
      <c r="G650" s="13" t="s">
        <v>60</v>
      </c>
      <c r="H650" s="13" t="s">
        <v>179</v>
      </c>
      <c r="I650" s="13" t="s">
        <v>470</v>
      </c>
      <c r="J650" s="13" t="s">
        <v>54</v>
      </c>
      <c r="K650" s="13" t="s">
        <v>77</v>
      </c>
      <c r="L650" s="13" t="s">
        <v>198</v>
      </c>
      <c r="M650" s="15" t="s">
        <v>496</v>
      </c>
      <c r="N650" s="11" t="s">
        <v>1661</v>
      </c>
    </row>
    <row r="651" spans="1:14" ht="15.75" customHeight="1" x14ac:dyDescent="0.15">
      <c r="A651" s="12" t="s">
        <v>1728</v>
      </c>
      <c r="B651" s="6" t="s">
        <v>189</v>
      </c>
      <c r="C651" s="7" t="s">
        <v>1729</v>
      </c>
      <c r="D651" s="8" t="s">
        <v>107</v>
      </c>
      <c r="E651" s="9">
        <v>37505</v>
      </c>
      <c r="F651" s="8" t="s">
        <v>186</v>
      </c>
      <c r="G651" s="8" t="s">
        <v>131</v>
      </c>
      <c r="H651" s="8" t="s">
        <v>196</v>
      </c>
      <c r="I651" s="8" t="s">
        <v>109</v>
      </c>
      <c r="J651" s="8" t="s">
        <v>76</v>
      </c>
      <c r="K651" s="8" t="s">
        <v>44</v>
      </c>
      <c r="L651" s="8" t="s">
        <v>35</v>
      </c>
      <c r="M651" s="10" t="s">
        <v>161</v>
      </c>
      <c r="N651" s="11" t="s">
        <v>1661</v>
      </c>
    </row>
    <row r="652" spans="1:14" ht="15.75" customHeight="1" x14ac:dyDescent="0.15">
      <c r="A652" s="6" t="s">
        <v>1730</v>
      </c>
      <c r="B652" s="12" t="s">
        <v>194</v>
      </c>
      <c r="C652" s="7" t="s">
        <v>1731</v>
      </c>
      <c r="D652" s="13" t="s">
        <v>39</v>
      </c>
      <c r="E652" s="14">
        <v>37133</v>
      </c>
      <c r="F652" s="13" t="s">
        <v>203</v>
      </c>
      <c r="G652" s="13" t="s">
        <v>138</v>
      </c>
      <c r="H652" s="13" t="s">
        <v>144</v>
      </c>
      <c r="I652" s="13" t="s">
        <v>470</v>
      </c>
      <c r="J652" s="13" t="s">
        <v>22</v>
      </c>
      <c r="K652" s="13" t="s">
        <v>44</v>
      </c>
      <c r="L652" s="13" t="s">
        <v>218</v>
      </c>
      <c r="M652" s="15" t="s">
        <v>1721</v>
      </c>
      <c r="N652" s="11" t="s">
        <v>1661</v>
      </c>
    </row>
    <row r="653" spans="1:14" ht="15.75" customHeight="1" x14ac:dyDescent="0.15">
      <c r="A653" s="6" t="s">
        <v>1732</v>
      </c>
      <c r="B653" s="6" t="s">
        <v>201</v>
      </c>
      <c r="C653" s="7" t="s">
        <v>1733</v>
      </c>
      <c r="D653" s="8" t="s">
        <v>107</v>
      </c>
      <c r="E653" s="9">
        <v>36689</v>
      </c>
      <c r="F653" s="8" t="s">
        <v>40</v>
      </c>
      <c r="G653" s="8" t="s">
        <v>131</v>
      </c>
      <c r="H653" s="8" t="s">
        <v>144</v>
      </c>
      <c r="I653" s="8" t="s">
        <v>651</v>
      </c>
      <c r="J653" s="8" t="s">
        <v>150</v>
      </c>
      <c r="K653" s="8" t="s">
        <v>44</v>
      </c>
      <c r="L653" s="8" t="s">
        <v>751</v>
      </c>
      <c r="M653" s="10" t="s">
        <v>405</v>
      </c>
      <c r="N653" s="11" t="s">
        <v>1661</v>
      </c>
    </row>
    <row r="654" spans="1:14" ht="15.75" customHeight="1" x14ac:dyDescent="0.15">
      <c r="A654" s="12" t="s">
        <v>1734</v>
      </c>
      <c r="B654" s="12" t="s">
        <v>205</v>
      </c>
      <c r="C654" s="7" t="s">
        <v>1735</v>
      </c>
      <c r="D654" s="13" t="s">
        <v>49</v>
      </c>
      <c r="E654" s="14">
        <v>35607</v>
      </c>
      <c r="F654" s="13" t="s">
        <v>148</v>
      </c>
      <c r="G654" s="13" t="s">
        <v>93</v>
      </c>
      <c r="H654" s="13" t="s">
        <v>108</v>
      </c>
      <c r="I654" s="13" t="s">
        <v>197</v>
      </c>
      <c r="J654" s="13" t="s">
        <v>150</v>
      </c>
      <c r="K654" s="13" t="s">
        <v>44</v>
      </c>
      <c r="L654" s="13" t="s">
        <v>751</v>
      </c>
      <c r="M654" s="15" t="s">
        <v>97</v>
      </c>
      <c r="N654" s="11" t="s">
        <v>1661</v>
      </c>
    </row>
    <row r="655" spans="1:14" ht="15.75" customHeight="1" x14ac:dyDescent="0.15">
      <c r="A655" s="6" t="s">
        <v>1736</v>
      </c>
      <c r="B655" s="6" t="s">
        <v>210</v>
      </c>
      <c r="C655" s="7" t="s">
        <v>1737</v>
      </c>
      <c r="D655" s="8" t="s">
        <v>17</v>
      </c>
      <c r="E655" s="9">
        <v>37762</v>
      </c>
      <c r="F655" s="8" t="s">
        <v>186</v>
      </c>
      <c r="G655" s="8" t="s">
        <v>243</v>
      </c>
      <c r="H655" s="8" t="s">
        <v>108</v>
      </c>
      <c r="I655" s="8" t="s">
        <v>1021</v>
      </c>
      <c r="J655" s="8" t="s">
        <v>22</v>
      </c>
      <c r="K655" s="8" t="s">
        <v>44</v>
      </c>
      <c r="L655" s="8" t="s">
        <v>165</v>
      </c>
      <c r="M655" s="10" t="s">
        <v>229</v>
      </c>
      <c r="N655" s="11" t="s">
        <v>1661</v>
      </c>
    </row>
    <row r="656" spans="1:14" ht="15.75" customHeight="1" x14ac:dyDescent="0.15">
      <c r="A656" s="12" t="s">
        <v>1738</v>
      </c>
      <c r="B656" s="12" t="s">
        <v>215</v>
      </c>
      <c r="C656" s="7" t="s">
        <v>1739</v>
      </c>
      <c r="D656" s="13" t="s">
        <v>107</v>
      </c>
      <c r="E656" s="14">
        <v>34014</v>
      </c>
      <c r="F656" s="13" t="s">
        <v>182</v>
      </c>
      <c r="G656" s="13" t="s">
        <v>622</v>
      </c>
      <c r="H656" s="13" t="s">
        <v>102</v>
      </c>
      <c r="I656" s="13" t="s">
        <v>582</v>
      </c>
      <c r="J656" s="13" t="s">
        <v>76</v>
      </c>
      <c r="K656" s="13" t="s">
        <v>77</v>
      </c>
      <c r="L656" s="13" t="s">
        <v>133</v>
      </c>
      <c r="M656" s="15" t="s">
        <v>209</v>
      </c>
      <c r="N656" s="11" t="s">
        <v>1661</v>
      </c>
    </row>
    <row r="657" spans="1:14" ht="15.75" customHeight="1" x14ac:dyDescent="0.15">
      <c r="A657" s="6" t="s">
        <v>1740</v>
      </c>
      <c r="B657" s="6" t="s">
        <v>220</v>
      </c>
      <c r="C657" s="7" t="s">
        <v>1741</v>
      </c>
      <c r="D657" s="8" t="s">
        <v>107</v>
      </c>
      <c r="E657" s="9">
        <v>33247</v>
      </c>
      <c r="F657" s="8" t="s">
        <v>50</v>
      </c>
      <c r="G657" s="8" t="s">
        <v>126</v>
      </c>
      <c r="H657" s="8" t="s">
        <v>114</v>
      </c>
      <c r="I657" s="8" t="s">
        <v>438</v>
      </c>
      <c r="J657" s="8" t="s">
        <v>76</v>
      </c>
      <c r="K657" s="8" t="s">
        <v>44</v>
      </c>
      <c r="L657" s="8" t="s">
        <v>297</v>
      </c>
      <c r="M657" s="10" t="s">
        <v>1742</v>
      </c>
      <c r="N657" s="11" t="s">
        <v>1661</v>
      </c>
    </row>
    <row r="658" spans="1:14" ht="15.75" customHeight="1" x14ac:dyDescent="0.15">
      <c r="A658" s="6" t="s">
        <v>1743</v>
      </c>
      <c r="B658" s="12" t="s">
        <v>223</v>
      </c>
      <c r="C658" s="7" t="s">
        <v>1744</v>
      </c>
      <c r="D658" s="13" t="s">
        <v>39</v>
      </c>
      <c r="E658" s="14">
        <v>37804</v>
      </c>
      <c r="F658" s="13" t="s">
        <v>186</v>
      </c>
      <c r="G658" s="13" t="s">
        <v>93</v>
      </c>
      <c r="H658" s="13" t="s">
        <v>369</v>
      </c>
      <c r="I658" s="13" t="s">
        <v>337</v>
      </c>
      <c r="J658" s="13" t="s">
        <v>150</v>
      </c>
      <c r="K658" s="13" t="s">
        <v>44</v>
      </c>
      <c r="L658" s="13" t="s">
        <v>35</v>
      </c>
      <c r="M658" s="15" t="s">
        <v>141</v>
      </c>
      <c r="N658" s="11" t="s">
        <v>1661</v>
      </c>
    </row>
    <row r="659" spans="1:14" ht="15.75" customHeight="1" x14ac:dyDescent="0.15">
      <c r="A659" s="12" t="s">
        <v>1745</v>
      </c>
      <c r="B659" s="6" t="s">
        <v>227</v>
      </c>
      <c r="C659" s="7" t="s">
        <v>1746</v>
      </c>
      <c r="D659" s="8" t="s">
        <v>17</v>
      </c>
      <c r="E659" s="9">
        <v>36737</v>
      </c>
      <c r="F659" s="8" t="s">
        <v>40</v>
      </c>
      <c r="G659" s="8" t="s">
        <v>243</v>
      </c>
      <c r="H659" s="8" t="s">
        <v>74</v>
      </c>
      <c r="I659" s="8" t="s">
        <v>157</v>
      </c>
      <c r="J659" s="8" t="s">
        <v>76</v>
      </c>
      <c r="K659" s="8" t="s">
        <v>23</v>
      </c>
      <c r="L659" s="8" t="s">
        <v>511</v>
      </c>
      <c r="M659" s="10" t="s">
        <v>434</v>
      </c>
      <c r="N659" s="11" t="s">
        <v>1661</v>
      </c>
    </row>
    <row r="660" spans="1:14" ht="15.75" customHeight="1" x14ac:dyDescent="0.15">
      <c r="A660" s="6" t="s">
        <v>1747</v>
      </c>
      <c r="B660" s="12" t="s">
        <v>230</v>
      </c>
      <c r="C660" s="7" t="s">
        <v>1748</v>
      </c>
      <c r="D660" s="13" t="s">
        <v>17</v>
      </c>
      <c r="E660" s="14">
        <v>37796</v>
      </c>
      <c r="F660" s="13" t="s">
        <v>186</v>
      </c>
      <c r="G660" s="13" t="s">
        <v>243</v>
      </c>
      <c r="H660" s="13" t="s">
        <v>88</v>
      </c>
      <c r="I660" s="13" t="s">
        <v>342</v>
      </c>
      <c r="J660" s="13" t="s">
        <v>76</v>
      </c>
      <c r="K660" s="13" t="s">
        <v>23</v>
      </c>
      <c r="L660" s="13" t="s">
        <v>390</v>
      </c>
      <c r="M660" s="15" t="s">
        <v>248</v>
      </c>
      <c r="N660" s="11" t="s">
        <v>1661</v>
      </c>
    </row>
    <row r="661" spans="1:14" ht="15.75" customHeight="1" x14ac:dyDescent="0.15">
      <c r="A661" s="12" t="s">
        <v>1749</v>
      </c>
      <c r="B661" s="6" t="s">
        <v>234</v>
      </c>
      <c r="C661" s="7" t="s">
        <v>1750</v>
      </c>
      <c r="D661" s="8" t="s">
        <v>107</v>
      </c>
      <c r="E661" s="9">
        <v>37736</v>
      </c>
      <c r="F661" s="8" t="s">
        <v>186</v>
      </c>
      <c r="G661" s="8" t="s">
        <v>243</v>
      </c>
      <c r="H661" s="8" t="s">
        <v>369</v>
      </c>
      <c r="I661" s="8" t="s">
        <v>21</v>
      </c>
      <c r="J661" s="8" t="s">
        <v>54</v>
      </c>
      <c r="K661" s="8" t="s">
        <v>44</v>
      </c>
      <c r="L661" s="8" t="s">
        <v>24</v>
      </c>
      <c r="M661" s="10" t="s">
        <v>1136</v>
      </c>
      <c r="N661" s="11" t="s">
        <v>1661</v>
      </c>
    </row>
    <row r="662" spans="1:14" ht="15.75" customHeight="1" x14ac:dyDescent="0.15">
      <c r="A662" s="6" t="s">
        <v>1751</v>
      </c>
      <c r="B662" s="12" t="s">
        <v>236</v>
      </c>
      <c r="C662" s="7" t="s">
        <v>1752</v>
      </c>
      <c r="D662" s="13" t="s">
        <v>107</v>
      </c>
      <c r="E662" s="14">
        <v>37744</v>
      </c>
      <c r="F662" s="13" t="s">
        <v>186</v>
      </c>
      <c r="G662" s="13" t="s">
        <v>243</v>
      </c>
      <c r="H662" s="13" t="s">
        <v>156</v>
      </c>
      <c r="I662" s="13" t="s">
        <v>109</v>
      </c>
      <c r="J662" s="13" t="s">
        <v>76</v>
      </c>
      <c r="K662" s="13" t="s">
        <v>44</v>
      </c>
      <c r="L662" s="13" t="s">
        <v>297</v>
      </c>
      <c r="M662" s="15" t="s">
        <v>980</v>
      </c>
      <c r="N662" s="11" t="s">
        <v>1661</v>
      </c>
    </row>
    <row r="663" spans="1:14" ht="15.75" customHeight="1" x14ac:dyDescent="0.15">
      <c r="A663" s="6" t="s">
        <v>1753</v>
      </c>
      <c r="B663" s="6" t="s">
        <v>241</v>
      </c>
      <c r="C663" s="7" t="s">
        <v>1754</v>
      </c>
      <c r="D663" s="8" t="s">
        <v>107</v>
      </c>
      <c r="E663" s="9">
        <v>37854</v>
      </c>
      <c r="F663" s="8" t="s">
        <v>186</v>
      </c>
      <c r="G663" s="8" t="s">
        <v>243</v>
      </c>
      <c r="H663" s="8" t="s">
        <v>225</v>
      </c>
      <c r="I663" s="8" t="s">
        <v>61</v>
      </c>
      <c r="J663" s="8" t="s">
        <v>22</v>
      </c>
      <c r="K663" s="8" t="s">
        <v>44</v>
      </c>
      <c r="L663" s="8" t="s">
        <v>208</v>
      </c>
      <c r="M663" s="10" t="s">
        <v>474</v>
      </c>
      <c r="N663" s="11" t="s">
        <v>1661</v>
      </c>
    </row>
    <row r="664" spans="1:14" ht="15.75" customHeight="1" x14ac:dyDescent="0.15">
      <c r="A664" s="12" t="s">
        <v>1755</v>
      </c>
      <c r="B664" s="12" t="s">
        <v>246</v>
      </c>
      <c r="C664" s="7" t="s">
        <v>1756</v>
      </c>
      <c r="D664" s="13" t="s">
        <v>107</v>
      </c>
      <c r="E664" s="14">
        <v>34704</v>
      </c>
      <c r="F664" s="13" t="s">
        <v>59</v>
      </c>
      <c r="G664" s="13" t="s">
        <v>19</v>
      </c>
      <c r="H664" s="13" t="s">
        <v>144</v>
      </c>
      <c r="I664" s="13" t="s">
        <v>109</v>
      </c>
      <c r="J664" s="13" t="s">
        <v>22</v>
      </c>
      <c r="K664" s="13" t="s">
        <v>23</v>
      </c>
      <c r="L664" s="13" t="s">
        <v>84</v>
      </c>
      <c r="M664" s="15" t="s">
        <v>25</v>
      </c>
      <c r="N664" s="11" t="s">
        <v>1661</v>
      </c>
    </row>
    <row r="665" spans="1:14" ht="15.75" customHeight="1" x14ac:dyDescent="0.15">
      <c r="A665" s="6" t="s">
        <v>1757</v>
      </c>
      <c r="B665" s="6" t="s">
        <v>249</v>
      </c>
      <c r="C665" s="7" t="s">
        <v>1758</v>
      </c>
      <c r="D665" s="8" t="s">
        <v>17</v>
      </c>
      <c r="E665" s="16">
        <v>37920</v>
      </c>
      <c r="F665" s="8" t="s">
        <v>92</v>
      </c>
      <c r="G665" s="8" t="s">
        <v>93</v>
      </c>
      <c r="H665" s="8" t="s">
        <v>713</v>
      </c>
      <c r="I665" s="8" t="s">
        <v>69</v>
      </c>
      <c r="J665" s="8" t="s">
        <v>150</v>
      </c>
      <c r="K665" s="8" t="s">
        <v>23</v>
      </c>
      <c r="L665" s="8" t="s">
        <v>424</v>
      </c>
      <c r="M665" s="10" t="s">
        <v>161</v>
      </c>
      <c r="N665" s="11" t="s">
        <v>1661</v>
      </c>
    </row>
    <row r="666" spans="1:14" ht="15.75" customHeight="1" x14ac:dyDescent="0.15">
      <c r="A666" s="12" t="s">
        <v>1759</v>
      </c>
      <c r="B666" s="12" t="s">
        <v>253</v>
      </c>
      <c r="C666" s="7" t="s">
        <v>1760</v>
      </c>
      <c r="D666" s="13" t="s">
        <v>39</v>
      </c>
      <c r="E666" s="17">
        <v>36126</v>
      </c>
      <c r="F666" s="13" t="s">
        <v>30</v>
      </c>
      <c r="G666" s="13" t="s">
        <v>31</v>
      </c>
      <c r="H666" s="13" t="s">
        <v>74</v>
      </c>
      <c r="I666" s="13" t="s">
        <v>361</v>
      </c>
      <c r="J666" s="13" t="s">
        <v>76</v>
      </c>
      <c r="K666" s="13" t="s">
        <v>23</v>
      </c>
      <c r="L666" s="13" t="s">
        <v>244</v>
      </c>
      <c r="M666" s="15" t="s">
        <v>209</v>
      </c>
      <c r="N666" s="11" t="s">
        <v>1661</v>
      </c>
    </row>
    <row r="667" spans="1:14" ht="15.75" customHeight="1" x14ac:dyDescent="0.15">
      <c r="A667" s="6" t="s">
        <v>1761</v>
      </c>
      <c r="B667" s="6" t="s">
        <v>257</v>
      </c>
      <c r="C667" s="7" t="s">
        <v>1762</v>
      </c>
      <c r="D667" s="8" t="s">
        <v>17</v>
      </c>
      <c r="E667" s="9">
        <v>39212</v>
      </c>
      <c r="F667" s="8" t="s">
        <v>232</v>
      </c>
      <c r="G667" s="8" t="s">
        <v>93</v>
      </c>
      <c r="H667" s="8" t="s">
        <v>102</v>
      </c>
      <c r="I667" s="8" t="s">
        <v>582</v>
      </c>
      <c r="J667" s="8" t="s">
        <v>150</v>
      </c>
      <c r="K667" s="8" t="s">
        <v>23</v>
      </c>
      <c r="L667" s="8" t="s">
        <v>45</v>
      </c>
      <c r="M667" s="10" t="s">
        <v>1763</v>
      </c>
      <c r="N667" s="11" t="s">
        <v>1661</v>
      </c>
    </row>
    <row r="668" spans="1:14" ht="15.75" customHeight="1" x14ac:dyDescent="0.15">
      <c r="A668" s="6" t="s">
        <v>1764</v>
      </c>
      <c r="B668" s="12" t="s">
        <v>259</v>
      </c>
      <c r="C668" s="7" t="s">
        <v>1765</v>
      </c>
      <c r="D668" s="13" t="s">
        <v>107</v>
      </c>
      <c r="E668" s="14">
        <v>34608</v>
      </c>
      <c r="F668" s="13" t="s">
        <v>59</v>
      </c>
      <c r="G668" s="13" t="s">
        <v>60</v>
      </c>
      <c r="H668" s="13" t="s">
        <v>32</v>
      </c>
      <c r="I668" s="13" t="s">
        <v>43</v>
      </c>
      <c r="J668" s="13" t="s">
        <v>76</v>
      </c>
      <c r="K668" s="13" t="s">
        <v>44</v>
      </c>
      <c r="L668" s="13" t="s">
        <v>494</v>
      </c>
      <c r="M668" s="15" t="s">
        <v>1562</v>
      </c>
      <c r="N668" s="11" t="s">
        <v>1661</v>
      </c>
    </row>
    <row r="669" spans="1:14" ht="15.75" customHeight="1" x14ac:dyDescent="0.15">
      <c r="A669" s="12" t="s">
        <v>1766</v>
      </c>
      <c r="B669" s="6" t="s">
        <v>263</v>
      </c>
      <c r="C669" s="7" t="s">
        <v>1767</v>
      </c>
      <c r="D669" s="8" t="s">
        <v>39</v>
      </c>
      <c r="E669" s="9">
        <v>36959</v>
      </c>
      <c r="F669" s="8" t="s">
        <v>203</v>
      </c>
      <c r="G669" s="8" t="s">
        <v>19</v>
      </c>
      <c r="H669" s="8" t="s">
        <v>535</v>
      </c>
      <c r="I669" s="8" t="s">
        <v>651</v>
      </c>
      <c r="J669" s="8" t="s">
        <v>54</v>
      </c>
      <c r="K669" s="8" t="s">
        <v>44</v>
      </c>
      <c r="L669" s="8" t="s">
        <v>297</v>
      </c>
      <c r="M669" s="10" t="s">
        <v>434</v>
      </c>
      <c r="N669" s="11" t="s">
        <v>1661</v>
      </c>
    </row>
    <row r="670" spans="1:14" ht="15.75" customHeight="1" x14ac:dyDescent="0.15">
      <c r="A670" s="6" t="s">
        <v>1768</v>
      </c>
      <c r="B670" s="12" t="s">
        <v>266</v>
      </c>
      <c r="C670" s="7" t="s">
        <v>1769</v>
      </c>
      <c r="D670" s="13" t="s">
        <v>17</v>
      </c>
      <c r="E670" s="14">
        <v>37377</v>
      </c>
      <c r="F670" s="13" t="s">
        <v>137</v>
      </c>
      <c r="G670" s="13" t="s">
        <v>131</v>
      </c>
      <c r="H670" s="13" t="s">
        <v>102</v>
      </c>
      <c r="I670" s="13" t="s">
        <v>33</v>
      </c>
      <c r="J670" s="13" t="s">
        <v>76</v>
      </c>
      <c r="K670" s="13" t="s">
        <v>44</v>
      </c>
      <c r="L670" s="13" t="s">
        <v>218</v>
      </c>
      <c r="M670" s="15" t="s">
        <v>97</v>
      </c>
      <c r="N670" s="11" t="s">
        <v>1661</v>
      </c>
    </row>
    <row r="671" spans="1:14" ht="15.75" customHeight="1" x14ac:dyDescent="0.15">
      <c r="A671" s="12" t="s">
        <v>1770</v>
      </c>
      <c r="B671" s="6" t="s">
        <v>268</v>
      </c>
      <c r="C671" s="7" t="s">
        <v>1771</v>
      </c>
      <c r="D671" s="8" t="s">
        <v>107</v>
      </c>
      <c r="E671" s="9">
        <v>36313</v>
      </c>
      <c r="F671" s="8" t="s">
        <v>30</v>
      </c>
      <c r="G671" s="8" t="s">
        <v>243</v>
      </c>
      <c r="H671" s="8" t="s">
        <v>196</v>
      </c>
      <c r="I671" s="8" t="s">
        <v>382</v>
      </c>
      <c r="J671" s="8" t="s">
        <v>22</v>
      </c>
      <c r="K671" s="8" t="s">
        <v>23</v>
      </c>
      <c r="L671" s="8" t="s">
        <v>1006</v>
      </c>
      <c r="M671" s="10" t="s">
        <v>199</v>
      </c>
      <c r="N671" s="11" t="s">
        <v>1661</v>
      </c>
    </row>
    <row r="672" spans="1:14" ht="15.75" customHeight="1" x14ac:dyDescent="0.15">
      <c r="A672" s="6" t="s">
        <v>1772</v>
      </c>
      <c r="B672" s="12" t="s">
        <v>271</v>
      </c>
      <c r="C672" s="7" t="s">
        <v>1773</v>
      </c>
      <c r="D672" s="13" t="s">
        <v>17</v>
      </c>
      <c r="E672" s="14">
        <v>37371</v>
      </c>
      <c r="F672" s="13" t="s">
        <v>137</v>
      </c>
      <c r="G672" s="13" t="s">
        <v>31</v>
      </c>
      <c r="H672" s="13" t="s">
        <v>139</v>
      </c>
      <c r="I672" s="13" t="s">
        <v>21</v>
      </c>
      <c r="J672" s="13" t="s">
        <v>54</v>
      </c>
      <c r="K672" s="13" t="s">
        <v>23</v>
      </c>
      <c r="L672" s="13" t="s">
        <v>390</v>
      </c>
      <c r="M672" s="15" t="s">
        <v>963</v>
      </c>
      <c r="N672" s="11" t="s">
        <v>1661</v>
      </c>
    </row>
    <row r="673" spans="1:14" ht="15.75" customHeight="1" x14ac:dyDescent="0.15">
      <c r="A673" s="6" t="s">
        <v>1774</v>
      </c>
      <c r="B673" s="6" t="s">
        <v>275</v>
      </c>
      <c r="C673" s="7" t="s">
        <v>1775</v>
      </c>
      <c r="D673" s="8" t="s">
        <v>49</v>
      </c>
      <c r="E673" s="9">
        <v>39260</v>
      </c>
      <c r="F673" s="8" t="s">
        <v>232</v>
      </c>
      <c r="G673" s="8" t="s">
        <v>93</v>
      </c>
      <c r="H673" s="8" t="s">
        <v>102</v>
      </c>
      <c r="I673" s="8" t="s">
        <v>582</v>
      </c>
      <c r="J673" s="8" t="s">
        <v>150</v>
      </c>
      <c r="K673" s="8" t="s">
        <v>23</v>
      </c>
      <c r="L673" s="8" t="s">
        <v>128</v>
      </c>
      <c r="M673" s="10" t="s">
        <v>1763</v>
      </c>
      <c r="N673" s="11" t="s">
        <v>1661</v>
      </c>
    </row>
    <row r="674" spans="1:14" ht="15.75" customHeight="1" x14ac:dyDescent="0.15">
      <c r="A674" s="12" t="s">
        <v>1776</v>
      </c>
      <c r="B674" s="12" t="s">
        <v>278</v>
      </c>
      <c r="C674" s="7" t="s">
        <v>1777</v>
      </c>
      <c r="D674" s="13" t="s">
        <v>17</v>
      </c>
      <c r="E674" s="14">
        <v>36654</v>
      </c>
      <c r="F674" s="13" t="s">
        <v>40</v>
      </c>
      <c r="G674" s="13" t="s">
        <v>41</v>
      </c>
      <c r="H674" s="13" t="s">
        <v>82</v>
      </c>
      <c r="I674" s="13" t="s">
        <v>53</v>
      </c>
      <c r="J674" s="13" t="s">
        <v>54</v>
      </c>
      <c r="K674" s="13" t="s">
        <v>44</v>
      </c>
      <c r="L674" s="13" t="s">
        <v>110</v>
      </c>
      <c r="M674" s="15" t="s">
        <v>256</v>
      </c>
      <c r="N674" s="11" t="s">
        <v>1661</v>
      </c>
    </row>
    <row r="675" spans="1:14" ht="15.75" customHeight="1" x14ac:dyDescent="0.15">
      <c r="A675" s="6" t="s">
        <v>1778</v>
      </c>
      <c r="B675" s="6" t="s">
        <v>285</v>
      </c>
      <c r="C675" s="7" t="s">
        <v>1779</v>
      </c>
      <c r="D675" s="8" t="s">
        <v>49</v>
      </c>
      <c r="E675" s="9">
        <v>36909</v>
      </c>
      <c r="F675" s="8" t="s">
        <v>203</v>
      </c>
      <c r="G675" s="8" t="s">
        <v>41</v>
      </c>
      <c r="H675" s="8" t="s">
        <v>32</v>
      </c>
      <c r="I675" s="8" t="s">
        <v>197</v>
      </c>
      <c r="J675" s="8" t="s">
        <v>76</v>
      </c>
      <c r="K675" s="8" t="s">
        <v>44</v>
      </c>
      <c r="L675" s="8" t="s">
        <v>45</v>
      </c>
      <c r="M675" s="10" t="s">
        <v>36</v>
      </c>
      <c r="N675" s="11" t="s">
        <v>1661</v>
      </c>
    </row>
    <row r="676" spans="1:14" ht="15.75" customHeight="1" x14ac:dyDescent="0.15">
      <c r="A676" s="12" t="s">
        <v>1780</v>
      </c>
      <c r="B676" s="12" t="s">
        <v>288</v>
      </c>
      <c r="C676" s="7" t="s">
        <v>1781</v>
      </c>
      <c r="D676" s="13" t="s">
        <v>39</v>
      </c>
      <c r="E676" s="14">
        <v>35455</v>
      </c>
      <c r="F676" s="13" t="s">
        <v>148</v>
      </c>
      <c r="G676" s="13" t="s">
        <v>31</v>
      </c>
      <c r="H676" s="13" t="s">
        <v>179</v>
      </c>
      <c r="I676" s="13" t="s">
        <v>43</v>
      </c>
      <c r="J676" s="13" t="s">
        <v>54</v>
      </c>
      <c r="K676" s="13" t="s">
        <v>44</v>
      </c>
      <c r="L676" s="13" t="s">
        <v>128</v>
      </c>
      <c r="M676" s="15" t="s">
        <v>97</v>
      </c>
      <c r="N676" s="11" t="s">
        <v>1661</v>
      </c>
    </row>
    <row r="677" spans="1:14" ht="15.75" customHeight="1" x14ac:dyDescent="0.15">
      <c r="A677" s="6" t="s">
        <v>1782</v>
      </c>
      <c r="B677" s="6" t="s">
        <v>291</v>
      </c>
      <c r="C677" s="7" t="s">
        <v>1783</v>
      </c>
      <c r="D677" s="8" t="s">
        <v>107</v>
      </c>
      <c r="E677" s="9">
        <v>38915</v>
      </c>
      <c r="F677" s="8" t="s">
        <v>170</v>
      </c>
      <c r="G677" s="8" t="s">
        <v>131</v>
      </c>
      <c r="H677" s="8" t="s">
        <v>1300</v>
      </c>
      <c r="I677" s="8" t="s">
        <v>977</v>
      </c>
      <c r="J677" s="8" t="s">
        <v>22</v>
      </c>
      <c r="K677" s="8" t="s">
        <v>44</v>
      </c>
      <c r="L677" s="8" t="s">
        <v>277</v>
      </c>
      <c r="M677" s="10" t="s">
        <v>1763</v>
      </c>
      <c r="N677" s="11" t="s">
        <v>1661</v>
      </c>
    </row>
    <row r="678" spans="1:14" ht="15.75" customHeight="1" x14ac:dyDescent="0.15">
      <c r="A678" s="6" t="s">
        <v>1784</v>
      </c>
      <c r="B678" s="12" t="s">
        <v>295</v>
      </c>
      <c r="C678" s="7" t="s">
        <v>1785</v>
      </c>
      <c r="D678" s="13" t="s">
        <v>107</v>
      </c>
      <c r="E678" s="14">
        <v>37502</v>
      </c>
      <c r="F678" s="13" t="s">
        <v>137</v>
      </c>
      <c r="G678" s="13" t="s">
        <v>131</v>
      </c>
      <c r="H678" s="13" t="s">
        <v>114</v>
      </c>
      <c r="I678" s="13" t="s">
        <v>470</v>
      </c>
      <c r="J678" s="13" t="s">
        <v>54</v>
      </c>
      <c r="K678" s="13" t="s">
        <v>44</v>
      </c>
      <c r="L678" s="13" t="s">
        <v>55</v>
      </c>
      <c r="M678" s="15" t="s">
        <v>980</v>
      </c>
      <c r="N678" s="11" t="s">
        <v>1661</v>
      </c>
    </row>
    <row r="679" spans="1:14" ht="15.75" customHeight="1" x14ac:dyDescent="0.15">
      <c r="A679" s="12" t="s">
        <v>1786</v>
      </c>
      <c r="B679" s="6" t="s">
        <v>299</v>
      </c>
      <c r="C679" s="7" t="s">
        <v>1787</v>
      </c>
      <c r="D679" s="8" t="s">
        <v>49</v>
      </c>
      <c r="E679" s="9">
        <v>36690</v>
      </c>
      <c r="F679" s="8" t="s">
        <v>40</v>
      </c>
      <c r="G679" s="8" t="s">
        <v>19</v>
      </c>
      <c r="H679" s="8" t="s">
        <v>68</v>
      </c>
      <c r="I679" s="8" t="s">
        <v>213</v>
      </c>
      <c r="J679" s="8" t="s">
        <v>54</v>
      </c>
      <c r="K679" s="8" t="s">
        <v>23</v>
      </c>
      <c r="L679" s="8" t="s">
        <v>165</v>
      </c>
      <c r="M679" s="10" t="s">
        <v>434</v>
      </c>
      <c r="N679" s="11" t="s">
        <v>1661</v>
      </c>
    </row>
    <row r="680" spans="1:14" ht="15.75" customHeight="1" x14ac:dyDescent="0.15">
      <c r="A680" s="6" t="s">
        <v>1788</v>
      </c>
      <c r="B680" s="12" t="s">
        <v>303</v>
      </c>
      <c r="C680" s="7" t="s">
        <v>1789</v>
      </c>
      <c r="D680" s="13" t="s">
        <v>17</v>
      </c>
      <c r="E680" s="14">
        <v>38589</v>
      </c>
      <c r="F680" s="13" t="s">
        <v>217</v>
      </c>
      <c r="G680" s="13" t="s">
        <v>138</v>
      </c>
      <c r="H680" s="13" t="s">
        <v>144</v>
      </c>
      <c r="I680" s="13" t="s">
        <v>61</v>
      </c>
      <c r="J680" s="13" t="s">
        <v>34</v>
      </c>
      <c r="K680" s="13" t="s">
        <v>44</v>
      </c>
      <c r="L680" s="13" t="s">
        <v>35</v>
      </c>
      <c r="M680" s="15" t="s">
        <v>1763</v>
      </c>
      <c r="N680" s="11" t="s">
        <v>1661</v>
      </c>
    </row>
    <row r="681" spans="1:14" ht="15.75" customHeight="1" x14ac:dyDescent="0.15">
      <c r="A681" s="12" t="s">
        <v>1790</v>
      </c>
      <c r="B681" s="6" t="s">
        <v>306</v>
      </c>
      <c r="C681" s="7" t="s">
        <v>1791</v>
      </c>
      <c r="D681" s="8" t="s">
        <v>39</v>
      </c>
      <c r="E681" s="9">
        <v>36623</v>
      </c>
      <c r="F681" s="8" t="s">
        <v>40</v>
      </c>
      <c r="G681" s="8" t="s">
        <v>19</v>
      </c>
      <c r="H681" s="8" t="s">
        <v>579</v>
      </c>
      <c r="I681" s="8" t="s">
        <v>337</v>
      </c>
      <c r="J681" s="8" t="s">
        <v>54</v>
      </c>
      <c r="K681" s="8" t="s">
        <v>44</v>
      </c>
      <c r="L681" s="8" t="s">
        <v>218</v>
      </c>
      <c r="M681" s="10" t="s">
        <v>1792</v>
      </c>
      <c r="N681" s="11" t="s">
        <v>1661</v>
      </c>
    </row>
    <row r="682" spans="1:14" ht="15.75" customHeight="1" x14ac:dyDescent="0.15">
      <c r="A682" s="6" t="s">
        <v>1793</v>
      </c>
      <c r="B682" s="12" t="s">
        <v>308</v>
      </c>
      <c r="C682" s="7" t="s">
        <v>1794</v>
      </c>
      <c r="D682" s="13" t="s">
        <v>107</v>
      </c>
      <c r="E682" s="14">
        <v>36556</v>
      </c>
      <c r="F682" s="13" t="s">
        <v>40</v>
      </c>
      <c r="G682" s="13" t="s">
        <v>67</v>
      </c>
      <c r="H682" s="13" t="s">
        <v>446</v>
      </c>
      <c r="I682" s="13" t="s">
        <v>213</v>
      </c>
      <c r="J682" s="13" t="s">
        <v>54</v>
      </c>
      <c r="K682" s="13" t="s">
        <v>44</v>
      </c>
      <c r="L682" s="13" t="s">
        <v>78</v>
      </c>
      <c r="M682" s="15" t="s">
        <v>1278</v>
      </c>
      <c r="N682" s="11" t="s">
        <v>1661</v>
      </c>
    </row>
    <row r="683" spans="1:14" ht="15.75" customHeight="1" x14ac:dyDescent="0.15">
      <c r="A683" s="6" t="s">
        <v>1795</v>
      </c>
      <c r="B683" s="6" t="s">
        <v>350</v>
      </c>
      <c r="C683" s="7" t="s">
        <v>1796</v>
      </c>
      <c r="D683" s="8" t="s">
        <v>107</v>
      </c>
      <c r="E683" s="9">
        <v>33827</v>
      </c>
      <c r="F683" s="8" t="s">
        <v>430</v>
      </c>
      <c r="G683" s="8" t="s">
        <v>60</v>
      </c>
      <c r="H683" s="8" t="s">
        <v>369</v>
      </c>
      <c r="I683" s="8" t="s">
        <v>651</v>
      </c>
      <c r="J683" s="8" t="s">
        <v>34</v>
      </c>
      <c r="K683" s="8" t="s">
        <v>44</v>
      </c>
      <c r="L683" s="8" t="s">
        <v>198</v>
      </c>
      <c r="M683" s="10" t="s">
        <v>79</v>
      </c>
      <c r="N683" s="11" t="s">
        <v>1661</v>
      </c>
    </row>
    <row r="684" spans="1:14" ht="15.75" customHeight="1" x14ac:dyDescent="0.15">
      <c r="A684" s="12" t="s">
        <v>1797</v>
      </c>
      <c r="B684" s="12" t="s">
        <v>407</v>
      </c>
      <c r="C684" s="7" t="s">
        <v>1798</v>
      </c>
      <c r="D684" s="13" t="s">
        <v>107</v>
      </c>
      <c r="E684" s="14">
        <v>36769</v>
      </c>
      <c r="F684" s="13" t="s">
        <v>40</v>
      </c>
      <c r="G684" s="13" t="s">
        <v>204</v>
      </c>
      <c r="H684" s="13" t="s">
        <v>94</v>
      </c>
      <c r="I684" s="13" t="s">
        <v>385</v>
      </c>
      <c r="J684" s="13" t="s">
        <v>54</v>
      </c>
      <c r="K684" s="13" t="s">
        <v>44</v>
      </c>
      <c r="L684" s="13" t="s">
        <v>244</v>
      </c>
      <c r="M684" s="15" t="s">
        <v>270</v>
      </c>
      <c r="N684" s="11" t="s">
        <v>1661</v>
      </c>
    </row>
    <row r="685" spans="1:14" ht="15.75" customHeight="1" x14ac:dyDescent="0.15">
      <c r="A685" s="6" t="s">
        <v>1799</v>
      </c>
      <c r="B685" s="6" t="s">
        <v>321</v>
      </c>
      <c r="C685" s="7" t="s">
        <v>1800</v>
      </c>
      <c r="D685" s="8" t="s">
        <v>107</v>
      </c>
      <c r="E685" s="9">
        <v>36672</v>
      </c>
      <c r="F685" s="8" t="s">
        <v>40</v>
      </c>
      <c r="G685" s="8" t="s">
        <v>19</v>
      </c>
      <c r="H685" s="8" t="s">
        <v>369</v>
      </c>
      <c r="I685" s="8" t="s">
        <v>1021</v>
      </c>
      <c r="J685" s="8" t="s">
        <v>54</v>
      </c>
      <c r="K685" s="8" t="s">
        <v>23</v>
      </c>
      <c r="L685" s="8" t="s">
        <v>165</v>
      </c>
      <c r="M685" s="10" t="s">
        <v>219</v>
      </c>
      <c r="N685" s="11" t="s">
        <v>1661</v>
      </c>
    </row>
    <row r="686" spans="1:14" ht="15.75" customHeight="1" x14ac:dyDescent="0.15">
      <c r="A686" s="12" t="s">
        <v>1801</v>
      </c>
      <c r="B686" s="12" t="s">
        <v>325</v>
      </c>
      <c r="C686" s="7" t="s">
        <v>1802</v>
      </c>
      <c r="D686" s="13" t="s">
        <v>17</v>
      </c>
      <c r="E686" s="14">
        <v>38004</v>
      </c>
      <c r="F686" s="13" t="s">
        <v>92</v>
      </c>
      <c r="G686" s="13" t="s">
        <v>93</v>
      </c>
      <c r="H686" s="13" t="s">
        <v>94</v>
      </c>
      <c r="I686" s="13" t="s">
        <v>385</v>
      </c>
      <c r="J686" s="13" t="s">
        <v>150</v>
      </c>
      <c r="K686" s="13" t="s">
        <v>44</v>
      </c>
      <c r="L686" s="13" t="s">
        <v>128</v>
      </c>
      <c r="M686" s="15" t="s">
        <v>1803</v>
      </c>
      <c r="N686" s="11" t="s">
        <v>1661</v>
      </c>
    </row>
    <row r="687" spans="1:14" ht="15.75" customHeight="1" x14ac:dyDescent="0.15">
      <c r="A687" s="6" t="s">
        <v>1804</v>
      </c>
      <c r="B687" s="6" t="s">
        <v>412</v>
      </c>
      <c r="C687" s="7" t="s">
        <v>1805</v>
      </c>
      <c r="D687" s="8" t="s">
        <v>107</v>
      </c>
      <c r="E687" s="9">
        <v>38393</v>
      </c>
      <c r="F687" s="8" t="s">
        <v>217</v>
      </c>
      <c r="G687" s="8" t="s">
        <v>138</v>
      </c>
      <c r="H687" s="8" t="s">
        <v>114</v>
      </c>
      <c r="I687" s="8" t="s">
        <v>61</v>
      </c>
      <c r="J687" s="8" t="s">
        <v>150</v>
      </c>
      <c r="K687" s="8" t="s">
        <v>23</v>
      </c>
      <c r="L687" s="8" t="s">
        <v>751</v>
      </c>
      <c r="M687" s="10" t="s">
        <v>262</v>
      </c>
      <c r="N687" s="11" t="s">
        <v>1661</v>
      </c>
    </row>
    <row r="688" spans="1:14" ht="15.75" customHeight="1" x14ac:dyDescent="0.15">
      <c r="A688" s="6" t="s">
        <v>1806</v>
      </c>
      <c r="B688" s="12" t="s">
        <v>330</v>
      </c>
      <c r="C688" s="7" t="s">
        <v>1807</v>
      </c>
      <c r="D688" s="13" t="s">
        <v>49</v>
      </c>
      <c r="E688" s="14">
        <v>35868</v>
      </c>
      <c r="F688" s="13" t="s">
        <v>212</v>
      </c>
      <c r="G688" s="13" t="s">
        <v>204</v>
      </c>
      <c r="H688" s="13" t="s">
        <v>74</v>
      </c>
      <c r="I688" s="13" t="s">
        <v>385</v>
      </c>
      <c r="J688" s="13" t="s">
        <v>54</v>
      </c>
      <c r="K688" s="13" t="s">
        <v>44</v>
      </c>
      <c r="L688" s="13" t="s">
        <v>198</v>
      </c>
      <c r="M688" s="15" t="s">
        <v>1808</v>
      </c>
      <c r="N688" s="11" t="s">
        <v>1661</v>
      </c>
    </row>
    <row r="689" spans="1:14" ht="15.75" customHeight="1" x14ac:dyDescent="0.15">
      <c r="A689" s="12" t="s">
        <v>1809</v>
      </c>
      <c r="B689" s="6" t="s">
        <v>335</v>
      </c>
      <c r="C689" s="7" t="s">
        <v>1810</v>
      </c>
      <c r="D689" s="8" t="s">
        <v>39</v>
      </c>
      <c r="E689" s="9">
        <v>34887</v>
      </c>
      <c r="F689" s="8" t="s">
        <v>59</v>
      </c>
      <c r="G689" s="8" t="s">
        <v>138</v>
      </c>
      <c r="H689" s="8" t="s">
        <v>333</v>
      </c>
      <c r="I689" s="8" t="s">
        <v>1811</v>
      </c>
      <c r="J689" s="8" t="s">
        <v>150</v>
      </c>
      <c r="K689" s="8" t="s">
        <v>44</v>
      </c>
      <c r="L689" s="8" t="s">
        <v>324</v>
      </c>
      <c r="M689" s="10" t="s">
        <v>89</v>
      </c>
      <c r="N689" s="11" t="s">
        <v>1661</v>
      </c>
    </row>
    <row r="690" spans="1:14" ht="15.75" customHeight="1" x14ac:dyDescent="0.15">
      <c r="A690" s="6" t="s">
        <v>1812</v>
      </c>
      <c r="B690" s="12" t="s">
        <v>452</v>
      </c>
      <c r="C690" s="7" t="s">
        <v>1813</v>
      </c>
      <c r="D690" s="13" t="s">
        <v>17</v>
      </c>
      <c r="E690" s="17">
        <v>38684</v>
      </c>
      <c r="F690" s="13" t="s">
        <v>170</v>
      </c>
      <c r="G690" s="13" t="s">
        <v>138</v>
      </c>
      <c r="H690" s="13" t="s">
        <v>191</v>
      </c>
      <c r="I690" s="13" t="s">
        <v>192</v>
      </c>
      <c r="J690" s="13" t="s">
        <v>22</v>
      </c>
      <c r="K690" s="13" t="s">
        <v>44</v>
      </c>
      <c r="L690" s="13" t="s">
        <v>78</v>
      </c>
      <c r="M690" s="15" t="s">
        <v>1803</v>
      </c>
      <c r="N690" s="11" t="s">
        <v>1661</v>
      </c>
    </row>
    <row r="691" spans="1:14" ht="15.75" customHeight="1" x14ac:dyDescent="0.15">
      <c r="A691" s="12" t="s">
        <v>1814</v>
      </c>
      <c r="B691" s="6" t="s">
        <v>456</v>
      </c>
      <c r="C691" s="7" t="s">
        <v>1815</v>
      </c>
      <c r="D691" s="8" t="s">
        <v>107</v>
      </c>
      <c r="E691" s="9">
        <v>38729</v>
      </c>
      <c r="F691" s="8" t="s">
        <v>170</v>
      </c>
      <c r="G691" s="8" t="s">
        <v>138</v>
      </c>
      <c r="H691" s="8" t="s">
        <v>369</v>
      </c>
      <c r="I691" s="8" t="s">
        <v>192</v>
      </c>
      <c r="J691" s="8" t="s">
        <v>54</v>
      </c>
      <c r="K691" s="8" t="s">
        <v>77</v>
      </c>
      <c r="L691" s="8" t="s">
        <v>297</v>
      </c>
      <c r="M691" s="10" t="s">
        <v>1803</v>
      </c>
      <c r="N691" s="11" t="s">
        <v>1661</v>
      </c>
    </row>
    <row r="692" spans="1:14" ht="15.75" customHeight="1" x14ac:dyDescent="0.15">
      <c r="A692" s="6" t="s">
        <v>1816</v>
      </c>
      <c r="B692" s="12" t="s">
        <v>459</v>
      </c>
      <c r="C692" s="7" t="s">
        <v>1817</v>
      </c>
      <c r="D692" s="13" t="s">
        <v>107</v>
      </c>
      <c r="E692" s="14">
        <v>37393</v>
      </c>
      <c r="F692" s="13" t="s">
        <v>137</v>
      </c>
      <c r="G692" s="13" t="s">
        <v>31</v>
      </c>
      <c r="H692" s="13" t="s">
        <v>171</v>
      </c>
      <c r="I692" s="13" t="s">
        <v>651</v>
      </c>
      <c r="J692" s="13" t="s">
        <v>54</v>
      </c>
      <c r="K692" s="13" t="s">
        <v>44</v>
      </c>
      <c r="L692" s="13" t="s">
        <v>647</v>
      </c>
      <c r="M692" s="15" t="s">
        <v>628</v>
      </c>
      <c r="N692" s="11" t="s">
        <v>1661</v>
      </c>
    </row>
    <row r="693" spans="1:14" ht="15.75" customHeight="1" x14ac:dyDescent="0.15">
      <c r="A693" s="6" t="s">
        <v>1818</v>
      </c>
      <c r="B693" s="6" t="s">
        <v>340</v>
      </c>
      <c r="C693" s="7" t="s">
        <v>1819</v>
      </c>
      <c r="D693" s="8" t="s">
        <v>49</v>
      </c>
      <c r="E693" s="9">
        <v>38250</v>
      </c>
      <c r="F693" s="8" t="s">
        <v>217</v>
      </c>
      <c r="G693" s="8" t="s">
        <v>138</v>
      </c>
      <c r="H693" s="8" t="s">
        <v>139</v>
      </c>
      <c r="I693" s="8" t="s">
        <v>192</v>
      </c>
      <c r="J693" s="8" t="s">
        <v>22</v>
      </c>
      <c r="K693" s="8" t="s">
        <v>23</v>
      </c>
      <c r="L693" s="8" t="s">
        <v>62</v>
      </c>
      <c r="M693" s="10" t="s">
        <v>318</v>
      </c>
      <c r="N693" s="11" t="s">
        <v>1661</v>
      </c>
    </row>
    <row r="694" spans="1:14" ht="15.75" customHeight="1" x14ac:dyDescent="0.15">
      <c r="A694" s="12" t="s">
        <v>1820</v>
      </c>
      <c r="B694" s="12" t="s">
        <v>344</v>
      </c>
      <c r="C694" s="7" t="s">
        <v>1821</v>
      </c>
      <c r="D694" s="13" t="s">
        <v>107</v>
      </c>
      <c r="E694" s="14">
        <v>39124</v>
      </c>
      <c r="F694" s="13" t="s">
        <v>232</v>
      </c>
      <c r="G694" s="13" t="s">
        <v>131</v>
      </c>
      <c r="H694" s="13" t="s">
        <v>94</v>
      </c>
      <c r="I694" s="13" t="s">
        <v>382</v>
      </c>
      <c r="J694" s="13" t="s">
        <v>54</v>
      </c>
      <c r="K694" s="13" t="s">
        <v>44</v>
      </c>
      <c r="L694" s="13" t="s">
        <v>35</v>
      </c>
      <c r="M694" s="15" t="s">
        <v>1803</v>
      </c>
      <c r="N694" s="11" t="s">
        <v>1661</v>
      </c>
    </row>
    <row r="695" spans="1:14" ht="15.75" customHeight="1" x14ac:dyDescent="0.15">
      <c r="A695" s="6" t="s">
        <v>1822</v>
      </c>
      <c r="B695" s="6" t="s">
        <v>347</v>
      </c>
      <c r="C695" s="7" t="s">
        <v>1823</v>
      </c>
      <c r="D695" s="8" t="s">
        <v>107</v>
      </c>
      <c r="E695" s="16">
        <v>39046</v>
      </c>
      <c r="F695" s="8" t="s">
        <v>232</v>
      </c>
      <c r="G695" s="8" t="s">
        <v>131</v>
      </c>
      <c r="H695" s="8" t="s">
        <v>42</v>
      </c>
      <c r="I695" s="8" t="s">
        <v>43</v>
      </c>
      <c r="J695" s="8" t="s">
        <v>54</v>
      </c>
      <c r="K695" s="8" t="s">
        <v>77</v>
      </c>
      <c r="L695" s="8" t="s">
        <v>128</v>
      </c>
      <c r="M695" s="10" t="s">
        <v>1803</v>
      </c>
      <c r="N695" s="11" t="s">
        <v>1661</v>
      </c>
    </row>
    <row r="696" spans="1:14" ht="15.75" customHeight="1" x14ac:dyDescent="0.15">
      <c r="A696" s="12" t="s">
        <v>1824</v>
      </c>
      <c r="B696" s="12" t="s">
        <v>481</v>
      </c>
      <c r="C696" s="7" t="s">
        <v>1825</v>
      </c>
      <c r="D696" s="13" t="s">
        <v>107</v>
      </c>
      <c r="E696" s="14">
        <v>37727</v>
      </c>
      <c r="F696" s="13" t="s">
        <v>186</v>
      </c>
      <c r="G696" s="13" t="s">
        <v>93</v>
      </c>
      <c r="H696" s="13" t="s">
        <v>156</v>
      </c>
      <c r="I696" s="13" t="s">
        <v>157</v>
      </c>
      <c r="J696" s="13" t="s">
        <v>150</v>
      </c>
      <c r="K696" s="13" t="s">
        <v>23</v>
      </c>
      <c r="L696" s="13" t="s">
        <v>310</v>
      </c>
      <c r="M696" s="15" t="s">
        <v>1803</v>
      </c>
      <c r="N696" s="11" t="s">
        <v>1661</v>
      </c>
    </row>
    <row r="697" spans="1:14" ht="15.75" customHeight="1" x14ac:dyDescent="0.15">
      <c r="A697" s="6" t="s">
        <v>1826</v>
      </c>
      <c r="B697" s="6" t="s">
        <v>355</v>
      </c>
      <c r="C697" s="7" t="s">
        <v>1827</v>
      </c>
      <c r="D697" s="8" t="s">
        <v>39</v>
      </c>
      <c r="E697" s="9">
        <v>38222</v>
      </c>
      <c r="F697" s="8" t="s">
        <v>92</v>
      </c>
      <c r="G697" s="8" t="s">
        <v>41</v>
      </c>
      <c r="H697" s="8" t="s">
        <v>88</v>
      </c>
      <c r="I697" s="8" t="s">
        <v>95</v>
      </c>
      <c r="J697" s="8" t="s">
        <v>34</v>
      </c>
      <c r="K697" s="8" t="s">
        <v>23</v>
      </c>
      <c r="L697" s="8" t="s">
        <v>310</v>
      </c>
      <c r="M697" s="10" t="s">
        <v>318</v>
      </c>
      <c r="N697" s="11" t="s">
        <v>1661</v>
      </c>
    </row>
    <row r="698" spans="1:14" ht="15.75" customHeight="1" x14ac:dyDescent="0.15">
      <c r="A698" s="6" t="s">
        <v>1828</v>
      </c>
      <c r="B698" s="12" t="s">
        <v>487</v>
      </c>
      <c r="C698" s="7" t="s">
        <v>1829</v>
      </c>
      <c r="D698" s="13" t="s">
        <v>39</v>
      </c>
      <c r="E698" s="14">
        <v>36308</v>
      </c>
      <c r="F698" s="13" t="s">
        <v>30</v>
      </c>
      <c r="G698" s="13" t="s">
        <v>41</v>
      </c>
      <c r="H698" s="13" t="s">
        <v>20</v>
      </c>
      <c r="I698" s="13" t="s">
        <v>414</v>
      </c>
      <c r="J698" s="13" t="s">
        <v>150</v>
      </c>
      <c r="K698" s="13" t="s">
        <v>44</v>
      </c>
      <c r="L698" s="13" t="s">
        <v>1830</v>
      </c>
      <c r="M698" s="15" t="s">
        <v>318</v>
      </c>
      <c r="N698" s="11" t="s">
        <v>1661</v>
      </c>
    </row>
    <row r="699" spans="1:14" ht="15.75" customHeight="1" x14ac:dyDescent="0.15">
      <c r="A699" s="12" t="s">
        <v>1831</v>
      </c>
      <c r="B699" s="6" t="s">
        <v>518</v>
      </c>
      <c r="C699" s="7" t="s">
        <v>1832</v>
      </c>
      <c r="D699" s="8" t="s">
        <v>107</v>
      </c>
      <c r="E699" s="16">
        <v>35413</v>
      </c>
      <c r="F699" s="8" t="s">
        <v>148</v>
      </c>
      <c r="G699" s="8" t="s">
        <v>19</v>
      </c>
      <c r="H699" s="8" t="s">
        <v>74</v>
      </c>
      <c r="I699" s="8" t="s">
        <v>265</v>
      </c>
      <c r="J699" s="8" t="s">
        <v>54</v>
      </c>
      <c r="K699" s="8" t="s">
        <v>77</v>
      </c>
      <c r="L699" s="8" t="s">
        <v>128</v>
      </c>
      <c r="M699" s="10" t="s">
        <v>467</v>
      </c>
      <c r="N699" s="11" t="s">
        <v>1661</v>
      </c>
    </row>
    <row r="700" spans="1:14" ht="15.75" customHeight="1" x14ac:dyDescent="0.15">
      <c r="A700" s="6" t="s">
        <v>1833</v>
      </c>
      <c r="B700" s="12" t="s">
        <v>551</v>
      </c>
      <c r="C700" s="7" t="s">
        <v>1834</v>
      </c>
      <c r="D700" s="13" t="s">
        <v>107</v>
      </c>
      <c r="E700" s="17">
        <v>38304</v>
      </c>
      <c r="F700" s="13" t="s">
        <v>217</v>
      </c>
      <c r="G700" s="13" t="s">
        <v>41</v>
      </c>
      <c r="H700" s="13" t="s">
        <v>196</v>
      </c>
      <c r="I700" s="13" t="s">
        <v>756</v>
      </c>
      <c r="J700" s="13" t="s">
        <v>54</v>
      </c>
      <c r="K700" s="13" t="s">
        <v>44</v>
      </c>
      <c r="L700" s="13" t="s">
        <v>390</v>
      </c>
      <c r="M700" s="15" t="s">
        <v>1763</v>
      </c>
      <c r="N700" s="11" t="s">
        <v>1661</v>
      </c>
    </row>
    <row r="701" spans="1:14" ht="15.75" customHeight="1" x14ac:dyDescent="0.15">
      <c r="A701" s="12" t="s">
        <v>1835</v>
      </c>
      <c r="B701" s="6" t="s">
        <v>563</v>
      </c>
      <c r="C701" s="7" t="s">
        <v>1836</v>
      </c>
      <c r="D701" s="8" t="s">
        <v>107</v>
      </c>
      <c r="E701" s="9">
        <v>37711</v>
      </c>
      <c r="F701" s="8" t="s">
        <v>186</v>
      </c>
      <c r="G701" s="8" t="s">
        <v>31</v>
      </c>
      <c r="H701" s="8" t="s">
        <v>52</v>
      </c>
      <c r="I701" s="8" t="s">
        <v>157</v>
      </c>
      <c r="J701" s="8" t="s">
        <v>22</v>
      </c>
      <c r="K701" s="8" t="s">
        <v>77</v>
      </c>
      <c r="L701" s="8" t="s">
        <v>128</v>
      </c>
      <c r="M701" s="10" t="s">
        <v>727</v>
      </c>
      <c r="N701" s="11" t="s">
        <v>1661</v>
      </c>
    </row>
    <row r="702" spans="1:14" ht="15.75" customHeight="1" x14ac:dyDescent="0.15">
      <c r="A702" s="6" t="s">
        <v>1837</v>
      </c>
      <c r="B702" s="12" t="s">
        <v>591</v>
      </c>
      <c r="C702" s="7" t="s">
        <v>1838</v>
      </c>
      <c r="D702" s="13" t="s">
        <v>39</v>
      </c>
      <c r="E702" s="14">
        <v>38460</v>
      </c>
      <c r="F702" s="13" t="s">
        <v>217</v>
      </c>
      <c r="G702" s="13" t="s">
        <v>138</v>
      </c>
      <c r="H702" s="13" t="s">
        <v>42</v>
      </c>
      <c r="I702" s="13" t="s">
        <v>149</v>
      </c>
      <c r="J702" s="13" t="s">
        <v>150</v>
      </c>
      <c r="K702" s="13" t="s">
        <v>44</v>
      </c>
      <c r="L702" s="13" t="s">
        <v>277</v>
      </c>
      <c r="M702" s="15" t="s">
        <v>1763</v>
      </c>
      <c r="N702" s="11" t="s">
        <v>1661</v>
      </c>
    </row>
    <row r="703" spans="1:14" ht="15.75" customHeight="1" x14ac:dyDescent="0.15">
      <c r="A703" s="6" t="s">
        <v>1839</v>
      </c>
      <c r="B703" s="6" t="s">
        <v>28</v>
      </c>
      <c r="C703" s="7" t="s">
        <v>1840</v>
      </c>
      <c r="D703" s="8" t="s">
        <v>107</v>
      </c>
      <c r="E703" s="9">
        <v>35863</v>
      </c>
      <c r="F703" s="8" t="s">
        <v>212</v>
      </c>
      <c r="G703" s="8" t="s">
        <v>138</v>
      </c>
      <c r="H703" s="8" t="s">
        <v>114</v>
      </c>
      <c r="I703" s="8" t="s">
        <v>115</v>
      </c>
      <c r="J703" s="8" t="s">
        <v>150</v>
      </c>
      <c r="K703" s="8" t="s">
        <v>44</v>
      </c>
      <c r="L703" s="8" t="s">
        <v>490</v>
      </c>
      <c r="M703" s="10" t="s">
        <v>193</v>
      </c>
      <c r="N703" s="11" t="s">
        <v>1841</v>
      </c>
    </row>
    <row r="704" spans="1:14" ht="15.75" customHeight="1" x14ac:dyDescent="0.15">
      <c r="A704" s="12" t="s">
        <v>1842</v>
      </c>
      <c r="B704" s="12" t="s">
        <v>15</v>
      </c>
      <c r="C704" s="7" t="s">
        <v>1843</v>
      </c>
      <c r="D704" s="13" t="s">
        <v>39</v>
      </c>
      <c r="E704" s="14">
        <v>36405</v>
      </c>
      <c r="F704" s="13" t="s">
        <v>30</v>
      </c>
      <c r="G704" s="13" t="s">
        <v>243</v>
      </c>
      <c r="H704" s="13" t="s">
        <v>74</v>
      </c>
      <c r="I704" s="13" t="s">
        <v>261</v>
      </c>
      <c r="J704" s="13" t="s">
        <v>22</v>
      </c>
      <c r="K704" s="13" t="s">
        <v>77</v>
      </c>
      <c r="L704" s="13" t="s">
        <v>218</v>
      </c>
      <c r="M704" s="15" t="s">
        <v>794</v>
      </c>
      <c r="N704" s="11" t="s">
        <v>1841</v>
      </c>
    </row>
    <row r="705" spans="1:14" ht="15.75" customHeight="1" x14ac:dyDescent="0.15">
      <c r="A705" s="6" t="s">
        <v>1844</v>
      </c>
      <c r="B705" s="6" t="s">
        <v>14</v>
      </c>
      <c r="C705" s="7" t="s">
        <v>1845</v>
      </c>
      <c r="D705" s="8" t="s">
        <v>17</v>
      </c>
      <c r="E705" s="9">
        <v>36936</v>
      </c>
      <c r="F705" s="8" t="s">
        <v>203</v>
      </c>
      <c r="G705" s="8" t="s">
        <v>19</v>
      </c>
      <c r="H705" s="8" t="s">
        <v>32</v>
      </c>
      <c r="I705" s="8" t="s">
        <v>213</v>
      </c>
      <c r="J705" s="8" t="s">
        <v>76</v>
      </c>
      <c r="K705" s="8" t="s">
        <v>44</v>
      </c>
      <c r="L705" s="8" t="s">
        <v>35</v>
      </c>
      <c r="M705" s="10" t="s">
        <v>704</v>
      </c>
      <c r="N705" s="11" t="s">
        <v>1841</v>
      </c>
    </row>
    <row r="706" spans="1:14" ht="15.75" customHeight="1" x14ac:dyDescent="0.15">
      <c r="A706" s="12" t="s">
        <v>1846</v>
      </c>
      <c r="B706" s="12" t="s">
        <v>1847</v>
      </c>
      <c r="C706" s="7" t="s">
        <v>1848</v>
      </c>
      <c r="D706" s="13" t="s">
        <v>39</v>
      </c>
      <c r="E706" s="14">
        <v>37711</v>
      </c>
      <c r="F706" s="13" t="s">
        <v>186</v>
      </c>
      <c r="G706" s="13" t="s">
        <v>93</v>
      </c>
      <c r="H706" s="13" t="s">
        <v>369</v>
      </c>
      <c r="I706" s="13" t="s">
        <v>382</v>
      </c>
      <c r="J706" s="13" t="s">
        <v>54</v>
      </c>
      <c r="K706" s="13" t="s">
        <v>44</v>
      </c>
      <c r="L706" s="13" t="s">
        <v>78</v>
      </c>
      <c r="M706" s="15" t="s">
        <v>1849</v>
      </c>
      <c r="N706" s="11" t="s">
        <v>1841</v>
      </c>
    </row>
    <row r="707" spans="1:14" ht="15.75" customHeight="1" x14ac:dyDescent="0.15">
      <c r="A707" s="6" t="s">
        <v>1850</v>
      </c>
      <c r="B707" s="6" t="s">
        <v>588</v>
      </c>
      <c r="C707" s="7" t="s">
        <v>1851</v>
      </c>
      <c r="D707" s="8" t="s">
        <v>107</v>
      </c>
      <c r="E707" s="9">
        <v>37698</v>
      </c>
      <c r="F707" s="8" t="s">
        <v>186</v>
      </c>
      <c r="G707" s="8" t="s">
        <v>93</v>
      </c>
      <c r="H707" s="8" t="s">
        <v>579</v>
      </c>
      <c r="I707" s="8" t="s">
        <v>977</v>
      </c>
      <c r="J707" s="8" t="s">
        <v>150</v>
      </c>
      <c r="K707" s="8" t="s">
        <v>44</v>
      </c>
      <c r="L707" s="8" t="s">
        <v>218</v>
      </c>
      <c r="M707" s="10" t="s">
        <v>1849</v>
      </c>
      <c r="N707" s="11" t="s">
        <v>1841</v>
      </c>
    </row>
    <row r="708" spans="1:14" ht="15.75" customHeight="1" x14ac:dyDescent="0.15">
      <c r="A708" s="6" t="s">
        <v>1852</v>
      </c>
      <c r="B708" s="12" t="s">
        <v>27</v>
      </c>
      <c r="C708" s="7" t="s">
        <v>1853</v>
      </c>
      <c r="D708" s="13" t="s">
        <v>49</v>
      </c>
      <c r="E708" s="14">
        <v>34976</v>
      </c>
      <c r="F708" s="13" t="s">
        <v>66</v>
      </c>
      <c r="G708" s="13" t="s">
        <v>51</v>
      </c>
      <c r="H708" s="13" t="s">
        <v>94</v>
      </c>
      <c r="I708" s="13" t="s">
        <v>149</v>
      </c>
      <c r="J708" s="13" t="s">
        <v>22</v>
      </c>
      <c r="K708" s="13" t="s">
        <v>44</v>
      </c>
      <c r="L708" s="13" t="s">
        <v>244</v>
      </c>
      <c r="M708" s="15" t="s">
        <v>641</v>
      </c>
      <c r="N708" s="11" t="s">
        <v>1841</v>
      </c>
    </row>
    <row r="709" spans="1:14" ht="15.75" customHeight="1" x14ac:dyDescent="0.15">
      <c r="A709" s="12" t="s">
        <v>1854</v>
      </c>
      <c r="B709" s="6" t="s">
        <v>1855</v>
      </c>
      <c r="C709" s="7" t="s">
        <v>1856</v>
      </c>
      <c r="D709" s="8" t="s">
        <v>17</v>
      </c>
      <c r="E709" s="16">
        <v>39446</v>
      </c>
      <c r="F709" s="8" t="s">
        <v>571</v>
      </c>
      <c r="G709" s="8" t="s">
        <v>93</v>
      </c>
      <c r="H709" s="8" t="s">
        <v>94</v>
      </c>
      <c r="I709" s="8" t="s">
        <v>21</v>
      </c>
      <c r="J709" s="8" t="s">
        <v>54</v>
      </c>
      <c r="K709" s="8" t="s">
        <v>44</v>
      </c>
      <c r="L709" s="8" t="s">
        <v>390</v>
      </c>
      <c r="M709" s="10" t="s">
        <v>1849</v>
      </c>
      <c r="N709" s="11" t="s">
        <v>1841</v>
      </c>
    </row>
    <row r="710" spans="1:14" ht="15.75" customHeight="1" x14ac:dyDescent="0.15">
      <c r="A710" s="6" t="s">
        <v>1857</v>
      </c>
      <c r="B710" s="12" t="s">
        <v>47</v>
      </c>
      <c r="C710" s="7" t="s">
        <v>1858</v>
      </c>
      <c r="D710" s="13" t="s">
        <v>49</v>
      </c>
      <c r="E710" s="14">
        <v>34919</v>
      </c>
      <c r="F710" s="13" t="s">
        <v>59</v>
      </c>
      <c r="G710" s="13" t="s">
        <v>51</v>
      </c>
      <c r="H710" s="13" t="s">
        <v>132</v>
      </c>
      <c r="I710" s="13" t="s">
        <v>385</v>
      </c>
      <c r="J710" s="13" t="s">
        <v>54</v>
      </c>
      <c r="K710" s="13" t="s">
        <v>23</v>
      </c>
      <c r="L710" s="13" t="s">
        <v>35</v>
      </c>
      <c r="M710" s="15" t="s">
        <v>1459</v>
      </c>
      <c r="N710" s="11" t="s">
        <v>1841</v>
      </c>
    </row>
    <row r="711" spans="1:14" ht="15.75" customHeight="1" x14ac:dyDescent="0.15">
      <c r="A711" s="12" t="s">
        <v>1859</v>
      </c>
      <c r="B711" s="6" t="s">
        <v>594</v>
      </c>
      <c r="C711" s="7" t="s">
        <v>1860</v>
      </c>
      <c r="D711" s="8" t="s">
        <v>107</v>
      </c>
      <c r="E711" s="16">
        <v>37967</v>
      </c>
      <c r="F711" s="8" t="s">
        <v>92</v>
      </c>
      <c r="G711" s="8" t="s">
        <v>93</v>
      </c>
      <c r="H711" s="8" t="s">
        <v>82</v>
      </c>
      <c r="I711" s="8" t="s">
        <v>265</v>
      </c>
      <c r="J711" s="8" t="s">
        <v>76</v>
      </c>
      <c r="K711" s="8" t="s">
        <v>77</v>
      </c>
      <c r="L711" s="8" t="s">
        <v>45</v>
      </c>
      <c r="M711" s="10" t="s">
        <v>1849</v>
      </c>
      <c r="N711" s="11" t="s">
        <v>1841</v>
      </c>
    </row>
    <row r="712" spans="1:14" ht="15.75" customHeight="1" x14ac:dyDescent="0.15">
      <c r="A712" s="6" t="s">
        <v>1861</v>
      </c>
      <c r="B712" s="12" t="s">
        <v>57</v>
      </c>
      <c r="C712" s="7" t="s">
        <v>1862</v>
      </c>
      <c r="D712" s="13" t="s">
        <v>17</v>
      </c>
      <c r="E712" s="14">
        <v>33087</v>
      </c>
      <c r="F712" s="13" t="s">
        <v>125</v>
      </c>
      <c r="G712" s="13" t="s">
        <v>293</v>
      </c>
      <c r="H712" s="13" t="s">
        <v>446</v>
      </c>
      <c r="I712" s="13" t="s">
        <v>75</v>
      </c>
      <c r="J712" s="13" t="s">
        <v>22</v>
      </c>
      <c r="K712" s="13" t="s">
        <v>23</v>
      </c>
      <c r="L712" s="13" t="s">
        <v>218</v>
      </c>
      <c r="M712" s="15" t="s">
        <v>434</v>
      </c>
      <c r="N712" s="11" t="s">
        <v>1841</v>
      </c>
    </row>
    <row r="713" spans="1:14" ht="15.75" customHeight="1" x14ac:dyDescent="0.15">
      <c r="A713" s="6" t="s">
        <v>1863</v>
      </c>
      <c r="B713" s="6" t="s">
        <v>64</v>
      </c>
      <c r="C713" s="7" t="s">
        <v>1864</v>
      </c>
      <c r="D713" s="8" t="s">
        <v>17</v>
      </c>
      <c r="E713" s="9">
        <v>35223</v>
      </c>
      <c r="F713" s="8" t="s">
        <v>66</v>
      </c>
      <c r="G713" s="8" t="s">
        <v>293</v>
      </c>
      <c r="H713" s="8" t="s">
        <v>32</v>
      </c>
      <c r="I713" s="8" t="s">
        <v>120</v>
      </c>
      <c r="J713" s="8" t="s">
        <v>76</v>
      </c>
      <c r="K713" s="8" t="s">
        <v>23</v>
      </c>
      <c r="L713" s="8" t="s">
        <v>218</v>
      </c>
      <c r="M713" s="10" t="s">
        <v>1087</v>
      </c>
      <c r="N713" s="11" t="s">
        <v>1841</v>
      </c>
    </row>
    <row r="714" spans="1:14" ht="15.75" customHeight="1" x14ac:dyDescent="0.15">
      <c r="A714" s="12" t="s">
        <v>1865</v>
      </c>
      <c r="B714" s="12" t="s">
        <v>72</v>
      </c>
      <c r="C714" s="7" t="s">
        <v>1866</v>
      </c>
      <c r="D714" s="13" t="s">
        <v>39</v>
      </c>
      <c r="E714" s="17">
        <v>34678</v>
      </c>
      <c r="F714" s="13" t="s">
        <v>59</v>
      </c>
      <c r="G714" s="13" t="s">
        <v>101</v>
      </c>
      <c r="H714" s="13" t="s">
        <v>156</v>
      </c>
      <c r="I714" s="13" t="s">
        <v>120</v>
      </c>
      <c r="J714" s="13" t="s">
        <v>22</v>
      </c>
      <c r="K714" s="13" t="s">
        <v>23</v>
      </c>
      <c r="L714" s="13" t="s">
        <v>35</v>
      </c>
      <c r="M714" s="15" t="s">
        <v>1459</v>
      </c>
      <c r="N714" s="11" t="s">
        <v>1841</v>
      </c>
    </row>
    <row r="715" spans="1:14" ht="15.75" customHeight="1" x14ac:dyDescent="0.15">
      <c r="A715" s="6" t="s">
        <v>1867</v>
      </c>
      <c r="B715" s="6" t="s">
        <v>80</v>
      </c>
      <c r="C715" s="7" t="s">
        <v>1868</v>
      </c>
      <c r="D715" s="8" t="s">
        <v>39</v>
      </c>
      <c r="E715" s="9">
        <v>37464</v>
      </c>
      <c r="F715" s="8" t="s">
        <v>137</v>
      </c>
      <c r="G715" s="8" t="s">
        <v>131</v>
      </c>
      <c r="H715" s="8" t="s">
        <v>94</v>
      </c>
      <c r="I715" s="8" t="s">
        <v>21</v>
      </c>
      <c r="J715" s="8" t="s">
        <v>22</v>
      </c>
      <c r="K715" s="8" t="s">
        <v>23</v>
      </c>
      <c r="L715" s="8" t="s">
        <v>70</v>
      </c>
      <c r="M715" s="10" t="s">
        <v>391</v>
      </c>
      <c r="N715" s="11" t="s">
        <v>1841</v>
      </c>
    </row>
    <row r="716" spans="1:14" ht="15.75" customHeight="1" x14ac:dyDescent="0.15">
      <c r="A716" s="12" t="s">
        <v>1869</v>
      </c>
      <c r="B716" s="12" t="s">
        <v>86</v>
      </c>
      <c r="C716" s="7" t="s">
        <v>1870</v>
      </c>
      <c r="D716" s="13" t="s">
        <v>17</v>
      </c>
      <c r="E716" s="14">
        <v>36423</v>
      </c>
      <c r="F716" s="13" t="s">
        <v>40</v>
      </c>
      <c r="G716" s="13" t="s">
        <v>243</v>
      </c>
      <c r="H716" s="13" t="s">
        <v>32</v>
      </c>
      <c r="I716" s="13" t="s">
        <v>414</v>
      </c>
      <c r="J716" s="13" t="s">
        <v>76</v>
      </c>
      <c r="K716" s="13" t="s">
        <v>23</v>
      </c>
      <c r="L716" s="13" t="s">
        <v>133</v>
      </c>
      <c r="M716" s="15" t="s">
        <v>1067</v>
      </c>
      <c r="N716" s="11" t="s">
        <v>1841</v>
      </c>
    </row>
    <row r="717" spans="1:14" ht="15.75" customHeight="1" x14ac:dyDescent="0.15">
      <c r="A717" s="6" t="s">
        <v>1871</v>
      </c>
      <c r="B717" s="6" t="s">
        <v>90</v>
      </c>
      <c r="C717" s="7" t="s">
        <v>1872</v>
      </c>
      <c r="D717" s="8" t="s">
        <v>17</v>
      </c>
      <c r="E717" s="9">
        <v>34134</v>
      </c>
      <c r="F717" s="8" t="s">
        <v>182</v>
      </c>
      <c r="G717" s="8" t="s">
        <v>101</v>
      </c>
      <c r="H717" s="8" t="s">
        <v>68</v>
      </c>
      <c r="I717" s="8" t="s">
        <v>157</v>
      </c>
      <c r="J717" s="8" t="s">
        <v>76</v>
      </c>
      <c r="K717" s="8" t="s">
        <v>44</v>
      </c>
      <c r="L717" s="8" t="s">
        <v>301</v>
      </c>
      <c r="M717" s="10" t="s">
        <v>209</v>
      </c>
      <c r="N717" s="11" t="s">
        <v>1841</v>
      </c>
    </row>
    <row r="718" spans="1:14" ht="15.75" customHeight="1" x14ac:dyDescent="0.15">
      <c r="A718" s="6" t="s">
        <v>1873</v>
      </c>
      <c r="B718" s="12" t="s">
        <v>98</v>
      </c>
      <c r="C718" s="7" t="s">
        <v>1874</v>
      </c>
      <c r="D718" s="13" t="s">
        <v>107</v>
      </c>
      <c r="E718" s="14">
        <v>37453</v>
      </c>
      <c r="F718" s="13" t="s">
        <v>137</v>
      </c>
      <c r="G718" s="13" t="s">
        <v>31</v>
      </c>
      <c r="H718" s="13" t="s">
        <v>369</v>
      </c>
      <c r="I718" s="13" t="s">
        <v>651</v>
      </c>
      <c r="J718" s="13" t="s">
        <v>76</v>
      </c>
      <c r="K718" s="13" t="s">
        <v>44</v>
      </c>
      <c r="L718" s="13" t="s">
        <v>55</v>
      </c>
      <c r="M718" s="15" t="s">
        <v>71</v>
      </c>
      <c r="N718" s="11" t="s">
        <v>1841</v>
      </c>
    </row>
    <row r="719" spans="1:14" ht="15.75" customHeight="1" x14ac:dyDescent="0.15">
      <c r="A719" s="12" t="s">
        <v>1875</v>
      </c>
      <c r="B719" s="6" t="s">
        <v>99</v>
      </c>
      <c r="C719" s="7" t="s">
        <v>1876</v>
      </c>
      <c r="D719" s="8" t="s">
        <v>107</v>
      </c>
      <c r="E719" s="16">
        <v>36508</v>
      </c>
      <c r="F719" s="8" t="s">
        <v>40</v>
      </c>
      <c r="G719" s="8" t="s">
        <v>67</v>
      </c>
      <c r="H719" s="8" t="s">
        <v>156</v>
      </c>
      <c r="I719" s="8" t="s">
        <v>192</v>
      </c>
      <c r="J719" s="8" t="s">
        <v>22</v>
      </c>
      <c r="K719" s="8" t="s">
        <v>44</v>
      </c>
      <c r="L719" s="8" t="s">
        <v>78</v>
      </c>
      <c r="M719" s="10" t="s">
        <v>302</v>
      </c>
      <c r="N719" s="11" t="s">
        <v>1841</v>
      </c>
    </row>
    <row r="720" spans="1:14" ht="15.75" customHeight="1" x14ac:dyDescent="0.15">
      <c r="A720" s="6" t="s">
        <v>1877</v>
      </c>
      <c r="B720" s="12" t="s">
        <v>105</v>
      </c>
      <c r="C720" s="7" t="s">
        <v>1878</v>
      </c>
      <c r="D720" s="13" t="s">
        <v>107</v>
      </c>
      <c r="E720" s="17">
        <v>37547</v>
      </c>
      <c r="F720" s="13" t="s">
        <v>186</v>
      </c>
      <c r="G720" s="13" t="s">
        <v>131</v>
      </c>
      <c r="H720" s="13" t="s">
        <v>196</v>
      </c>
      <c r="I720" s="13" t="s">
        <v>385</v>
      </c>
      <c r="J720" s="13" t="s">
        <v>76</v>
      </c>
      <c r="K720" s="13" t="s">
        <v>44</v>
      </c>
      <c r="L720" s="13" t="s">
        <v>158</v>
      </c>
      <c r="M720" s="15" t="s">
        <v>956</v>
      </c>
      <c r="N720" s="11" t="s">
        <v>1841</v>
      </c>
    </row>
    <row r="721" spans="1:14" ht="15.75" customHeight="1" x14ac:dyDescent="0.15">
      <c r="A721" s="12" t="s">
        <v>1879</v>
      </c>
      <c r="B721" s="6" t="s">
        <v>122</v>
      </c>
      <c r="C721" s="7" t="s">
        <v>1880</v>
      </c>
      <c r="D721" s="8" t="s">
        <v>107</v>
      </c>
      <c r="E721" s="9">
        <v>36547</v>
      </c>
      <c r="F721" s="8" t="s">
        <v>40</v>
      </c>
      <c r="G721" s="8" t="s">
        <v>243</v>
      </c>
      <c r="H721" s="8" t="s">
        <v>20</v>
      </c>
      <c r="I721" s="8" t="s">
        <v>115</v>
      </c>
      <c r="J721" s="8" t="s">
        <v>22</v>
      </c>
      <c r="K721" s="8" t="s">
        <v>44</v>
      </c>
      <c r="L721" s="8" t="s">
        <v>96</v>
      </c>
      <c r="M721" s="10" t="s">
        <v>956</v>
      </c>
      <c r="N721" s="11" t="s">
        <v>1841</v>
      </c>
    </row>
    <row r="722" spans="1:14" ht="15.75" customHeight="1" x14ac:dyDescent="0.15">
      <c r="A722" s="6" t="s">
        <v>1881</v>
      </c>
      <c r="B722" s="12" t="s">
        <v>117</v>
      </c>
      <c r="C722" s="7" t="s">
        <v>1882</v>
      </c>
      <c r="D722" s="13" t="s">
        <v>107</v>
      </c>
      <c r="E722" s="14">
        <v>30749</v>
      </c>
      <c r="F722" s="13" t="s">
        <v>1883</v>
      </c>
      <c r="G722" s="13" t="s">
        <v>119</v>
      </c>
      <c r="H722" s="13" t="s">
        <v>196</v>
      </c>
      <c r="I722" s="13" t="s">
        <v>192</v>
      </c>
      <c r="J722" s="13" t="s">
        <v>22</v>
      </c>
      <c r="K722" s="13" t="s">
        <v>44</v>
      </c>
      <c r="L722" s="13" t="s">
        <v>390</v>
      </c>
      <c r="M722" s="15" t="s">
        <v>25</v>
      </c>
      <c r="N722" s="11" t="s">
        <v>1841</v>
      </c>
    </row>
    <row r="723" spans="1:14" ht="15.75" customHeight="1" x14ac:dyDescent="0.15">
      <c r="A723" s="6" t="s">
        <v>1884</v>
      </c>
      <c r="B723" s="6" t="s">
        <v>123</v>
      </c>
      <c r="C723" s="7" t="s">
        <v>1885</v>
      </c>
      <c r="D723" s="8" t="s">
        <v>107</v>
      </c>
      <c r="E723" s="16">
        <v>36860</v>
      </c>
      <c r="F723" s="8" t="s">
        <v>203</v>
      </c>
      <c r="G723" s="8" t="s">
        <v>41</v>
      </c>
      <c r="H723" s="8" t="s">
        <v>114</v>
      </c>
      <c r="I723" s="8" t="s">
        <v>120</v>
      </c>
      <c r="J723" s="8" t="s">
        <v>54</v>
      </c>
      <c r="K723" s="8" t="s">
        <v>77</v>
      </c>
      <c r="L723" s="8" t="s">
        <v>133</v>
      </c>
      <c r="M723" s="10" t="s">
        <v>25</v>
      </c>
      <c r="N723" s="11" t="s">
        <v>1841</v>
      </c>
    </row>
    <row r="724" spans="1:14" ht="15.75" customHeight="1" x14ac:dyDescent="0.15">
      <c r="A724" s="12" t="s">
        <v>1886</v>
      </c>
      <c r="B724" s="12" t="s">
        <v>129</v>
      </c>
      <c r="C724" s="7" t="s">
        <v>1887</v>
      </c>
      <c r="D724" s="13" t="s">
        <v>107</v>
      </c>
      <c r="E724" s="14">
        <v>37128</v>
      </c>
      <c r="F724" s="13" t="s">
        <v>203</v>
      </c>
      <c r="G724" s="13" t="s">
        <v>204</v>
      </c>
      <c r="H724" s="13" t="s">
        <v>74</v>
      </c>
      <c r="I724" s="13" t="s">
        <v>385</v>
      </c>
      <c r="J724" s="13" t="s">
        <v>54</v>
      </c>
      <c r="K724" s="13" t="s">
        <v>77</v>
      </c>
      <c r="L724" s="13" t="s">
        <v>301</v>
      </c>
      <c r="M724" s="15" t="s">
        <v>1888</v>
      </c>
      <c r="N724" s="11" t="s">
        <v>1841</v>
      </c>
    </row>
    <row r="725" spans="1:14" ht="15.75" customHeight="1" x14ac:dyDescent="0.15">
      <c r="A725" s="6" t="s">
        <v>1889</v>
      </c>
      <c r="B725" s="6" t="s">
        <v>135</v>
      </c>
      <c r="C725" s="7" t="s">
        <v>1890</v>
      </c>
      <c r="D725" s="8" t="s">
        <v>107</v>
      </c>
      <c r="E725" s="9">
        <v>34964</v>
      </c>
      <c r="F725" s="8" t="s">
        <v>66</v>
      </c>
      <c r="G725" s="8" t="s">
        <v>60</v>
      </c>
      <c r="H725" s="8" t="s">
        <v>82</v>
      </c>
      <c r="I725" s="8" t="s">
        <v>83</v>
      </c>
      <c r="J725" s="8" t="s">
        <v>54</v>
      </c>
      <c r="K725" s="8" t="s">
        <v>23</v>
      </c>
      <c r="L725" s="8" t="s">
        <v>198</v>
      </c>
      <c r="M725" s="10" t="s">
        <v>411</v>
      </c>
      <c r="N725" s="11" t="s">
        <v>1841</v>
      </c>
    </row>
    <row r="726" spans="1:14" ht="15.75" customHeight="1" x14ac:dyDescent="0.15">
      <c r="A726" s="12" t="s">
        <v>1891</v>
      </c>
      <c r="B726" s="12" t="s">
        <v>153</v>
      </c>
      <c r="C726" s="7" t="s">
        <v>1892</v>
      </c>
      <c r="D726" s="13" t="s">
        <v>107</v>
      </c>
      <c r="E726" s="14">
        <v>33911</v>
      </c>
      <c r="F726" s="13" t="s">
        <v>182</v>
      </c>
      <c r="G726" s="13" t="s">
        <v>31</v>
      </c>
      <c r="H726" s="13" t="s">
        <v>156</v>
      </c>
      <c r="I726" s="13" t="s">
        <v>157</v>
      </c>
      <c r="J726" s="13" t="s">
        <v>76</v>
      </c>
      <c r="K726" s="13" t="s">
        <v>23</v>
      </c>
      <c r="L726" s="13" t="s">
        <v>35</v>
      </c>
      <c r="M726" s="15" t="s">
        <v>1893</v>
      </c>
      <c r="N726" s="11" t="s">
        <v>1841</v>
      </c>
    </row>
    <row r="727" spans="1:14" ht="15.75" customHeight="1" x14ac:dyDescent="0.15">
      <c r="A727" s="6" t="s">
        <v>1894</v>
      </c>
      <c r="B727" s="6" t="s">
        <v>142</v>
      </c>
      <c r="C727" s="7" t="s">
        <v>1895</v>
      </c>
      <c r="D727" s="8" t="s">
        <v>107</v>
      </c>
      <c r="E727" s="9">
        <v>35961</v>
      </c>
      <c r="F727" s="8" t="s">
        <v>212</v>
      </c>
      <c r="G727" s="8" t="s">
        <v>60</v>
      </c>
      <c r="H727" s="8" t="s">
        <v>369</v>
      </c>
      <c r="I727" s="8" t="s">
        <v>43</v>
      </c>
      <c r="J727" s="8" t="s">
        <v>76</v>
      </c>
      <c r="K727" s="8" t="s">
        <v>44</v>
      </c>
      <c r="L727" s="8" t="s">
        <v>158</v>
      </c>
      <c r="M727" s="10" t="s">
        <v>1742</v>
      </c>
      <c r="N727" s="11" t="s">
        <v>1841</v>
      </c>
    </row>
    <row r="728" spans="1:14" ht="15.75" customHeight="1" x14ac:dyDescent="0.15">
      <c r="A728" s="6" t="s">
        <v>1896</v>
      </c>
      <c r="B728" s="12" t="s">
        <v>162</v>
      </c>
      <c r="C728" s="7" t="s">
        <v>1897</v>
      </c>
      <c r="D728" s="13" t="s">
        <v>107</v>
      </c>
      <c r="E728" s="14">
        <v>33482</v>
      </c>
      <c r="F728" s="13" t="s">
        <v>50</v>
      </c>
      <c r="G728" s="13" t="s">
        <v>51</v>
      </c>
      <c r="H728" s="13" t="s">
        <v>171</v>
      </c>
      <c r="I728" s="13" t="s">
        <v>438</v>
      </c>
      <c r="J728" s="13" t="s">
        <v>54</v>
      </c>
      <c r="K728" s="13" t="s">
        <v>44</v>
      </c>
      <c r="L728" s="13" t="s">
        <v>733</v>
      </c>
      <c r="M728" s="15" t="s">
        <v>685</v>
      </c>
      <c r="N728" s="11" t="s">
        <v>1841</v>
      </c>
    </row>
    <row r="729" spans="1:14" ht="15.75" customHeight="1" x14ac:dyDescent="0.15">
      <c r="A729" s="12" t="s">
        <v>1898</v>
      </c>
      <c r="B729" s="6" t="s">
        <v>167</v>
      </c>
      <c r="C729" s="7" t="s">
        <v>1899</v>
      </c>
      <c r="D729" s="8" t="s">
        <v>107</v>
      </c>
      <c r="E729" s="9">
        <v>36903</v>
      </c>
      <c r="F729" s="8" t="s">
        <v>203</v>
      </c>
      <c r="G729" s="8" t="s">
        <v>19</v>
      </c>
      <c r="H729" s="8" t="s">
        <v>68</v>
      </c>
      <c r="I729" s="8" t="s">
        <v>120</v>
      </c>
      <c r="J729" s="8" t="s">
        <v>34</v>
      </c>
      <c r="K729" s="8" t="s">
        <v>44</v>
      </c>
      <c r="L729" s="8" t="s">
        <v>251</v>
      </c>
      <c r="M729" s="10" t="s">
        <v>496</v>
      </c>
      <c r="N729" s="11" t="s">
        <v>1841</v>
      </c>
    </row>
    <row r="730" spans="1:14" ht="15.75" customHeight="1" x14ac:dyDescent="0.15">
      <c r="A730" s="6" t="s">
        <v>1900</v>
      </c>
      <c r="B730" s="12" t="s">
        <v>146</v>
      </c>
      <c r="C730" s="7" t="s">
        <v>1901</v>
      </c>
      <c r="D730" s="13" t="s">
        <v>17</v>
      </c>
      <c r="E730" s="14">
        <v>37294</v>
      </c>
      <c r="F730" s="13" t="s">
        <v>137</v>
      </c>
      <c r="G730" s="13" t="s">
        <v>204</v>
      </c>
      <c r="H730" s="13" t="s">
        <v>171</v>
      </c>
      <c r="I730" s="13" t="s">
        <v>414</v>
      </c>
      <c r="J730" s="13" t="s">
        <v>76</v>
      </c>
      <c r="K730" s="13" t="s">
        <v>44</v>
      </c>
      <c r="L730" s="13" t="s">
        <v>110</v>
      </c>
      <c r="M730" s="15" t="s">
        <v>1687</v>
      </c>
      <c r="N730" s="11" t="s">
        <v>1841</v>
      </c>
    </row>
    <row r="731" spans="1:14" ht="15.75" customHeight="1" x14ac:dyDescent="0.15">
      <c r="A731" s="12" t="s">
        <v>1902</v>
      </c>
      <c r="B731" s="6" t="s">
        <v>154</v>
      </c>
      <c r="C731" s="7" t="s">
        <v>1903</v>
      </c>
      <c r="D731" s="8" t="s">
        <v>17</v>
      </c>
      <c r="E731" s="9">
        <v>38265</v>
      </c>
      <c r="F731" s="8" t="s">
        <v>217</v>
      </c>
      <c r="G731" s="8" t="s">
        <v>41</v>
      </c>
      <c r="H731" s="8" t="s">
        <v>94</v>
      </c>
      <c r="I731" s="8" t="s">
        <v>804</v>
      </c>
      <c r="J731" s="8" t="s">
        <v>54</v>
      </c>
      <c r="K731" s="8" t="s">
        <v>44</v>
      </c>
      <c r="L731" s="8" t="s">
        <v>297</v>
      </c>
      <c r="M731" s="10" t="s">
        <v>248</v>
      </c>
      <c r="N731" s="11" t="s">
        <v>1841</v>
      </c>
    </row>
    <row r="732" spans="1:14" ht="15.75" customHeight="1" x14ac:dyDescent="0.15">
      <c r="A732" s="6" t="s">
        <v>1904</v>
      </c>
      <c r="B732" s="12" t="s">
        <v>159</v>
      </c>
      <c r="C732" s="7" t="s">
        <v>1905</v>
      </c>
      <c r="D732" s="13" t="s">
        <v>107</v>
      </c>
      <c r="E732" s="17">
        <v>38309</v>
      </c>
      <c r="F732" s="13" t="s">
        <v>217</v>
      </c>
      <c r="G732" s="13" t="s">
        <v>41</v>
      </c>
      <c r="H732" s="13" t="s">
        <v>156</v>
      </c>
      <c r="I732" s="13" t="s">
        <v>273</v>
      </c>
      <c r="J732" s="13" t="s">
        <v>22</v>
      </c>
      <c r="K732" s="13" t="s">
        <v>44</v>
      </c>
      <c r="L732" s="13" t="s">
        <v>647</v>
      </c>
      <c r="M732" s="15" t="s">
        <v>464</v>
      </c>
      <c r="N732" s="11" t="s">
        <v>1841</v>
      </c>
    </row>
    <row r="733" spans="1:14" ht="15.75" customHeight="1" x14ac:dyDescent="0.15">
      <c r="A733" s="6" t="s">
        <v>1906</v>
      </c>
      <c r="B733" s="6" t="s">
        <v>168</v>
      </c>
      <c r="C733" s="7" t="s">
        <v>1907</v>
      </c>
      <c r="D733" s="8" t="s">
        <v>107</v>
      </c>
      <c r="E733" s="9">
        <v>35553</v>
      </c>
      <c r="F733" s="8" t="s">
        <v>148</v>
      </c>
      <c r="G733" s="8" t="s">
        <v>19</v>
      </c>
      <c r="H733" s="8" t="s">
        <v>156</v>
      </c>
      <c r="I733" s="8" t="s">
        <v>149</v>
      </c>
      <c r="J733" s="8" t="s">
        <v>34</v>
      </c>
      <c r="K733" s="8" t="s">
        <v>77</v>
      </c>
      <c r="L733" s="8" t="s">
        <v>431</v>
      </c>
      <c r="M733" s="10" t="s">
        <v>36</v>
      </c>
      <c r="N733" s="11" t="s">
        <v>1841</v>
      </c>
    </row>
    <row r="734" spans="1:14" ht="15.75" customHeight="1" x14ac:dyDescent="0.15">
      <c r="A734" s="12" t="s">
        <v>1908</v>
      </c>
      <c r="B734" s="12" t="s">
        <v>173</v>
      </c>
      <c r="C734" s="7" t="s">
        <v>1909</v>
      </c>
      <c r="D734" s="13" t="s">
        <v>107</v>
      </c>
      <c r="E734" s="14">
        <v>35280</v>
      </c>
      <c r="F734" s="13" t="s">
        <v>66</v>
      </c>
      <c r="G734" s="13" t="s">
        <v>67</v>
      </c>
      <c r="H734" s="13" t="s">
        <v>42</v>
      </c>
      <c r="I734" s="13" t="s">
        <v>33</v>
      </c>
      <c r="J734" s="13" t="s">
        <v>54</v>
      </c>
      <c r="K734" s="13" t="s">
        <v>77</v>
      </c>
      <c r="L734" s="13" t="s">
        <v>424</v>
      </c>
      <c r="M734" s="15" t="s">
        <v>619</v>
      </c>
      <c r="N734" s="11" t="s">
        <v>1841</v>
      </c>
    </row>
    <row r="735" spans="1:14" ht="15.75" customHeight="1" x14ac:dyDescent="0.15">
      <c r="A735" s="6" t="s">
        <v>1910</v>
      </c>
      <c r="B735" s="6" t="s">
        <v>175</v>
      </c>
      <c r="C735" s="7" t="s">
        <v>1911</v>
      </c>
      <c r="D735" s="8" t="s">
        <v>17</v>
      </c>
      <c r="E735" s="9">
        <v>35529</v>
      </c>
      <c r="F735" s="8" t="s">
        <v>148</v>
      </c>
      <c r="G735" s="8" t="s">
        <v>101</v>
      </c>
      <c r="H735" s="8" t="s">
        <v>108</v>
      </c>
      <c r="I735" s="8" t="s">
        <v>109</v>
      </c>
      <c r="J735" s="8" t="s">
        <v>22</v>
      </c>
      <c r="K735" s="8" t="s">
        <v>44</v>
      </c>
      <c r="L735" s="8" t="s">
        <v>35</v>
      </c>
      <c r="M735" s="10" t="s">
        <v>421</v>
      </c>
      <c r="N735" s="11" t="s">
        <v>1841</v>
      </c>
    </row>
    <row r="736" spans="1:14" ht="15.75" customHeight="1" x14ac:dyDescent="0.15">
      <c r="A736" s="12" t="s">
        <v>1912</v>
      </c>
      <c r="B736" s="12" t="s">
        <v>200</v>
      </c>
      <c r="C736" s="7" t="s">
        <v>1913</v>
      </c>
      <c r="D736" s="13" t="s">
        <v>107</v>
      </c>
      <c r="E736" s="17">
        <v>39378</v>
      </c>
      <c r="F736" s="13" t="s">
        <v>571</v>
      </c>
      <c r="G736" s="13" t="s">
        <v>93</v>
      </c>
      <c r="H736" s="13" t="s">
        <v>114</v>
      </c>
      <c r="I736" s="13" t="s">
        <v>43</v>
      </c>
      <c r="J736" s="13" t="s">
        <v>22</v>
      </c>
      <c r="K736" s="13" t="s">
        <v>44</v>
      </c>
      <c r="L736" s="13" t="s">
        <v>55</v>
      </c>
      <c r="M736" s="15" t="s">
        <v>467</v>
      </c>
      <c r="N736" s="11" t="s">
        <v>1841</v>
      </c>
    </row>
    <row r="737" spans="1:14" ht="15.75" customHeight="1" x14ac:dyDescent="0.15">
      <c r="A737" s="6" t="s">
        <v>1914</v>
      </c>
      <c r="B737" s="6" t="s">
        <v>177</v>
      </c>
      <c r="C737" s="7" t="s">
        <v>1915</v>
      </c>
      <c r="D737" s="8" t="s">
        <v>49</v>
      </c>
      <c r="E737" s="9">
        <v>36369</v>
      </c>
      <c r="F737" s="8" t="s">
        <v>30</v>
      </c>
      <c r="G737" s="8" t="s">
        <v>243</v>
      </c>
      <c r="H737" s="8" t="s">
        <v>68</v>
      </c>
      <c r="I737" s="8" t="s">
        <v>95</v>
      </c>
      <c r="J737" s="8" t="s">
        <v>76</v>
      </c>
      <c r="K737" s="8" t="s">
        <v>44</v>
      </c>
      <c r="L737" s="8" t="s">
        <v>45</v>
      </c>
      <c r="M737" s="10" t="s">
        <v>794</v>
      </c>
      <c r="N737" s="11" t="s">
        <v>1841</v>
      </c>
    </row>
    <row r="738" spans="1:14" ht="15.75" customHeight="1" x14ac:dyDescent="0.15">
      <c r="A738" s="6" t="s">
        <v>1916</v>
      </c>
      <c r="B738" s="12" t="s">
        <v>180</v>
      </c>
      <c r="C738" s="7" t="s">
        <v>1917</v>
      </c>
      <c r="D738" s="13" t="s">
        <v>39</v>
      </c>
      <c r="E738" s="14">
        <v>36679</v>
      </c>
      <c r="F738" s="13" t="s">
        <v>40</v>
      </c>
      <c r="G738" s="13" t="s">
        <v>41</v>
      </c>
      <c r="H738" s="13" t="s">
        <v>68</v>
      </c>
      <c r="I738" s="13" t="s">
        <v>157</v>
      </c>
      <c r="J738" s="13" t="s">
        <v>22</v>
      </c>
      <c r="K738" s="13" t="s">
        <v>23</v>
      </c>
      <c r="L738" s="13" t="s">
        <v>251</v>
      </c>
      <c r="M738" s="15" t="s">
        <v>298</v>
      </c>
      <c r="N738" s="11" t="s">
        <v>1841</v>
      </c>
    </row>
    <row r="739" spans="1:14" ht="15.75" customHeight="1" x14ac:dyDescent="0.15">
      <c r="A739" s="12" t="s">
        <v>1918</v>
      </c>
      <c r="B739" s="6" t="s">
        <v>184</v>
      </c>
      <c r="C739" s="7" t="s">
        <v>1919</v>
      </c>
      <c r="D739" s="8" t="s">
        <v>17</v>
      </c>
      <c r="E739" s="16">
        <v>38653</v>
      </c>
      <c r="F739" s="8" t="s">
        <v>170</v>
      </c>
      <c r="G739" s="8" t="s">
        <v>138</v>
      </c>
      <c r="H739" s="8" t="s">
        <v>32</v>
      </c>
      <c r="I739" s="8" t="s">
        <v>115</v>
      </c>
      <c r="J739" s="8" t="s">
        <v>150</v>
      </c>
      <c r="K739" s="8" t="s">
        <v>23</v>
      </c>
      <c r="L739" s="8" t="s">
        <v>310</v>
      </c>
      <c r="M739" s="10" t="s">
        <v>349</v>
      </c>
      <c r="N739" s="11" t="s">
        <v>1841</v>
      </c>
    </row>
    <row r="740" spans="1:14" ht="15.75" customHeight="1" x14ac:dyDescent="0.15">
      <c r="A740" s="6" t="s">
        <v>1920</v>
      </c>
      <c r="B740" s="12" t="s">
        <v>731</v>
      </c>
      <c r="C740" s="7" t="s">
        <v>1921</v>
      </c>
      <c r="D740" s="13" t="s">
        <v>49</v>
      </c>
      <c r="E740" s="14">
        <v>36861</v>
      </c>
      <c r="F740" s="13" t="s">
        <v>203</v>
      </c>
      <c r="G740" s="13" t="s">
        <v>41</v>
      </c>
      <c r="H740" s="13" t="s">
        <v>837</v>
      </c>
      <c r="I740" s="13" t="s">
        <v>313</v>
      </c>
      <c r="J740" s="13" t="s">
        <v>76</v>
      </c>
      <c r="K740" s="13" t="s">
        <v>44</v>
      </c>
      <c r="L740" s="13" t="s">
        <v>561</v>
      </c>
      <c r="M740" s="15" t="s">
        <v>1803</v>
      </c>
      <c r="N740" s="11" t="s">
        <v>1841</v>
      </c>
    </row>
    <row r="741" spans="1:14" ht="15.75" customHeight="1" x14ac:dyDescent="0.15">
      <c r="A741" s="12" t="s">
        <v>1922</v>
      </c>
      <c r="B741" s="6" t="s">
        <v>189</v>
      </c>
      <c r="C741" s="7" t="s">
        <v>1923</v>
      </c>
      <c r="D741" s="8" t="s">
        <v>107</v>
      </c>
      <c r="E741" s="9">
        <v>36340</v>
      </c>
      <c r="F741" s="8" t="s">
        <v>30</v>
      </c>
      <c r="G741" s="8" t="s">
        <v>138</v>
      </c>
      <c r="H741" s="8" t="s">
        <v>68</v>
      </c>
      <c r="I741" s="8" t="s">
        <v>385</v>
      </c>
      <c r="J741" s="8" t="s">
        <v>76</v>
      </c>
      <c r="K741" s="8" t="s">
        <v>44</v>
      </c>
      <c r="L741" s="8" t="s">
        <v>62</v>
      </c>
      <c r="M741" s="10" t="s">
        <v>458</v>
      </c>
      <c r="N741" s="11" t="s">
        <v>1841</v>
      </c>
    </row>
    <row r="742" spans="1:14" ht="15.75" customHeight="1" x14ac:dyDescent="0.15">
      <c r="A742" s="6" t="s">
        <v>1924</v>
      </c>
      <c r="B742" s="12" t="s">
        <v>194</v>
      </c>
      <c r="C742" s="7" t="s">
        <v>1925</v>
      </c>
      <c r="D742" s="13" t="s">
        <v>107</v>
      </c>
      <c r="E742" s="14">
        <v>39295</v>
      </c>
      <c r="F742" s="13" t="s">
        <v>232</v>
      </c>
      <c r="G742" s="13" t="s">
        <v>93</v>
      </c>
      <c r="H742" s="13" t="s">
        <v>369</v>
      </c>
      <c r="I742" s="13" t="s">
        <v>192</v>
      </c>
      <c r="J742" s="13" t="s">
        <v>150</v>
      </c>
      <c r="K742" s="13" t="s">
        <v>23</v>
      </c>
      <c r="L742" s="13" t="s">
        <v>663</v>
      </c>
      <c r="M742" s="15" t="s">
        <v>219</v>
      </c>
      <c r="N742" s="11" t="s">
        <v>1841</v>
      </c>
    </row>
    <row r="743" spans="1:14" ht="15.75" customHeight="1" x14ac:dyDescent="0.15">
      <c r="A743" s="6" t="s">
        <v>1926</v>
      </c>
      <c r="B743" s="6" t="s">
        <v>201</v>
      </c>
      <c r="C743" s="7" t="s">
        <v>1927</v>
      </c>
      <c r="D743" s="8" t="s">
        <v>49</v>
      </c>
      <c r="E743" s="9">
        <v>34900</v>
      </c>
      <c r="F743" s="8" t="s">
        <v>59</v>
      </c>
      <c r="G743" s="8" t="s">
        <v>51</v>
      </c>
      <c r="H743" s="8" t="s">
        <v>32</v>
      </c>
      <c r="I743" s="8" t="s">
        <v>95</v>
      </c>
      <c r="J743" s="8" t="s">
        <v>22</v>
      </c>
      <c r="K743" s="8" t="s">
        <v>44</v>
      </c>
      <c r="L743" s="8" t="s">
        <v>45</v>
      </c>
      <c r="M743" s="10" t="s">
        <v>287</v>
      </c>
      <c r="N743" s="11" t="s">
        <v>1841</v>
      </c>
    </row>
    <row r="744" spans="1:14" ht="15.75" customHeight="1" x14ac:dyDescent="0.15">
      <c r="A744" s="12" t="s">
        <v>1928</v>
      </c>
      <c r="B744" s="12" t="s">
        <v>205</v>
      </c>
      <c r="C744" s="7" t="s">
        <v>1929</v>
      </c>
      <c r="D744" s="13" t="s">
        <v>39</v>
      </c>
      <c r="E744" s="17">
        <v>37545</v>
      </c>
      <c r="F744" s="13" t="s">
        <v>186</v>
      </c>
      <c r="G744" s="13" t="s">
        <v>31</v>
      </c>
      <c r="H744" s="13" t="s">
        <v>42</v>
      </c>
      <c r="I744" s="13" t="s">
        <v>149</v>
      </c>
      <c r="J744" s="13" t="s">
        <v>54</v>
      </c>
      <c r="K744" s="13" t="s">
        <v>23</v>
      </c>
      <c r="L744" s="13" t="s">
        <v>78</v>
      </c>
      <c r="M744" s="15" t="s">
        <v>302</v>
      </c>
      <c r="N744" s="11" t="s">
        <v>1841</v>
      </c>
    </row>
    <row r="745" spans="1:14" ht="15.75" customHeight="1" x14ac:dyDescent="0.15">
      <c r="A745" s="6" t="s">
        <v>1930</v>
      </c>
      <c r="B745" s="6" t="s">
        <v>210</v>
      </c>
      <c r="C745" s="7" t="s">
        <v>1931</v>
      </c>
      <c r="D745" s="8" t="s">
        <v>39</v>
      </c>
      <c r="E745" s="9">
        <v>37857</v>
      </c>
      <c r="F745" s="8" t="s">
        <v>186</v>
      </c>
      <c r="G745" s="8" t="s">
        <v>243</v>
      </c>
      <c r="H745" s="8" t="s">
        <v>74</v>
      </c>
      <c r="I745" s="8" t="s">
        <v>120</v>
      </c>
      <c r="J745" s="8" t="s">
        <v>22</v>
      </c>
      <c r="K745" s="8" t="s">
        <v>44</v>
      </c>
      <c r="L745" s="8" t="s">
        <v>35</v>
      </c>
      <c r="M745" s="10" t="s">
        <v>219</v>
      </c>
      <c r="N745" s="11" t="s">
        <v>1841</v>
      </c>
    </row>
    <row r="746" spans="1:14" ht="15.75" customHeight="1" x14ac:dyDescent="0.15">
      <c r="A746" s="12" t="s">
        <v>1932</v>
      </c>
      <c r="B746" s="12" t="s">
        <v>215</v>
      </c>
      <c r="C746" s="7" t="s">
        <v>1933</v>
      </c>
      <c r="D746" s="13" t="s">
        <v>107</v>
      </c>
      <c r="E746" s="17">
        <v>32802</v>
      </c>
      <c r="F746" s="13" t="s">
        <v>125</v>
      </c>
      <c r="G746" s="13" t="s">
        <v>611</v>
      </c>
      <c r="H746" s="13" t="s">
        <v>191</v>
      </c>
      <c r="I746" s="13" t="s">
        <v>438</v>
      </c>
      <c r="J746" s="13" t="s">
        <v>22</v>
      </c>
      <c r="K746" s="13" t="s">
        <v>44</v>
      </c>
      <c r="L746" s="13" t="s">
        <v>165</v>
      </c>
      <c r="M746" s="15" t="s">
        <v>1707</v>
      </c>
      <c r="N746" s="11" t="s">
        <v>1841</v>
      </c>
    </row>
    <row r="747" spans="1:14" ht="15.75" customHeight="1" x14ac:dyDescent="0.15">
      <c r="A747" s="6" t="s">
        <v>1934</v>
      </c>
      <c r="B747" s="6" t="s">
        <v>749</v>
      </c>
      <c r="C747" s="7" t="s">
        <v>1935</v>
      </c>
      <c r="D747" s="8" t="s">
        <v>107</v>
      </c>
      <c r="E747" s="9">
        <v>38519</v>
      </c>
      <c r="F747" s="8" t="s">
        <v>217</v>
      </c>
      <c r="G747" s="8" t="s">
        <v>138</v>
      </c>
      <c r="H747" s="8" t="s">
        <v>94</v>
      </c>
      <c r="I747" s="8" t="s">
        <v>385</v>
      </c>
      <c r="J747" s="8" t="s">
        <v>54</v>
      </c>
      <c r="K747" s="8" t="s">
        <v>77</v>
      </c>
      <c r="L747" s="8" t="s">
        <v>511</v>
      </c>
      <c r="M747" s="10" t="s">
        <v>1803</v>
      </c>
      <c r="N747" s="11" t="s">
        <v>1841</v>
      </c>
    </row>
    <row r="748" spans="1:14" ht="15.75" customHeight="1" x14ac:dyDescent="0.15">
      <c r="A748" s="6" t="s">
        <v>1936</v>
      </c>
      <c r="B748" s="12" t="s">
        <v>220</v>
      </c>
      <c r="C748" s="7" t="s">
        <v>1937</v>
      </c>
      <c r="D748" s="13" t="s">
        <v>107</v>
      </c>
      <c r="E748" s="14">
        <v>39276</v>
      </c>
      <c r="F748" s="13" t="s">
        <v>232</v>
      </c>
      <c r="G748" s="13" t="s">
        <v>93</v>
      </c>
      <c r="H748" s="13" t="s">
        <v>52</v>
      </c>
      <c r="I748" s="13" t="s">
        <v>53</v>
      </c>
      <c r="J748" s="13" t="s">
        <v>76</v>
      </c>
      <c r="K748" s="13" t="s">
        <v>77</v>
      </c>
      <c r="L748" s="13" t="s">
        <v>45</v>
      </c>
      <c r="M748" s="15" t="s">
        <v>274</v>
      </c>
      <c r="N748" s="11" t="s">
        <v>1841</v>
      </c>
    </row>
    <row r="749" spans="1:14" ht="15.75" customHeight="1" x14ac:dyDescent="0.15">
      <c r="A749" s="12" t="s">
        <v>1938</v>
      </c>
      <c r="B749" s="6" t="s">
        <v>223</v>
      </c>
      <c r="C749" s="7" t="s">
        <v>1939</v>
      </c>
      <c r="D749" s="8" t="s">
        <v>107</v>
      </c>
      <c r="E749" s="9">
        <v>34081</v>
      </c>
      <c r="F749" s="8" t="s">
        <v>182</v>
      </c>
      <c r="G749" s="8" t="s">
        <v>138</v>
      </c>
      <c r="H749" s="8" t="s">
        <v>108</v>
      </c>
      <c r="I749" s="8" t="s">
        <v>977</v>
      </c>
      <c r="J749" s="8" t="s">
        <v>150</v>
      </c>
      <c r="K749" s="8" t="s">
        <v>44</v>
      </c>
      <c r="L749" s="8" t="s">
        <v>490</v>
      </c>
      <c r="M749" s="10" t="s">
        <v>1940</v>
      </c>
      <c r="N749" s="11" t="s">
        <v>1841</v>
      </c>
    </row>
    <row r="750" spans="1:14" ht="15.75" customHeight="1" x14ac:dyDescent="0.15">
      <c r="A750" s="6" t="s">
        <v>1941</v>
      </c>
      <c r="B750" s="12" t="s">
        <v>227</v>
      </c>
      <c r="C750" s="7" t="s">
        <v>1942</v>
      </c>
      <c r="D750" s="13" t="s">
        <v>107</v>
      </c>
      <c r="E750" s="14">
        <v>37829</v>
      </c>
      <c r="F750" s="13" t="s">
        <v>186</v>
      </c>
      <c r="G750" s="13" t="s">
        <v>93</v>
      </c>
      <c r="H750" s="13" t="s">
        <v>156</v>
      </c>
      <c r="I750" s="13" t="s">
        <v>120</v>
      </c>
      <c r="J750" s="13" t="s">
        <v>54</v>
      </c>
      <c r="K750" s="13" t="s">
        <v>44</v>
      </c>
      <c r="L750" s="13" t="s">
        <v>128</v>
      </c>
      <c r="M750" s="15" t="s">
        <v>219</v>
      </c>
      <c r="N750" s="11" t="s">
        <v>1841</v>
      </c>
    </row>
    <row r="751" spans="1:14" ht="15.75" customHeight="1" x14ac:dyDescent="0.15">
      <c r="A751" s="12" t="s">
        <v>1943</v>
      </c>
      <c r="B751" s="6" t="s">
        <v>1944</v>
      </c>
      <c r="C751" s="7" t="s">
        <v>1945</v>
      </c>
      <c r="D751" s="8" t="s">
        <v>107</v>
      </c>
      <c r="E751" s="9">
        <v>36565</v>
      </c>
      <c r="F751" s="8" t="s">
        <v>40</v>
      </c>
      <c r="G751" s="8" t="s">
        <v>138</v>
      </c>
      <c r="H751" s="8" t="s">
        <v>108</v>
      </c>
      <c r="I751" s="8" t="s">
        <v>438</v>
      </c>
      <c r="J751" s="8" t="s">
        <v>54</v>
      </c>
      <c r="K751" s="8" t="s">
        <v>44</v>
      </c>
      <c r="L751" s="8" t="s">
        <v>165</v>
      </c>
      <c r="M751" s="10" t="s">
        <v>1946</v>
      </c>
      <c r="N751" s="11" t="s">
        <v>1841</v>
      </c>
    </row>
    <row r="752" spans="1:14" ht="15.75" customHeight="1" x14ac:dyDescent="0.15">
      <c r="A752" s="6" t="s">
        <v>1947</v>
      </c>
      <c r="B752" s="12" t="s">
        <v>230</v>
      </c>
      <c r="C752" s="7" t="s">
        <v>1948</v>
      </c>
      <c r="D752" s="13" t="s">
        <v>49</v>
      </c>
      <c r="E752" s="17">
        <v>35386</v>
      </c>
      <c r="F752" s="13" t="s">
        <v>148</v>
      </c>
      <c r="G752" s="13" t="s">
        <v>19</v>
      </c>
      <c r="H752" s="13" t="s">
        <v>42</v>
      </c>
      <c r="I752" s="13" t="s">
        <v>804</v>
      </c>
      <c r="J752" s="13" t="s">
        <v>34</v>
      </c>
      <c r="K752" s="13" t="s">
        <v>44</v>
      </c>
      <c r="L752" s="13" t="s">
        <v>187</v>
      </c>
      <c r="M752" s="15" t="s">
        <v>245</v>
      </c>
      <c r="N752" s="11" t="s">
        <v>1841</v>
      </c>
    </row>
    <row r="753" spans="1:14" ht="15.75" customHeight="1" x14ac:dyDescent="0.15">
      <c r="A753" s="6" t="s">
        <v>1949</v>
      </c>
      <c r="B753" s="6" t="s">
        <v>1950</v>
      </c>
      <c r="C753" s="7" t="s">
        <v>1951</v>
      </c>
      <c r="D753" s="8" t="s">
        <v>17</v>
      </c>
      <c r="E753" s="9">
        <v>36668</v>
      </c>
      <c r="F753" s="8" t="s">
        <v>40</v>
      </c>
      <c r="G753" s="8" t="s">
        <v>138</v>
      </c>
      <c r="H753" s="8" t="s">
        <v>94</v>
      </c>
      <c r="I753" s="8" t="s">
        <v>33</v>
      </c>
      <c r="J753" s="8" t="s">
        <v>54</v>
      </c>
      <c r="K753" s="8" t="s">
        <v>23</v>
      </c>
      <c r="L753" s="8" t="s">
        <v>55</v>
      </c>
      <c r="M753" s="10" t="s">
        <v>1803</v>
      </c>
      <c r="N753" s="11" t="s">
        <v>1841</v>
      </c>
    </row>
    <row r="754" spans="1:14" ht="15.75" customHeight="1" x14ac:dyDescent="0.15">
      <c r="A754" s="12" t="s">
        <v>1952</v>
      </c>
      <c r="B754" s="12" t="s">
        <v>234</v>
      </c>
      <c r="C754" s="7" t="s">
        <v>1953</v>
      </c>
      <c r="D754" s="13" t="s">
        <v>17</v>
      </c>
      <c r="E754" s="14">
        <v>36075</v>
      </c>
      <c r="F754" s="13" t="s">
        <v>30</v>
      </c>
      <c r="G754" s="13" t="s">
        <v>93</v>
      </c>
      <c r="H754" s="13" t="s">
        <v>225</v>
      </c>
      <c r="I754" s="13" t="s">
        <v>517</v>
      </c>
      <c r="J754" s="13" t="s">
        <v>150</v>
      </c>
      <c r="K754" s="13" t="s">
        <v>23</v>
      </c>
      <c r="L754" s="13" t="s">
        <v>151</v>
      </c>
      <c r="M754" s="15" t="s">
        <v>716</v>
      </c>
      <c r="N754" s="11" t="s">
        <v>1841</v>
      </c>
    </row>
    <row r="755" spans="1:14" ht="15.75" customHeight="1" x14ac:dyDescent="0.15">
      <c r="A755" s="6" t="s">
        <v>1954</v>
      </c>
      <c r="B755" s="6" t="s">
        <v>236</v>
      </c>
      <c r="C755" s="7" t="s">
        <v>1955</v>
      </c>
      <c r="D755" s="8" t="s">
        <v>107</v>
      </c>
      <c r="E755" s="9">
        <v>36368</v>
      </c>
      <c r="F755" s="8" t="s">
        <v>30</v>
      </c>
      <c r="G755" s="8" t="s">
        <v>67</v>
      </c>
      <c r="H755" s="8" t="s">
        <v>32</v>
      </c>
      <c r="I755" s="8" t="s">
        <v>265</v>
      </c>
      <c r="J755" s="8" t="s">
        <v>54</v>
      </c>
      <c r="K755" s="8" t="s">
        <v>23</v>
      </c>
      <c r="L755" s="8" t="s">
        <v>45</v>
      </c>
      <c r="M755" s="10" t="s">
        <v>199</v>
      </c>
      <c r="N755" s="11" t="s">
        <v>1841</v>
      </c>
    </row>
    <row r="756" spans="1:14" ht="15.75" customHeight="1" x14ac:dyDescent="0.15">
      <c r="A756" s="12" t="s">
        <v>1956</v>
      </c>
      <c r="B756" s="12" t="s">
        <v>241</v>
      </c>
      <c r="C756" s="7" t="s">
        <v>1957</v>
      </c>
      <c r="D756" s="13" t="s">
        <v>107</v>
      </c>
      <c r="E756" s="14">
        <v>38851</v>
      </c>
      <c r="F756" s="13" t="s">
        <v>170</v>
      </c>
      <c r="G756" s="13" t="s">
        <v>131</v>
      </c>
      <c r="H756" s="13" t="s">
        <v>535</v>
      </c>
      <c r="I756" s="13" t="s">
        <v>382</v>
      </c>
      <c r="J756" s="13" t="s">
        <v>22</v>
      </c>
      <c r="K756" s="13" t="s">
        <v>44</v>
      </c>
      <c r="L756" s="13" t="s">
        <v>218</v>
      </c>
      <c r="M756" s="15" t="s">
        <v>248</v>
      </c>
      <c r="N756" s="11" t="s">
        <v>1841</v>
      </c>
    </row>
    <row r="757" spans="1:14" ht="15.75" customHeight="1" x14ac:dyDescent="0.15">
      <c r="A757" s="6" t="s">
        <v>1958</v>
      </c>
      <c r="B757" s="6" t="s">
        <v>246</v>
      </c>
      <c r="C757" s="7" t="s">
        <v>1959</v>
      </c>
      <c r="D757" s="8" t="s">
        <v>107</v>
      </c>
      <c r="E757" s="9">
        <v>38471</v>
      </c>
      <c r="F757" s="8" t="s">
        <v>217</v>
      </c>
      <c r="G757" s="8" t="s">
        <v>138</v>
      </c>
      <c r="H757" s="8" t="s">
        <v>20</v>
      </c>
      <c r="I757" s="8" t="s">
        <v>115</v>
      </c>
      <c r="J757" s="8" t="s">
        <v>22</v>
      </c>
      <c r="K757" s="8" t="s">
        <v>77</v>
      </c>
      <c r="L757" s="8" t="s">
        <v>297</v>
      </c>
      <c r="M757" s="10" t="s">
        <v>349</v>
      </c>
      <c r="N757" s="11" t="s">
        <v>1841</v>
      </c>
    </row>
    <row r="758" spans="1:14" ht="15.75" customHeight="1" x14ac:dyDescent="0.15">
      <c r="A758" s="6" t="s">
        <v>1960</v>
      </c>
      <c r="B758" s="12" t="s">
        <v>249</v>
      </c>
      <c r="C758" s="7" t="s">
        <v>1961</v>
      </c>
      <c r="D758" s="13" t="s">
        <v>107</v>
      </c>
      <c r="E758" s="14">
        <v>37536</v>
      </c>
      <c r="F758" s="13" t="s">
        <v>186</v>
      </c>
      <c r="G758" s="13" t="s">
        <v>131</v>
      </c>
      <c r="H758" s="13" t="s">
        <v>179</v>
      </c>
      <c r="I758" s="13" t="s">
        <v>21</v>
      </c>
      <c r="J758" s="13" t="s">
        <v>54</v>
      </c>
      <c r="K758" s="13" t="s">
        <v>23</v>
      </c>
      <c r="L758" s="13" t="s">
        <v>128</v>
      </c>
      <c r="M758" s="15" t="s">
        <v>97</v>
      </c>
      <c r="N758" s="11" t="s">
        <v>1841</v>
      </c>
    </row>
    <row r="759" spans="1:14" ht="15.75" customHeight="1" x14ac:dyDescent="0.15">
      <c r="A759" s="12" t="s">
        <v>1962</v>
      </c>
      <c r="B759" s="6" t="s">
        <v>253</v>
      </c>
      <c r="C759" s="7" t="s">
        <v>1963</v>
      </c>
      <c r="D759" s="8" t="s">
        <v>49</v>
      </c>
      <c r="E759" s="16">
        <v>36874</v>
      </c>
      <c r="F759" s="8" t="s">
        <v>203</v>
      </c>
      <c r="G759" s="8" t="s">
        <v>131</v>
      </c>
      <c r="H759" s="8" t="s">
        <v>156</v>
      </c>
      <c r="I759" s="8" t="s">
        <v>120</v>
      </c>
      <c r="J759" s="8" t="s">
        <v>76</v>
      </c>
      <c r="K759" s="8" t="s">
        <v>23</v>
      </c>
      <c r="L759" s="8" t="s">
        <v>45</v>
      </c>
      <c r="M759" s="10" t="s">
        <v>161</v>
      </c>
      <c r="N759" s="11" t="s">
        <v>1841</v>
      </c>
    </row>
    <row r="760" spans="1:14" ht="15.75" customHeight="1" x14ac:dyDescent="0.15">
      <c r="A760" s="6" t="s">
        <v>1964</v>
      </c>
      <c r="B760" s="12" t="s">
        <v>1965</v>
      </c>
      <c r="C760" s="7" t="s">
        <v>1966</v>
      </c>
      <c r="D760" s="13" t="s">
        <v>17</v>
      </c>
      <c r="E760" s="17">
        <v>39009</v>
      </c>
      <c r="F760" s="13" t="s">
        <v>232</v>
      </c>
      <c r="G760" s="13" t="s">
        <v>131</v>
      </c>
      <c r="H760" s="13" t="s">
        <v>156</v>
      </c>
      <c r="I760" s="13" t="s">
        <v>120</v>
      </c>
      <c r="J760" s="13" t="s">
        <v>22</v>
      </c>
      <c r="K760" s="13" t="s">
        <v>23</v>
      </c>
      <c r="L760" s="13" t="s">
        <v>96</v>
      </c>
      <c r="M760" s="15" t="s">
        <v>1946</v>
      </c>
      <c r="N760" s="11" t="s">
        <v>1841</v>
      </c>
    </row>
    <row r="761" spans="1:14" ht="15.75" customHeight="1" x14ac:dyDescent="0.15">
      <c r="A761" s="12" t="s">
        <v>1967</v>
      </c>
      <c r="B761" s="6" t="s">
        <v>259</v>
      </c>
      <c r="C761" s="7" t="s">
        <v>1968</v>
      </c>
      <c r="D761" s="8" t="s">
        <v>107</v>
      </c>
      <c r="E761" s="16">
        <v>35792</v>
      </c>
      <c r="F761" s="8" t="s">
        <v>212</v>
      </c>
      <c r="G761" s="8" t="s">
        <v>243</v>
      </c>
      <c r="H761" s="8" t="s">
        <v>32</v>
      </c>
      <c r="I761" s="8" t="s">
        <v>470</v>
      </c>
      <c r="J761" s="8" t="s">
        <v>22</v>
      </c>
      <c r="K761" s="8" t="s">
        <v>294</v>
      </c>
      <c r="L761" s="8" t="s">
        <v>663</v>
      </c>
      <c r="M761" s="10" t="s">
        <v>956</v>
      </c>
      <c r="N761" s="11" t="s">
        <v>1841</v>
      </c>
    </row>
    <row r="762" spans="1:14" ht="15.75" customHeight="1" x14ac:dyDescent="0.15">
      <c r="A762" s="6" t="s">
        <v>1969</v>
      </c>
      <c r="B762" s="12" t="s">
        <v>1970</v>
      </c>
      <c r="C762" s="7" t="s">
        <v>1971</v>
      </c>
      <c r="D762" s="13" t="s">
        <v>17</v>
      </c>
      <c r="E762" s="14">
        <v>37725</v>
      </c>
      <c r="F762" s="13" t="s">
        <v>186</v>
      </c>
      <c r="G762" s="13" t="s">
        <v>131</v>
      </c>
      <c r="H762" s="13" t="s">
        <v>52</v>
      </c>
      <c r="I762" s="13" t="s">
        <v>207</v>
      </c>
      <c r="J762" s="13" t="s">
        <v>76</v>
      </c>
      <c r="K762" s="13" t="s">
        <v>44</v>
      </c>
      <c r="L762" s="13" t="s">
        <v>404</v>
      </c>
      <c r="M762" s="15" t="s">
        <v>1946</v>
      </c>
      <c r="N762" s="11" t="s">
        <v>1841</v>
      </c>
    </row>
    <row r="763" spans="1:14" ht="15.75" customHeight="1" x14ac:dyDescent="0.15">
      <c r="A763" s="6" t="s">
        <v>1972</v>
      </c>
      <c r="B763" s="6" t="s">
        <v>1973</v>
      </c>
      <c r="C763" s="7" t="s">
        <v>1974</v>
      </c>
      <c r="D763" s="8" t="s">
        <v>107</v>
      </c>
      <c r="E763" s="9">
        <v>39154</v>
      </c>
      <c r="F763" s="8" t="s">
        <v>232</v>
      </c>
      <c r="G763" s="8" t="s">
        <v>131</v>
      </c>
      <c r="H763" s="8" t="s">
        <v>156</v>
      </c>
      <c r="I763" s="8" t="s">
        <v>213</v>
      </c>
      <c r="J763" s="8" t="s">
        <v>76</v>
      </c>
      <c r="K763" s="8" t="s">
        <v>44</v>
      </c>
      <c r="L763" s="8" t="s">
        <v>110</v>
      </c>
      <c r="M763" s="10" t="s">
        <v>1946</v>
      </c>
      <c r="N763" s="11" t="s">
        <v>1841</v>
      </c>
    </row>
    <row r="764" spans="1:14" ht="15.75" customHeight="1" x14ac:dyDescent="0.15">
      <c r="A764" s="12" t="s">
        <v>1975</v>
      </c>
      <c r="B764" s="12" t="s">
        <v>263</v>
      </c>
      <c r="C764" s="7" t="s">
        <v>1976</v>
      </c>
      <c r="D764" s="13" t="s">
        <v>17</v>
      </c>
      <c r="E764" s="17">
        <v>36856</v>
      </c>
      <c r="F764" s="13" t="s">
        <v>203</v>
      </c>
      <c r="G764" s="13" t="s">
        <v>19</v>
      </c>
      <c r="H764" s="13" t="s">
        <v>68</v>
      </c>
      <c r="I764" s="13" t="s">
        <v>53</v>
      </c>
      <c r="J764" s="13" t="s">
        <v>22</v>
      </c>
      <c r="K764" s="13" t="s">
        <v>23</v>
      </c>
      <c r="L764" s="13" t="s">
        <v>301</v>
      </c>
      <c r="M764" s="15" t="s">
        <v>274</v>
      </c>
      <c r="N764" s="11" t="s">
        <v>1841</v>
      </c>
    </row>
    <row r="765" spans="1:14" ht="15.75" customHeight="1" x14ac:dyDescent="0.15">
      <c r="A765" s="6" t="s">
        <v>1977</v>
      </c>
      <c r="B765" s="6" t="s">
        <v>1978</v>
      </c>
      <c r="C765" s="7" t="s">
        <v>1979</v>
      </c>
      <c r="D765" s="8" t="s">
        <v>39</v>
      </c>
      <c r="E765" s="9">
        <v>37657</v>
      </c>
      <c r="F765" s="8" t="s">
        <v>186</v>
      </c>
      <c r="G765" s="8" t="s">
        <v>131</v>
      </c>
      <c r="H765" s="8" t="s">
        <v>132</v>
      </c>
      <c r="I765" s="8" t="s">
        <v>115</v>
      </c>
      <c r="J765" s="8" t="s">
        <v>54</v>
      </c>
      <c r="K765" s="8" t="s">
        <v>23</v>
      </c>
      <c r="L765" s="8" t="s">
        <v>198</v>
      </c>
      <c r="M765" s="10" t="s">
        <v>1946</v>
      </c>
      <c r="N765" s="11" t="s">
        <v>1841</v>
      </c>
    </row>
    <row r="766" spans="1:14" ht="15.75" customHeight="1" x14ac:dyDescent="0.15">
      <c r="A766" s="12" t="s">
        <v>1980</v>
      </c>
      <c r="B766" s="12" t="s">
        <v>266</v>
      </c>
      <c r="C766" s="7" t="s">
        <v>1981</v>
      </c>
      <c r="D766" s="13" t="s">
        <v>107</v>
      </c>
      <c r="E766" s="14">
        <v>36651</v>
      </c>
      <c r="F766" s="13" t="s">
        <v>40</v>
      </c>
      <c r="G766" s="13" t="s">
        <v>131</v>
      </c>
      <c r="H766" s="13" t="s">
        <v>94</v>
      </c>
      <c r="I766" s="13" t="s">
        <v>120</v>
      </c>
      <c r="J766" s="13" t="s">
        <v>76</v>
      </c>
      <c r="K766" s="13" t="s">
        <v>44</v>
      </c>
      <c r="L766" s="13" t="s">
        <v>511</v>
      </c>
      <c r="M766" s="15" t="s">
        <v>219</v>
      </c>
      <c r="N766" s="11" t="s">
        <v>1841</v>
      </c>
    </row>
    <row r="767" spans="1:14" ht="15.75" customHeight="1" x14ac:dyDescent="0.15">
      <c r="A767" s="6" t="s">
        <v>1982</v>
      </c>
      <c r="B767" s="6" t="s">
        <v>1983</v>
      </c>
      <c r="C767" s="7" t="s">
        <v>1984</v>
      </c>
      <c r="D767" s="8" t="s">
        <v>49</v>
      </c>
      <c r="E767" s="9">
        <v>36625</v>
      </c>
      <c r="F767" s="8" t="s">
        <v>40</v>
      </c>
      <c r="G767" s="8" t="s">
        <v>131</v>
      </c>
      <c r="H767" s="8" t="s">
        <v>139</v>
      </c>
      <c r="I767" s="8" t="s">
        <v>157</v>
      </c>
      <c r="J767" s="8" t="s">
        <v>54</v>
      </c>
      <c r="K767" s="8" t="s">
        <v>44</v>
      </c>
      <c r="L767" s="8" t="s">
        <v>255</v>
      </c>
      <c r="M767" s="10" t="s">
        <v>1946</v>
      </c>
      <c r="N767" s="11" t="s">
        <v>1841</v>
      </c>
    </row>
    <row r="768" spans="1:14" ht="15.75" customHeight="1" x14ac:dyDescent="0.15">
      <c r="A768" s="6" t="s">
        <v>1985</v>
      </c>
      <c r="B768" s="12" t="s">
        <v>1986</v>
      </c>
      <c r="C768" s="7" t="s">
        <v>1987</v>
      </c>
      <c r="D768" s="13" t="s">
        <v>107</v>
      </c>
      <c r="E768" s="14">
        <v>38896</v>
      </c>
      <c r="F768" s="13" t="s">
        <v>170</v>
      </c>
      <c r="G768" s="13" t="s">
        <v>131</v>
      </c>
      <c r="H768" s="13" t="s">
        <v>171</v>
      </c>
      <c r="I768" s="13" t="s">
        <v>149</v>
      </c>
      <c r="J768" s="13" t="s">
        <v>150</v>
      </c>
      <c r="K768" s="13" t="s">
        <v>44</v>
      </c>
      <c r="L768" s="13" t="s">
        <v>62</v>
      </c>
      <c r="M768" s="15" t="s">
        <v>1946</v>
      </c>
      <c r="N768" s="11" t="s">
        <v>1841</v>
      </c>
    </row>
    <row r="769" spans="1:14" ht="15.75" customHeight="1" x14ac:dyDescent="0.15">
      <c r="A769" s="12" t="s">
        <v>1988</v>
      </c>
      <c r="B769" s="6" t="s">
        <v>275</v>
      </c>
      <c r="C769" s="7" t="s">
        <v>1989</v>
      </c>
      <c r="D769" s="8" t="s">
        <v>107</v>
      </c>
      <c r="E769" s="9">
        <v>33500</v>
      </c>
      <c r="F769" s="8" t="s">
        <v>430</v>
      </c>
      <c r="G769" s="8" t="s">
        <v>890</v>
      </c>
      <c r="H769" s="8" t="s">
        <v>108</v>
      </c>
      <c r="I769" s="8" t="s">
        <v>414</v>
      </c>
      <c r="J769" s="8" t="s">
        <v>76</v>
      </c>
      <c r="K769" s="8" t="s">
        <v>77</v>
      </c>
      <c r="L769" s="8" t="s">
        <v>572</v>
      </c>
      <c r="M769" s="10" t="s">
        <v>25</v>
      </c>
      <c r="N769" s="11" t="s">
        <v>1841</v>
      </c>
    </row>
    <row r="770" spans="1:14" ht="15.75" customHeight="1" x14ac:dyDescent="0.15">
      <c r="A770" s="6" t="s">
        <v>1990</v>
      </c>
      <c r="B770" s="12" t="s">
        <v>278</v>
      </c>
      <c r="C770" s="7" t="s">
        <v>1991</v>
      </c>
      <c r="D770" s="13" t="s">
        <v>39</v>
      </c>
      <c r="E770" s="14">
        <v>39294</v>
      </c>
      <c r="F770" s="13" t="s">
        <v>232</v>
      </c>
      <c r="G770" s="13" t="s">
        <v>93</v>
      </c>
      <c r="H770" s="13" t="s">
        <v>108</v>
      </c>
      <c r="I770" s="13" t="s">
        <v>95</v>
      </c>
      <c r="J770" s="13" t="s">
        <v>34</v>
      </c>
      <c r="K770" s="13" t="s">
        <v>44</v>
      </c>
      <c r="L770" s="13" t="s">
        <v>128</v>
      </c>
      <c r="M770" s="15" t="s">
        <v>274</v>
      </c>
      <c r="N770" s="11" t="s">
        <v>1841</v>
      </c>
    </row>
    <row r="771" spans="1:14" ht="15.75" customHeight="1" x14ac:dyDescent="0.15">
      <c r="A771" s="12" t="s">
        <v>1992</v>
      </c>
      <c r="B771" s="6" t="s">
        <v>281</v>
      </c>
      <c r="C771" s="7" t="s">
        <v>1993</v>
      </c>
      <c r="D771" s="8" t="s">
        <v>107</v>
      </c>
      <c r="E771" s="9">
        <v>34098</v>
      </c>
      <c r="F771" s="8" t="s">
        <v>182</v>
      </c>
      <c r="G771" s="8" t="s">
        <v>41</v>
      </c>
      <c r="H771" s="8" t="s">
        <v>171</v>
      </c>
      <c r="I771" s="8" t="s">
        <v>213</v>
      </c>
      <c r="J771" s="8" t="s">
        <v>150</v>
      </c>
      <c r="K771" s="8" t="s">
        <v>44</v>
      </c>
      <c r="L771" s="8" t="s">
        <v>324</v>
      </c>
      <c r="M771" s="10" t="s">
        <v>111</v>
      </c>
      <c r="N771" s="11" t="s">
        <v>1841</v>
      </c>
    </row>
    <row r="772" spans="1:14" ht="15.75" customHeight="1" x14ac:dyDescent="0.15">
      <c r="A772" s="6" t="s">
        <v>1994</v>
      </c>
      <c r="B772" s="12" t="s">
        <v>285</v>
      </c>
      <c r="C772" s="7" t="s">
        <v>1995</v>
      </c>
      <c r="D772" s="13" t="s">
        <v>49</v>
      </c>
      <c r="E772" s="14">
        <v>39225</v>
      </c>
      <c r="F772" s="13" t="s">
        <v>232</v>
      </c>
      <c r="G772" s="13" t="s">
        <v>93</v>
      </c>
      <c r="H772" s="13" t="s">
        <v>132</v>
      </c>
      <c r="I772" s="13" t="s">
        <v>157</v>
      </c>
      <c r="J772" s="13" t="s">
        <v>54</v>
      </c>
      <c r="K772" s="13" t="s">
        <v>44</v>
      </c>
      <c r="L772" s="13" t="s">
        <v>297</v>
      </c>
      <c r="M772" s="15" t="s">
        <v>540</v>
      </c>
      <c r="N772" s="11" t="s">
        <v>1841</v>
      </c>
    </row>
    <row r="773" spans="1:14" ht="15.75" customHeight="1" x14ac:dyDescent="0.15">
      <c r="A773" s="6" t="s">
        <v>1996</v>
      </c>
      <c r="B773" s="6" t="s">
        <v>288</v>
      </c>
      <c r="C773" s="7" t="s">
        <v>1997</v>
      </c>
      <c r="D773" s="8" t="s">
        <v>39</v>
      </c>
      <c r="E773" s="9">
        <v>35658</v>
      </c>
      <c r="F773" s="8" t="s">
        <v>148</v>
      </c>
      <c r="G773" s="8" t="s">
        <v>101</v>
      </c>
      <c r="H773" s="8" t="s">
        <v>20</v>
      </c>
      <c r="I773" s="8" t="s">
        <v>120</v>
      </c>
      <c r="J773" s="8" t="s">
        <v>54</v>
      </c>
      <c r="K773" s="8" t="s">
        <v>23</v>
      </c>
      <c r="L773" s="8" t="s">
        <v>572</v>
      </c>
      <c r="M773" s="10" t="s">
        <v>394</v>
      </c>
      <c r="N773" s="11" t="s">
        <v>1841</v>
      </c>
    </row>
    <row r="774" spans="1:14" ht="15.75" customHeight="1" x14ac:dyDescent="0.15">
      <c r="A774" s="12" t="s">
        <v>1998</v>
      </c>
      <c r="B774" s="12" t="s">
        <v>291</v>
      </c>
      <c r="C774" s="7" t="s">
        <v>1999</v>
      </c>
      <c r="D774" s="13" t="s">
        <v>49</v>
      </c>
      <c r="E774" s="14">
        <v>38549</v>
      </c>
      <c r="F774" s="13" t="s">
        <v>217</v>
      </c>
      <c r="G774" s="13" t="s">
        <v>138</v>
      </c>
      <c r="H774" s="13" t="s">
        <v>20</v>
      </c>
      <c r="I774" s="13" t="s">
        <v>33</v>
      </c>
      <c r="J774" s="13" t="s">
        <v>76</v>
      </c>
      <c r="K774" s="13" t="s">
        <v>44</v>
      </c>
      <c r="L774" s="13" t="s">
        <v>78</v>
      </c>
      <c r="M774" s="15" t="s">
        <v>248</v>
      </c>
      <c r="N774" s="11" t="s">
        <v>1841</v>
      </c>
    </row>
    <row r="775" spans="1:14" ht="15.75" customHeight="1" x14ac:dyDescent="0.15">
      <c r="A775" s="6" t="s">
        <v>2000</v>
      </c>
      <c r="B775" s="6" t="s">
        <v>303</v>
      </c>
      <c r="C775" s="7" t="s">
        <v>2001</v>
      </c>
      <c r="D775" s="8" t="s">
        <v>107</v>
      </c>
      <c r="E775" s="9">
        <v>38571</v>
      </c>
      <c r="F775" s="8" t="s">
        <v>217</v>
      </c>
      <c r="G775" s="8" t="s">
        <v>138</v>
      </c>
      <c r="H775" s="8" t="s">
        <v>102</v>
      </c>
      <c r="I775" s="8" t="s">
        <v>115</v>
      </c>
      <c r="J775" s="8" t="s">
        <v>22</v>
      </c>
      <c r="K775" s="8" t="s">
        <v>44</v>
      </c>
      <c r="L775" s="8" t="s">
        <v>301</v>
      </c>
      <c r="M775" s="10" t="s">
        <v>318</v>
      </c>
      <c r="N775" s="11" t="s">
        <v>1841</v>
      </c>
    </row>
    <row r="776" spans="1:14" ht="15.75" customHeight="1" x14ac:dyDescent="0.15">
      <c r="A776" s="12" t="s">
        <v>2002</v>
      </c>
      <c r="B776" s="12" t="s">
        <v>306</v>
      </c>
      <c r="C776" s="7" t="s">
        <v>2003</v>
      </c>
      <c r="D776" s="13" t="s">
        <v>107</v>
      </c>
      <c r="E776" s="14">
        <v>35511</v>
      </c>
      <c r="F776" s="13" t="s">
        <v>148</v>
      </c>
      <c r="G776" s="13" t="s">
        <v>67</v>
      </c>
      <c r="H776" s="13" t="s">
        <v>42</v>
      </c>
      <c r="I776" s="13" t="s">
        <v>414</v>
      </c>
      <c r="J776" s="13" t="s">
        <v>54</v>
      </c>
      <c r="K776" s="13" t="s">
        <v>44</v>
      </c>
      <c r="L776" s="13" t="s">
        <v>110</v>
      </c>
      <c r="M776" s="15" t="s">
        <v>950</v>
      </c>
      <c r="N776" s="11" t="s">
        <v>1841</v>
      </c>
    </row>
    <row r="777" spans="1:14" ht="15.75" customHeight="1" x14ac:dyDescent="0.15">
      <c r="A777" s="6" t="s">
        <v>2004</v>
      </c>
      <c r="B777" s="6" t="s">
        <v>308</v>
      </c>
      <c r="C777" s="7" t="s">
        <v>2005</v>
      </c>
      <c r="D777" s="8" t="s">
        <v>17</v>
      </c>
      <c r="E777" s="9">
        <v>35167</v>
      </c>
      <c r="F777" s="8" t="s">
        <v>66</v>
      </c>
      <c r="G777" s="8" t="s">
        <v>19</v>
      </c>
      <c r="H777" s="8" t="s">
        <v>94</v>
      </c>
      <c r="I777" s="8" t="s">
        <v>313</v>
      </c>
      <c r="J777" s="8" t="s">
        <v>76</v>
      </c>
      <c r="K777" s="8" t="s">
        <v>44</v>
      </c>
      <c r="L777" s="8" t="s">
        <v>35</v>
      </c>
      <c r="M777" s="10" t="s">
        <v>104</v>
      </c>
      <c r="N777" s="11" t="s">
        <v>1841</v>
      </c>
    </row>
    <row r="778" spans="1:14" ht="15.75" customHeight="1" x14ac:dyDescent="0.15">
      <c r="A778" s="6" t="s">
        <v>2006</v>
      </c>
      <c r="B778" s="12" t="s">
        <v>311</v>
      </c>
      <c r="C778" s="7" t="s">
        <v>2007</v>
      </c>
      <c r="D778" s="13" t="s">
        <v>107</v>
      </c>
      <c r="E778" s="14">
        <v>36672</v>
      </c>
      <c r="F778" s="13" t="s">
        <v>40</v>
      </c>
      <c r="G778" s="13" t="s">
        <v>41</v>
      </c>
      <c r="H778" s="13" t="s">
        <v>179</v>
      </c>
      <c r="I778" s="13" t="s">
        <v>207</v>
      </c>
      <c r="J778" s="13" t="s">
        <v>54</v>
      </c>
      <c r="K778" s="13" t="s">
        <v>44</v>
      </c>
      <c r="L778" s="13" t="s">
        <v>35</v>
      </c>
      <c r="M778" s="15" t="s">
        <v>161</v>
      </c>
      <c r="N778" s="11" t="s">
        <v>1841</v>
      </c>
    </row>
    <row r="779" spans="1:14" ht="15.75" customHeight="1" x14ac:dyDescent="0.15">
      <c r="A779" s="12" t="s">
        <v>2008</v>
      </c>
      <c r="B779" s="6" t="s">
        <v>314</v>
      </c>
      <c r="C779" s="7" t="s">
        <v>2009</v>
      </c>
      <c r="D779" s="8" t="s">
        <v>107</v>
      </c>
      <c r="E779" s="9">
        <v>35557</v>
      </c>
      <c r="F779" s="8" t="s">
        <v>148</v>
      </c>
      <c r="G779" s="8" t="s">
        <v>93</v>
      </c>
      <c r="H779" s="8" t="s">
        <v>2010</v>
      </c>
      <c r="I779" s="8" t="s">
        <v>517</v>
      </c>
      <c r="J779" s="8" t="s">
        <v>150</v>
      </c>
      <c r="K779" s="8" t="s">
        <v>44</v>
      </c>
      <c r="L779" s="8" t="s">
        <v>151</v>
      </c>
      <c r="M779" s="10" t="s">
        <v>716</v>
      </c>
      <c r="N779" s="11" t="s">
        <v>1841</v>
      </c>
    </row>
    <row r="780" spans="1:14" ht="15.75" customHeight="1" x14ac:dyDescent="0.15">
      <c r="A780" s="6" t="s">
        <v>2011</v>
      </c>
      <c r="B780" s="12" t="s">
        <v>319</v>
      </c>
      <c r="C780" s="7" t="s">
        <v>2012</v>
      </c>
      <c r="D780" s="13" t="s">
        <v>107</v>
      </c>
      <c r="E780" s="14">
        <v>38799</v>
      </c>
      <c r="F780" s="13" t="s">
        <v>170</v>
      </c>
      <c r="G780" s="13" t="s">
        <v>131</v>
      </c>
      <c r="H780" s="13" t="s">
        <v>32</v>
      </c>
      <c r="I780" s="13" t="s">
        <v>213</v>
      </c>
      <c r="J780" s="13" t="s">
        <v>150</v>
      </c>
      <c r="K780" s="13" t="s">
        <v>23</v>
      </c>
      <c r="L780" s="13" t="s">
        <v>751</v>
      </c>
      <c r="M780" s="15" t="s">
        <v>262</v>
      </c>
      <c r="N780" s="11" t="s">
        <v>1841</v>
      </c>
    </row>
    <row r="781" spans="1:14" ht="15.75" customHeight="1" x14ac:dyDescent="0.15">
      <c r="A781" s="12" t="s">
        <v>2013</v>
      </c>
      <c r="B781" s="6" t="s">
        <v>407</v>
      </c>
      <c r="C781" s="7" t="s">
        <v>2014</v>
      </c>
      <c r="D781" s="8" t="s">
        <v>107</v>
      </c>
      <c r="E781" s="9">
        <v>36997</v>
      </c>
      <c r="F781" s="8" t="s">
        <v>203</v>
      </c>
      <c r="G781" s="8" t="s">
        <v>204</v>
      </c>
      <c r="H781" s="8" t="s">
        <v>369</v>
      </c>
      <c r="I781" s="8" t="s">
        <v>382</v>
      </c>
      <c r="J781" s="8" t="s">
        <v>34</v>
      </c>
      <c r="K781" s="8" t="s">
        <v>77</v>
      </c>
      <c r="L781" s="8" t="s">
        <v>45</v>
      </c>
      <c r="M781" s="10" t="s">
        <v>467</v>
      </c>
      <c r="N781" s="11" t="s">
        <v>1841</v>
      </c>
    </row>
    <row r="782" spans="1:14" ht="15.75" customHeight="1" x14ac:dyDescent="0.15">
      <c r="A782" s="6" t="s">
        <v>2015</v>
      </c>
      <c r="B782" s="12" t="s">
        <v>321</v>
      </c>
      <c r="C782" s="7" t="s">
        <v>2016</v>
      </c>
      <c r="D782" s="13" t="s">
        <v>107</v>
      </c>
      <c r="E782" s="14">
        <v>37425</v>
      </c>
      <c r="F782" s="13" t="s">
        <v>137</v>
      </c>
      <c r="G782" s="13" t="s">
        <v>31</v>
      </c>
      <c r="H782" s="13" t="s">
        <v>114</v>
      </c>
      <c r="I782" s="13" t="s">
        <v>43</v>
      </c>
      <c r="J782" s="13" t="s">
        <v>54</v>
      </c>
      <c r="K782" s="13" t="s">
        <v>44</v>
      </c>
      <c r="L782" s="13" t="s">
        <v>208</v>
      </c>
      <c r="M782" s="15" t="s">
        <v>97</v>
      </c>
      <c r="N782" s="11" t="s">
        <v>1841</v>
      </c>
    </row>
    <row r="783" spans="1:14" ht="15.75" customHeight="1" x14ac:dyDescent="0.15">
      <c r="A783" s="6" t="s">
        <v>2017</v>
      </c>
      <c r="B783" s="6" t="s">
        <v>325</v>
      </c>
      <c r="C783" s="7" t="s">
        <v>2018</v>
      </c>
      <c r="D783" s="8" t="s">
        <v>107</v>
      </c>
      <c r="E783" s="9">
        <v>36687</v>
      </c>
      <c r="F783" s="8" t="s">
        <v>40</v>
      </c>
      <c r="G783" s="8" t="s">
        <v>41</v>
      </c>
      <c r="H783" s="8" t="s">
        <v>42</v>
      </c>
      <c r="I783" s="8" t="s">
        <v>115</v>
      </c>
      <c r="J783" s="8" t="s">
        <v>54</v>
      </c>
      <c r="K783" s="8" t="s">
        <v>44</v>
      </c>
      <c r="L783" s="8" t="s">
        <v>35</v>
      </c>
      <c r="M783" s="10" t="s">
        <v>496</v>
      </c>
      <c r="N783" s="11" t="s">
        <v>1841</v>
      </c>
    </row>
    <row r="784" spans="1:14" ht="15.75" customHeight="1" x14ac:dyDescent="0.15">
      <c r="A784" s="12" t="s">
        <v>2019</v>
      </c>
      <c r="B784" s="12" t="s">
        <v>412</v>
      </c>
      <c r="C784" s="7" t="s">
        <v>2020</v>
      </c>
      <c r="D784" s="13" t="s">
        <v>107</v>
      </c>
      <c r="E784" s="14">
        <v>36497</v>
      </c>
      <c r="F784" s="13" t="s">
        <v>40</v>
      </c>
      <c r="G784" s="13" t="s">
        <v>138</v>
      </c>
      <c r="H784" s="13" t="s">
        <v>32</v>
      </c>
      <c r="I784" s="13" t="s">
        <v>149</v>
      </c>
      <c r="J784" s="13" t="s">
        <v>76</v>
      </c>
      <c r="K784" s="13" t="s">
        <v>44</v>
      </c>
      <c r="L784" s="13" t="s">
        <v>128</v>
      </c>
      <c r="M784" s="15" t="s">
        <v>1528</v>
      </c>
      <c r="N784" s="11" t="s">
        <v>1841</v>
      </c>
    </row>
    <row r="785" spans="1:14" ht="15.75" customHeight="1" x14ac:dyDescent="0.15">
      <c r="A785" s="6" t="s">
        <v>2021</v>
      </c>
      <c r="B785" s="6" t="s">
        <v>330</v>
      </c>
      <c r="C785" s="7" t="s">
        <v>2022</v>
      </c>
      <c r="D785" s="8" t="s">
        <v>107</v>
      </c>
      <c r="E785" s="9">
        <v>36553</v>
      </c>
      <c r="F785" s="8" t="s">
        <v>40</v>
      </c>
      <c r="G785" s="8" t="s">
        <v>138</v>
      </c>
      <c r="H785" s="8" t="s">
        <v>94</v>
      </c>
      <c r="I785" s="8" t="s">
        <v>192</v>
      </c>
      <c r="J785" s="8" t="s">
        <v>22</v>
      </c>
      <c r="K785" s="8" t="s">
        <v>44</v>
      </c>
      <c r="L785" s="8" t="s">
        <v>310</v>
      </c>
      <c r="M785" s="10" t="s">
        <v>219</v>
      </c>
      <c r="N785" s="11" t="s">
        <v>1841</v>
      </c>
    </row>
    <row r="786" spans="1:14" ht="15.75" customHeight="1" x14ac:dyDescent="0.15">
      <c r="A786" s="12" t="s">
        <v>2023</v>
      </c>
      <c r="B786" s="12" t="s">
        <v>335</v>
      </c>
      <c r="C786" s="7" t="s">
        <v>2024</v>
      </c>
      <c r="D786" s="13" t="s">
        <v>39</v>
      </c>
      <c r="E786" s="14">
        <v>33333</v>
      </c>
      <c r="F786" s="13" t="s">
        <v>50</v>
      </c>
      <c r="G786" s="13" t="s">
        <v>101</v>
      </c>
      <c r="H786" s="13" t="s">
        <v>369</v>
      </c>
      <c r="I786" s="13" t="s">
        <v>1021</v>
      </c>
      <c r="J786" s="13" t="s">
        <v>76</v>
      </c>
      <c r="K786" s="13" t="s">
        <v>44</v>
      </c>
      <c r="L786" s="13" t="s">
        <v>479</v>
      </c>
      <c r="M786" s="15" t="s">
        <v>2025</v>
      </c>
      <c r="N786" s="11" t="s">
        <v>1841</v>
      </c>
    </row>
    <row r="787" spans="1:14" ht="15.75" customHeight="1" x14ac:dyDescent="0.15">
      <c r="A787" s="6" t="s">
        <v>2026</v>
      </c>
      <c r="B787" s="6" t="s">
        <v>340</v>
      </c>
      <c r="C787" s="7" t="s">
        <v>2027</v>
      </c>
      <c r="D787" s="8" t="s">
        <v>107</v>
      </c>
      <c r="E787" s="16">
        <v>36078</v>
      </c>
      <c r="F787" s="8" t="s">
        <v>30</v>
      </c>
      <c r="G787" s="8" t="s">
        <v>243</v>
      </c>
      <c r="H787" s="8" t="s">
        <v>52</v>
      </c>
      <c r="I787" s="8" t="s">
        <v>120</v>
      </c>
      <c r="J787" s="8" t="s">
        <v>34</v>
      </c>
      <c r="K787" s="8" t="s">
        <v>44</v>
      </c>
      <c r="L787" s="8" t="s">
        <v>251</v>
      </c>
      <c r="M787" s="10" t="s">
        <v>391</v>
      </c>
      <c r="N787" s="11" t="s">
        <v>1841</v>
      </c>
    </row>
    <row r="788" spans="1:14" ht="15.75" customHeight="1" x14ac:dyDescent="0.15">
      <c r="A788" s="6" t="s">
        <v>2028</v>
      </c>
      <c r="B788" s="12" t="s">
        <v>344</v>
      </c>
      <c r="C788" s="7" t="s">
        <v>2029</v>
      </c>
      <c r="D788" s="13" t="s">
        <v>107</v>
      </c>
      <c r="E788" s="17">
        <v>36109</v>
      </c>
      <c r="F788" s="13" t="s">
        <v>30</v>
      </c>
      <c r="G788" s="13" t="s">
        <v>31</v>
      </c>
      <c r="H788" s="13" t="s">
        <v>144</v>
      </c>
      <c r="I788" s="13" t="s">
        <v>109</v>
      </c>
      <c r="J788" s="13" t="s">
        <v>22</v>
      </c>
      <c r="K788" s="13" t="s">
        <v>44</v>
      </c>
      <c r="L788" s="13" t="s">
        <v>244</v>
      </c>
      <c r="M788" s="15" t="s">
        <v>496</v>
      </c>
      <c r="N788" s="11" t="s">
        <v>1841</v>
      </c>
    </row>
    <row r="789" spans="1:14" ht="15.75" customHeight="1" x14ac:dyDescent="0.15">
      <c r="A789" s="12" t="s">
        <v>2030</v>
      </c>
      <c r="B789" s="6" t="s">
        <v>347</v>
      </c>
      <c r="C789" s="7" t="s">
        <v>2031</v>
      </c>
      <c r="D789" s="8" t="s">
        <v>17</v>
      </c>
      <c r="E789" s="9">
        <v>36348</v>
      </c>
      <c r="F789" s="8" t="s">
        <v>30</v>
      </c>
      <c r="G789" s="8" t="s">
        <v>243</v>
      </c>
      <c r="H789" s="8" t="s">
        <v>156</v>
      </c>
      <c r="I789" s="8" t="s">
        <v>313</v>
      </c>
      <c r="J789" s="8" t="s">
        <v>22</v>
      </c>
      <c r="K789" s="8" t="s">
        <v>23</v>
      </c>
      <c r="L789" s="8" t="s">
        <v>647</v>
      </c>
      <c r="M789" s="10" t="s">
        <v>302</v>
      </c>
      <c r="N789" s="11" t="s">
        <v>1841</v>
      </c>
    </row>
    <row r="790" spans="1:14" ht="15.75" customHeight="1" x14ac:dyDescent="0.15">
      <c r="A790" s="6" t="s">
        <v>2032</v>
      </c>
      <c r="B790" s="12" t="s">
        <v>481</v>
      </c>
      <c r="C790" s="7" t="s">
        <v>2033</v>
      </c>
      <c r="D790" s="13" t="s">
        <v>17</v>
      </c>
      <c r="E790" s="14">
        <v>37153</v>
      </c>
      <c r="F790" s="13" t="s">
        <v>137</v>
      </c>
      <c r="G790" s="13" t="s">
        <v>204</v>
      </c>
      <c r="H790" s="13" t="s">
        <v>156</v>
      </c>
      <c r="I790" s="13" t="s">
        <v>213</v>
      </c>
      <c r="J790" s="13" t="s">
        <v>54</v>
      </c>
      <c r="K790" s="13" t="s">
        <v>23</v>
      </c>
      <c r="L790" s="13" t="s">
        <v>251</v>
      </c>
      <c r="M790" s="15" t="s">
        <v>274</v>
      </c>
      <c r="N790" s="11" t="s">
        <v>1841</v>
      </c>
    </row>
    <row r="791" spans="1:14" ht="15.75" customHeight="1" x14ac:dyDescent="0.15">
      <c r="A791" s="12" t="s">
        <v>2034</v>
      </c>
      <c r="B791" s="6" t="s">
        <v>484</v>
      </c>
      <c r="C791" s="7" t="s">
        <v>2035</v>
      </c>
      <c r="D791" s="8" t="s">
        <v>17</v>
      </c>
      <c r="E791" s="9">
        <v>35171</v>
      </c>
      <c r="F791" s="8" t="s">
        <v>66</v>
      </c>
      <c r="G791" s="8" t="s">
        <v>293</v>
      </c>
      <c r="H791" s="8" t="s">
        <v>102</v>
      </c>
      <c r="I791" s="8" t="s">
        <v>120</v>
      </c>
      <c r="J791" s="8" t="s">
        <v>54</v>
      </c>
      <c r="K791" s="8" t="s">
        <v>23</v>
      </c>
      <c r="L791" s="8" t="s">
        <v>55</v>
      </c>
      <c r="M791" s="10" t="s">
        <v>233</v>
      </c>
      <c r="N791" s="11" t="s">
        <v>1841</v>
      </c>
    </row>
    <row r="792" spans="1:14" ht="15.75" customHeight="1" x14ac:dyDescent="0.15">
      <c r="A792" s="6" t="s">
        <v>2036</v>
      </c>
      <c r="B792" s="12" t="s">
        <v>487</v>
      </c>
      <c r="C792" s="7" t="s">
        <v>2037</v>
      </c>
      <c r="D792" s="13" t="s">
        <v>39</v>
      </c>
      <c r="E792" s="14">
        <v>37393</v>
      </c>
      <c r="F792" s="13" t="s">
        <v>137</v>
      </c>
      <c r="G792" s="13" t="s">
        <v>31</v>
      </c>
      <c r="H792" s="13" t="s">
        <v>196</v>
      </c>
      <c r="I792" s="13" t="s">
        <v>149</v>
      </c>
      <c r="J792" s="13" t="s">
        <v>22</v>
      </c>
      <c r="K792" s="13" t="s">
        <v>44</v>
      </c>
      <c r="L792" s="13" t="s">
        <v>255</v>
      </c>
      <c r="M792" s="15" t="s">
        <v>161</v>
      </c>
      <c r="N792" s="11" t="s">
        <v>1841</v>
      </c>
    </row>
    <row r="793" spans="1:14" ht="15.75" customHeight="1" x14ac:dyDescent="0.15">
      <c r="A793" s="6" t="s">
        <v>2038</v>
      </c>
      <c r="B793" s="6" t="s">
        <v>491</v>
      </c>
      <c r="C793" s="7" t="s">
        <v>2039</v>
      </c>
      <c r="D793" s="8" t="s">
        <v>107</v>
      </c>
      <c r="E793" s="9">
        <v>37116</v>
      </c>
      <c r="F793" s="8" t="s">
        <v>203</v>
      </c>
      <c r="G793" s="8" t="s">
        <v>204</v>
      </c>
      <c r="H793" s="8" t="s">
        <v>42</v>
      </c>
      <c r="I793" s="8" t="s">
        <v>192</v>
      </c>
      <c r="J793" s="8" t="s">
        <v>54</v>
      </c>
      <c r="K793" s="8" t="s">
        <v>44</v>
      </c>
      <c r="L793" s="8" t="s">
        <v>121</v>
      </c>
      <c r="M793" s="10" t="s">
        <v>274</v>
      </c>
      <c r="N793" s="11" t="s">
        <v>1841</v>
      </c>
    </row>
    <row r="794" spans="1:14" ht="15.75" customHeight="1" x14ac:dyDescent="0.15">
      <c r="A794" s="12" t="s">
        <v>2040</v>
      </c>
      <c r="B794" s="12" t="s">
        <v>504</v>
      </c>
      <c r="C794" s="7" t="s">
        <v>2041</v>
      </c>
      <c r="D794" s="13" t="s">
        <v>107</v>
      </c>
      <c r="E794" s="14">
        <v>38458</v>
      </c>
      <c r="F794" s="13" t="s">
        <v>217</v>
      </c>
      <c r="G794" s="13" t="s">
        <v>138</v>
      </c>
      <c r="H794" s="13" t="s">
        <v>94</v>
      </c>
      <c r="I794" s="13" t="s">
        <v>157</v>
      </c>
      <c r="J794" s="13" t="s">
        <v>22</v>
      </c>
      <c r="K794" s="13" t="s">
        <v>44</v>
      </c>
      <c r="L794" s="13" t="s">
        <v>35</v>
      </c>
      <c r="M794" s="15" t="s">
        <v>248</v>
      </c>
      <c r="N794" s="11" t="s">
        <v>1841</v>
      </c>
    </row>
    <row r="795" spans="1:14" ht="15.75" customHeight="1" x14ac:dyDescent="0.15">
      <c r="A795" s="6" t="s">
        <v>2042</v>
      </c>
      <c r="B795" s="6" t="s">
        <v>15</v>
      </c>
      <c r="C795" s="7" t="s">
        <v>2043</v>
      </c>
      <c r="D795" s="8" t="s">
        <v>17</v>
      </c>
      <c r="E795" s="9">
        <v>34970</v>
      </c>
      <c r="F795" s="8" t="s">
        <v>66</v>
      </c>
      <c r="G795" s="8" t="s">
        <v>204</v>
      </c>
      <c r="H795" s="8" t="s">
        <v>837</v>
      </c>
      <c r="I795" s="8" t="s">
        <v>69</v>
      </c>
      <c r="J795" s="8" t="s">
        <v>22</v>
      </c>
      <c r="K795" s="8" t="s">
        <v>23</v>
      </c>
      <c r="L795" s="8" t="s">
        <v>78</v>
      </c>
      <c r="M795" s="10" t="s">
        <v>245</v>
      </c>
      <c r="N795" s="11" t="s">
        <v>2044</v>
      </c>
    </row>
    <row r="796" spans="1:14" ht="15.75" customHeight="1" x14ac:dyDescent="0.15">
      <c r="A796" s="12" t="s">
        <v>2045</v>
      </c>
      <c r="B796" s="12" t="s">
        <v>14</v>
      </c>
      <c r="C796" s="7" t="s">
        <v>2046</v>
      </c>
      <c r="D796" s="13" t="s">
        <v>17</v>
      </c>
      <c r="E796" s="14">
        <v>37679</v>
      </c>
      <c r="F796" s="13" t="s">
        <v>186</v>
      </c>
      <c r="G796" s="13" t="s">
        <v>131</v>
      </c>
      <c r="H796" s="13" t="s">
        <v>68</v>
      </c>
      <c r="I796" s="13" t="s">
        <v>103</v>
      </c>
      <c r="J796" s="13" t="s">
        <v>76</v>
      </c>
      <c r="K796" s="13" t="s">
        <v>23</v>
      </c>
      <c r="L796" s="13" t="s">
        <v>198</v>
      </c>
      <c r="M796" s="15" t="s">
        <v>209</v>
      </c>
      <c r="N796" s="11" t="s">
        <v>2044</v>
      </c>
    </row>
    <row r="797" spans="1:14" ht="15.75" customHeight="1" x14ac:dyDescent="0.15">
      <c r="A797" s="6" t="s">
        <v>2047</v>
      </c>
      <c r="B797" s="6" t="s">
        <v>27</v>
      </c>
      <c r="C797" s="7" t="s">
        <v>2048</v>
      </c>
      <c r="D797" s="8" t="s">
        <v>49</v>
      </c>
      <c r="E797" s="16">
        <v>35352</v>
      </c>
      <c r="F797" s="8" t="s">
        <v>148</v>
      </c>
      <c r="G797" s="8" t="s">
        <v>19</v>
      </c>
      <c r="H797" s="8" t="s">
        <v>156</v>
      </c>
      <c r="I797" s="8" t="s">
        <v>313</v>
      </c>
      <c r="J797" s="8" t="s">
        <v>22</v>
      </c>
      <c r="K797" s="8" t="s">
        <v>44</v>
      </c>
      <c r="L797" s="8" t="s">
        <v>187</v>
      </c>
      <c r="M797" s="10" t="s">
        <v>425</v>
      </c>
      <c r="N797" s="11" t="s">
        <v>2044</v>
      </c>
    </row>
    <row r="798" spans="1:14" ht="15.75" customHeight="1" x14ac:dyDescent="0.15">
      <c r="A798" s="6" t="s">
        <v>2049</v>
      </c>
      <c r="B798" s="12" t="s">
        <v>37</v>
      </c>
      <c r="C798" s="7" t="s">
        <v>2050</v>
      </c>
      <c r="D798" s="13" t="s">
        <v>17</v>
      </c>
      <c r="E798" s="17">
        <v>33189</v>
      </c>
      <c r="F798" s="13" t="s">
        <v>50</v>
      </c>
      <c r="G798" s="13" t="s">
        <v>119</v>
      </c>
      <c r="H798" s="13" t="s">
        <v>42</v>
      </c>
      <c r="I798" s="13" t="s">
        <v>192</v>
      </c>
      <c r="J798" s="13" t="s">
        <v>22</v>
      </c>
      <c r="K798" s="13" t="s">
        <v>44</v>
      </c>
      <c r="L798" s="13" t="s">
        <v>35</v>
      </c>
      <c r="M798" s="15" t="s">
        <v>79</v>
      </c>
      <c r="N798" s="11" t="s">
        <v>2044</v>
      </c>
    </row>
    <row r="799" spans="1:14" ht="15.75" customHeight="1" x14ac:dyDescent="0.15">
      <c r="A799" s="12" t="s">
        <v>2051</v>
      </c>
      <c r="B799" s="6" t="s">
        <v>64</v>
      </c>
      <c r="C799" s="7" t="s">
        <v>2052</v>
      </c>
      <c r="D799" s="8" t="s">
        <v>17</v>
      </c>
      <c r="E799" s="9">
        <v>35709</v>
      </c>
      <c r="F799" s="8" t="s">
        <v>212</v>
      </c>
      <c r="G799" s="8" t="s">
        <v>101</v>
      </c>
      <c r="H799" s="8" t="s">
        <v>94</v>
      </c>
      <c r="I799" s="8" t="s">
        <v>582</v>
      </c>
      <c r="J799" s="8" t="s">
        <v>22</v>
      </c>
      <c r="K799" s="8" t="s">
        <v>44</v>
      </c>
      <c r="L799" s="8" t="s">
        <v>35</v>
      </c>
      <c r="M799" s="10" t="s">
        <v>971</v>
      </c>
      <c r="N799" s="11" t="s">
        <v>2044</v>
      </c>
    </row>
    <row r="800" spans="1:14" ht="15.75" customHeight="1" x14ac:dyDescent="0.15">
      <c r="A800" s="6" t="s">
        <v>2053</v>
      </c>
      <c r="B800" s="12" t="s">
        <v>72</v>
      </c>
      <c r="C800" s="7" t="s">
        <v>2054</v>
      </c>
      <c r="D800" s="13" t="s">
        <v>17</v>
      </c>
      <c r="E800" s="14">
        <v>32738</v>
      </c>
      <c r="F800" s="13" t="s">
        <v>493</v>
      </c>
      <c r="G800" s="13" t="s">
        <v>618</v>
      </c>
      <c r="H800" s="13" t="s">
        <v>68</v>
      </c>
      <c r="I800" s="13" t="s">
        <v>103</v>
      </c>
      <c r="J800" s="13" t="s">
        <v>22</v>
      </c>
      <c r="K800" s="13" t="s">
        <v>23</v>
      </c>
      <c r="L800" s="13" t="s">
        <v>110</v>
      </c>
      <c r="M800" s="15" t="s">
        <v>2055</v>
      </c>
      <c r="N800" s="11" t="s">
        <v>2044</v>
      </c>
    </row>
    <row r="801" spans="1:14" ht="15.75" customHeight="1" x14ac:dyDescent="0.15">
      <c r="A801" s="12" t="s">
        <v>2056</v>
      </c>
      <c r="B801" s="6" t="s">
        <v>80</v>
      </c>
      <c r="C801" s="7" t="s">
        <v>2057</v>
      </c>
      <c r="D801" s="8" t="s">
        <v>39</v>
      </c>
      <c r="E801" s="16">
        <v>35426</v>
      </c>
      <c r="F801" s="8" t="s">
        <v>148</v>
      </c>
      <c r="G801" s="8" t="s">
        <v>19</v>
      </c>
      <c r="H801" s="8" t="s">
        <v>94</v>
      </c>
      <c r="I801" s="8" t="s">
        <v>265</v>
      </c>
      <c r="J801" s="8" t="s">
        <v>54</v>
      </c>
      <c r="K801" s="8" t="s">
        <v>23</v>
      </c>
      <c r="L801" s="8" t="s">
        <v>78</v>
      </c>
      <c r="M801" s="10" t="s">
        <v>329</v>
      </c>
      <c r="N801" s="11" t="s">
        <v>2044</v>
      </c>
    </row>
    <row r="802" spans="1:14" ht="15.75" customHeight="1" x14ac:dyDescent="0.15">
      <c r="A802" s="6" t="s">
        <v>2058</v>
      </c>
      <c r="B802" s="12" t="s">
        <v>86</v>
      </c>
      <c r="C802" s="7" t="s">
        <v>2059</v>
      </c>
      <c r="D802" s="13" t="s">
        <v>17</v>
      </c>
      <c r="E802" s="14">
        <v>33282</v>
      </c>
      <c r="F802" s="13" t="s">
        <v>50</v>
      </c>
      <c r="G802" s="13" t="s">
        <v>131</v>
      </c>
      <c r="H802" s="13" t="s">
        <v>171</v>
      </c>
      <c r="I802" s="13" t="s">
        <v>1176</v>
      </c>
      <c r="J802" s="13" t="s">
        <v>150</v>
      </c>
      <c r="K802" s="13" t="s">
        <v>44</v>
      </c>
      <c r="L802" s="13" t="s">
        <v>151</v>
      </c>
      <c r="M802" s="15" t="s">
        <v>664</v>
      </c>
      <c r="N802" s="11" t="s">
        <v>2044</v>
      </c>
    </row>
    <row r="803" spans="1:14" ht="15.75" customHeight="1" x14ac:dyDescent="0.15">
      <c r="A803" s="6" t="s">
        <v>2060</v>
      </c>
      <c r="B803" s="6" t="s">
        <v>98</v>
      </c>
      <c r="C803" s="7" t="s">
        <v>2061</v>
      </c>
      <c r="D803" s="8" t="s">
        <v>107</v>
      </c>
      <c r="E803" s="9">
        <v>31020</v>
      </c>
      <c r="F803" s="8" t="s">
        <v>1706</v>
      </c>
      <c r="G803" s="8" t="s">
        <v>608</v>
      </c>
      <c r="H803" s="8" t="s">
        <v>94</v>
      </c>
      <c r="I803" s="8" t="s">
        <v>273</v>
      </c>
      <c r="J803" s="8" t="s">
        <v>54</v>
      </c>
      <c r="K803" s="8" t="s">
        <v>44</v>
      </c>
      <c r="L803" s="8" t="s">
        <v>70</v>
      </c>
      <c r="M803" s="10" t="s">
        <v>641</v>
      </c>
      <c r="N803" s="11" t="s">
        <v>2044</v>
      </c>
    </row>
    <row r="804" spans="1:14" ht="15.75" customHeight="1" x14ac:dyDescent="0.15">
      <c r="A804" s="6" t="s">
        <v>2062</v>
      </c>
      <c r="B804" s="6" t="s">
        <v>105</v>
      </c>
      <c r="C804" s="7" t="s">
        <v>2063</v>
      </c>
      <c r="D804" s="8" t="s">
        <v>107</v>
      </c>
      <c r="E804" s="16">
        <v>37945</v>
      </c>
      <c r="F804" s="8" t="s">
        <v>92</v>
      </c>
      <c r="G804" s="8" t="s">
        <v>93</v>
      </c>
      <c r="H804" s="8" t="s">
        <v>156</v>
      </c>
      <c r="I804" s="8" t="s">
        <v>582</v>
      </c>
      <c r="J804" s="8" t="s">
        <v>54</v>
      </c>
      <c r="K804" s="8" t="s">
        <v>44</v>
      </c>
      <c r="L804" s="8" t="s">
        <v>121</v>
      </c>
      <c r="M804" s="10" t="s">
        <v>97</v>
      </c>
      <c r="N804" s="11" t="s">
        <v>2044</v>
      </c>
    </row>
    <row r="805" spans="1:14" ht="15.75" customHeight="1" x14ac:dyDescent="0.15">
      <c r="A805" s="12" t="s">
        <v>2064</v>
      </c>
      <c r="B805" s="12" t="s">
        <v>122</v>
      </c>
      <c r="C805" s="7" t="s">
        <v>2065</v>
      </c>
      <c r="D805" s="13" t="s">
        <v>107</v>
      </c>
      <c r="E805" s="14">
        <v>36471</v>
      </c>
      <c r="F805" s="13" t="s">
        <v>40</v>
      </c>
      <c r="G805" s="13" t="s">
        <v>93</v>
      </c>
      <c r="H805" s="13" t="s">
        <v>108</v>
      </c>
      <c r="I805" s="13" t="s">
        <v>109</v>
      </c>
      <c r="J805" s="13" t="s">
        <v>150</v>
      </c>
      <c r="K805" s="13" t="s">
        <v>44</v>
      </c>
      <c r="L805" s="13" t="s">
        <v>324</v>
      </c>
      <c r="M805" s="15" t="s">
        <v>685</v>
      </c>
      <c r="N805" s="11" t="s">
        <v>2044</v>
      </c>
    </row>
    <row r="806" spans="1:14" ht="15.75" customHeight="1" x14ac:dyDescent="0.15">
      <c r="A806" s="6" t="s">
        <v>2066</v>
      </c>
      <c r="B806" s="6" t="s">
        <v>123</v>
      </c>
      <c r="C806" s="7" t="s">
        <v>2067</v>
      </c>
      <c r="D806" s="8" t="s">
        <v>107</v>
      </c>
      <c r="E806" s="9">
        <v>37121</v>
      </c>
      <c r="F806" s="8" t="s">
        <v>203</v>
      </c>
      <c r="G806" s="8" t="s">
        <v>138</v>
      </c>
      <c r="H806" s="8" t="s">
        <v>42</v>
      </c>
      <c r="I806" s="8" t="s">
        <v>53</v>
      </c>
      <c r="J806" s="8" t="s">
        <v>22</v>
      </c>
      <c r="K806" s="8" t="s">
        <v>77</v>
      </c>
      <c r="L806" s="8" t="s">
        <v>45</v>
      </c>
      <c r="M806" s="10" t="s">
        <v>2068</v>
      </c>
      <c r="N806" s="11" t="s">
        <v>2044</v>
      </c>
    </row>
    <row r="807" spans="1:14" ht="15.75" customHeight="1" x14ac:dyDescent="0.15">
      <c r="A807" s="6" t="s">
        <v>2069</v>
      </c>
      <c r="B807" s="12" t="s">
        <v>129</v>
      </c>
      <c r="C807" s="7" t="s">
        <v>2070</v>
      </c>
      <c r="D807" s="13" t="s">
        <v>107</v>
      </c>
      <c r="E807" s="14">
        <v>32244</v>
      </c>
      <c r="F807" s="13" t="s">
        <v>332</v>
      </c>
      <c r="G807" s="13" t="s">
        <v>60</v>
      </c>
      <c r="H807" s="13" t="s">
        <v>108</v>
      </c>
      <c r="I807" s="13" t="s">
        <v>120</v>
      </c>
      <c r="J807" s="13" t="s">
        <v>54</v>
      </c>
      <c r="K807" s="13" t="s">
        <v>44</v>
      </c>
      <c r="L807" s="13" t="s">
        <v>35</v>
      </c>
      <c r="M807" s="15" t="s">
        <v>111</v>
      </c>
      <c r="N807" s="11" t="s">
        <v>2044</v>
      </c>
    </row>
    <row r="808" spans="1:14" ht="15.75" customHeight="1" x14ac:dyDescent="0.15">
      <c r="A808" s="12" t="s">
        <v>2071</v>
      </c>
      <c r="B808" s="6" t="s">
        <v>135</v>
      </c>
      <c r="C808" s="7" t="s">
        <v>2072</v>
      </c>
      <c r="D808" s="8" t="s">
        <v>107</v>
      </c>
      <c r="E808" s="16">
        <v>36812</v>
      </c>
      <c r="F808" s="8" t="s">
        <v>203</v>
      </c>
      <c r="G808" s="8" t="s">
        <v>41</v>
      </c>
      <c r="H808" s="8" t="s">
        <v>191</v>
      </c>
      <c r="I808" s="8" t="s">
        <v>115</v>
      </c>
      <c r="J808" s="8" t="s">
        <v>76</v>
      </c>
      <c r="K808" s="8" t="s">
        <v>44</v>
      </c>
      <c r="L808" s="8" t="s">
        <v>1006</v>
      </c>
      <c r="M808" s="10" t="s">
        <v>209</v>
      </c>
      <c r="N808" s="11" t="s">
        <v>2044</v>
      </c>
    </row>
    <row r="809" spans="1:14" ht="15.75" customHeight="1" x14ac:dyDescent="0.15">
      <c r="A809" s="6" t="s">
        <v>2073</v>
      </c>
      <c r="B809" s="12" t="s">
        <v>153</v>
      </c>
      <c r="C809" s="7" t="s">
        <v>2074</v>
      </c>
      <c r="D809" s="13" t="s">
        <v>107</v>
      </c>
      <c r="E809" s="14">
        <v>37857</v>
      </c>
      <c r="F809" s="13" t="s">
        <v>186</v>
      </c>
      <c r="G809" s="13" t="s">
        <v>93</v>
      </c>
      <c r="H809" s="13" t="s">
        <v>179</v>
      </c>
      <c r="I809" s="13" t="s">
        <v>385</v>
      </c>
      <c r="J809" s="13" t="s">
        <v>22</v>
      </c>
      <c r="K809" s="13" t="s">
        <v>44</v>
      </c>
      <c r="L809" s="13" t="s">
        <v>251</v>
      </c>
      <c r="M809" s="15" t="s">
        <v>141</v>
      </c>
      <c r="N809" s="11" t="s">
        <v>2044</v>
      </c>
    </row>
    <row r="810" spans="1:14" ht="15.75" customHeight="1" x14ac:dyDescent="0.15">
      <c r="A810" s="12" t="s">
        <v>2075</v>
      </c>
      <c r="B810" s="6" t="s">
        <v>142</v>
      </c>
      <c r="C810" s="7" t="s">
        <v>2076</v>
      </c>
      <c r="D810" s="8" t="s">
        <v>107</v>
      </c>
      <c r="E810" s="9">
        <v>35982</v>
      </c>
      <c r="F810" s="8" t="s">
        <v>212</v>
      </c>
      <c r="G810" s="8" t="s">
        <v>31</v>
      </c>
      <c r="H810" s="8" t="s">
        <v>94</v>
      </c>
      <c r="I810" s="8" t="s">
        <v>313</v>
      </c>
      <c r="J810" s="8" t="s">
        <v>76</v>
      </c>
      <c r="K810" s="8" t="s">
        <v>77</v>
      </c>
      <c r="L810" s="8" t="s">
        <v>165</v>
      </c>
      <c r="M810" s="10" t="s">
        <v>305</v>
      </c>
      <c r="N810" s="11" t="s">
        <v>2044</v>
      </c>
    </row>
    <row r="811" spans="1:14" ht="15.75" customHeight="1" x14ac:dyDescent="0.15">
      <c r="A811" s="6" t="s">
        <v>2077</v>
      </c>
      <c r="B811" s="12" t="s">
        <v>672</v>
      </c>
      <c r="C811" s="7" t="s">
        <v>2078</v>
      </c>
      <c r="D811" s="13" t="s">
        <v>49</v>
      </c>
      <c r="E811" s="14">
        <v>37077</v>
      </c>
      <c r="F811" s="13" t="s">
        <v>203</v>
      </c>
      <c r="G811" s="13" t="s">
        <v>204</v>
      </c>
      <c r="H811" s="13" t="s">
        <v>82</v>
      </c>
      <c r="I811" s="13" t="s">
        <v>53</v>
      </c>
      <c r="J811" s="13" t="s">
        <v>22</v>
      </c>
      <c r="K811" s="13" t="s">
        <v>44</v>
      </c>
      <c r="L811" s="13" t="s">
        <v>78</v>
      </c>
      <c r="M811" s="15" t="s">
        <v>540</v>
      </c>
      <c r="N811" s="11" t="s">
        <v>2044</v>
      </c>
    </row>
    <row r="812" spans="1:14" ht="15.75" customHeight="1" x14ac:dyDescent="0.15">
      <c r="A812" s="6" t="s">
        <v>2079</v>
      </c>
      <c r="B812" s="6" t="s">
        <v>162</v>
      </c>
      <c r="C812" s="7" t="s">
        <v>2080</v>
      </c>
      <c r="D812" s="8" t="s">
        <v>107</v>
      </c>
      <c r="E812" s="9">
        <v>33493</v>
      </c>
      <c r="F812" s="8" t="s">
        <v>430</v>
      </c>
      <c r="G812" s="8" t="s">
        <v>93</v>
      </c>
      <c r="H812" s="8" t="s">
        <v>171</v>
      </c>
      <c r="I812" s="8" t="s">
        <v>197</v>
      </c>
      <c r="J812" s="8" t="s">
        <v>150</v>
      </c>
      <c r="K812" s="8" t="s">
        <v>44</v>
      </c>
      <c r="L812" s="8" t="s">
        <v>324</v>
      </c>
      <c r="M812" s="10" t="s">
        <v>2081</v>
      </c>
      <c r="N812" s="11" t="s">
        <v>2044</v>
      </c>
    </row>
    <row r="813" spans="1:14" ht="15.75" customHeight="1" x14ac:dyDescent="0.15">
      <c r="A813" s="12" t="s">
        <v>2082</v>
      </c>
      <c r="B813" s="12" t="s">
        <v>167</v>
      </c>
      <c r="C813" s="7" t="s">
        <v>2083</v>
      </c>
      <c r="D813" s="13" t="s">
        <v>107</v>
      </c>
      <c r="E813" s="14">
        <v>34732</v>
      </c>
      <c r="F813" s="13" t="s">
        <v>59</v>
      </c>
      <c r="G813" s="13" t="s">
        <v>131</v>
      </c>
      <c r="H813" s="13" t="s">
        <v>171</v>
      </c>
      <c r="I813" s="13" t="s">
        <v>342</v>
      </c>
      <c r="J813" s="13" t="s">
        <v>150</v>
      </c>
      <c r="K813" s="13" t="s">
        <v>44</v>
      </c>
      <c r="L813" s="13" t="s">
        <v>324</v>
      </c>
      <c r="M813" s="15" t="s">
        <v>329</v>
      </c>
      <c r="N813" s="11" t="s">
        <v>2044</v>
      </c>
    </row>
    <row r="814" spans="1:14" ht="15.75" customHeight="1" x14ac:dyDescent="0.15">
      <c r="A814" s="6" t="s">
        <v>2084</v>
      </c>
      <c r="B814" s="6" t="s">
        <v>146</v>
      </c>
      <c r="C814" s="7" t="s">
        <v>2085</v>
      </c>
      <c r="D814" s="8" t="s">
        <v>17</v>
      </c>
      <c r="E814" s="9">
        <v>36998</v>
      </c>
      <c r="F814" s="8" t="s">
        <v>203</v>
      </c>
      <c r="G814" s="8" t="s">
        <v>204</v>
      </c>
      <c r="H814" s="8" t="s">
        <v>42</v>
      </c>
      <c r="I814" s="8" t="s">
        <v>115</v>
      </c>
      <c r="J814" s="8" t="s">
        <v>76</v>
      </c>
      <c r="K814" s="8" t="s">
        <v>23</v>
      </c>
      <c r="L814" s="8" t="s">
        <v>133</v>
      </c>
      <c r="M814" s="10" t="s">
        <v>947</v>
      </c>
      <c r="N814" s="11" t="s">
        <v>2044</v>
      </c>
    </row>
    <row r="815" spans="1:14" ht="15.75" customHeight="1" x14ac:dyDescent="0.15">
      <c r="A815" s="12" t="s">
        <v>2086</v>
      </c>
      <c r="B815" s="12" t="s">
        <v>154</v>
      </c>
      <c r="C815" s="7" t="s">
        <v>2087</v>
      </c>
      <c r="D815" s="13" t="s">
        <v>39</v>
      </c>
      <c r="E815" s="14">
        <v>34554</v>
      </c>
      <c r="F815" s="13" t="s">
        <v>18</v>
      </c>
      <c r="G815" s="13" t="s">
        <v>60</v>
      </c>
      <c r="H815" s="13" t="s">
        <v>32</v>
      </c>
      <c r="I815" s="13" t="s">
        <v>53</v>
      </c>
      <c r="J815" s="13" t="s">
        <v>54</v>
      </c>
      <c r="K815" s="13" t="s">
        <v>294</v>
      </c>
      <c r="L815" s="13" t="s">
        <v>55</v>
      </c>
      <c r="M815" s="15" t="s">
        <v>71</v>
      </c>
      <c r="N815" s="11" t="s">
        <v>2044</v>
      </c>
    </row>
    <row r="816" spans="1:14" ht="15.75" customHeight="1" x14ac:dyDescent="0.15">
      <c r="A816" s="6" t="s">
        <v>2088</v>
      </c>
      <c r="B816" s="6" t="s">
        <v>159</v>
      </c>
      <c r="C816" s="7" t="s">
        <v>2089</v>
      </c>
      <c r="D816" s="8" t="s">
        <v>107</v>
      </c>
      <c r="E816" s="9">
        <v>37279</v>
      </c>
      <c r="F816" s="8" t="s">
        <v>137</v>
      </c>
      <c r="G816" s="8" t="s">
        <v>131</v>
      </c>
      <c r="H816" s="8" t="s">
        <v>68</v>
      </c>
      <c r="I816" s="8" t="s">
        <v>385</v>
      </c>
      <c r="J816" s="8" t="s">
        <v>76</v>
      </c>
      <c r="K816" s="8" t="s">
        <v>44</v>
      </c>
      <c r="L816" s="8" t="s">
        <v>769</v>
      </c>
      <c r="M816" s="10" t="s">
        <v>161</v>
      </c>
      <c r="N816" s="11" t="s">
        <v>2044</v>
      </c>
    </row>
    <row r="817" spans="1:14" ht="15.75" customHeight="1" x14ac:dyDescent="0.15">
      <c r="A817" s="6" t="s">
        <v>2090</v>
      </c>
      <c r="B817" s="12" t="s">
        <v>163</v>
      </c>
      <c r="C817" s="7" t="s">
        <v>2091</v>
      </c>
      <c r="D817" s="13" t="s">
        <v>49</v>
      </c>
      <c r="E817" s="14">
        <v>32621</v>
      </c>
      <c r="F817" s="13" t="s">
        <v>493</v>
      </c>
      <c r="G817" s="13" t="s">
        <v>611</v>
      </c>
      <c r="H817" s="13" t="s">
        <v>94</v>
      </c>
      <c r="I817" s="13" t="s">
        <v>149</v>
      </c>
      <c r="J817" s="13" t="s">
        <v>76</v>
      </c>
      <c r="K817" s="13" t="s">
        <v>44</v>
      </c>
      <c r="L817" s="13" t="s">
        <v>297</v>
      </c>
      <c r="M817" s="15" t="s">
        <v>434</v>
      </c>
      <c r="N817" s="11" t="s">
        <v>2044</v>
      </c>
    </row>
    <row r="818" spans="1:14" ht="15.75" customHeight="1" x14ac:dyDescent="0.15">
      <c r="A818" s="12" t="s">
        <v>2092</v>
      </c>
      <c r="B818" s="6" t="s">
        <v>168</v>
      </c>
      <c r="C818" s="7" t="s">
        <v>2093</v>
      </c>
      <c r="D818" s="8" t="s">
        <v>107</v>
      </c>
      <c r="E818" s="9">
        <v>33971</v>
      </c>
      <c r="F818" s="8" t="s">
        <v>182</v>
      </c>
      <c r="G818" s="8" t="s">
        <v>60</v>
      </c>
      <c r="H818" s="8" t="s">
        <v>156</v>
      </c>
      <c r="I818" s="8" t="s">
        <v>157</v>
      </c>
      <c r="J818" s="8" t="s">
        <v>54</v>
      </c>
      <c r="K818" s="8" t="s">
        <v>44</v>
      </c>
      <c r="L818" s="8" t="s">
        <v>35</v>
      </c>
      <c r="M818" s="10" t="s">
        <v>411</v>
      </c>
      <c r="N818" s="11" t="s">
        <v>2044</v>
      </c>
    </row>
    <row r="819" spans="1:14" ht="15.75" customHeight="1" x14ac:dyDescent="0.15">
      <c r="A819" s="6" t="s">
        <v>2094</v>
      </c>
      <c r="B819" s="12" t="s">
        <v>711</v>
      </c>
      <c r="C819" s="7" t="s">
        <v>2095</v>
      </c>
      <c r="D819" s="13" t="s">
        <v>107</v>
      </c>
      <c r="E819" s="14">
        <v>37357</v>
      </c>
      <c r="F819" s="13" t="s">
        <v>137</v>
      </c>
      <c r="G819" s="13" t="s">
        <v>131</v>
      </c>
      <c r="H819" s="13" t="s">
        <v>179</v>
      </c>
      <c r="I819" s="13" t="s">
        <v>95</v>
      </c>
      <c r="J819" s="13" t="s">
        <v>54</v>
      </c>
      <c r="K819" s="13" t="s">
        <v>77</v>
      </c>
      <c r="L819" s="13" t="s">
        <v>479</v>
      </c>
      <c r="M819" s="15" t="s">
        <v>161</v>
      </c>
      <c r="N819" s="11" t="s">
        <v>2044</v>
      </c>
    </row>
    <row r="820" spans="1:14" ht="15.75" customHeight="1" x14ac:dyDescent="0.15">
      <c r="A820" s="12" t="s">
        <v>2096</v>
      </c>
      <c r="B820" s="6" t="s">
        <v>173</v>
      </c>
      <c r="C820" s="7" t="s">
        <v>2097</v>
      </c>
      <c r="D820" s="8" t="s">
        <v>107</v>
      </c>
      <c r="E820" s="9">
        <v>36790</v>
      </c>
      <c r="F820" s="8" t="s">
        <v>203</v>
      </c>
      <c r="G820" s="8" t="s">
        <v>41</v>
      </c>
      <c r="H820" s="8" t="s">
        <v>191</v>
      </c>
      <c r="I820" s="8" t="s">
        <v>385</v>
      </c>
      <c r="J820" s="8" t="s">
        <v>22</v>
      </c>
      <c r="K820" s="8" t="s">
        <v>44</v>
      </c>
      <c r="L820" s="8" t="s">
        <v>35</v>
      </c>
      <c r="M820" s="10" t="s">
        <v>727</v>
      </c>
      <c r="N820" s="11" t="s">
        <v>2044</v>
      </c>
    </row>
    <row r="821" spans="1:14" ht="15.75" customHeight="1" x14ac:dyDescent="0.15">
      <c r="A821" s="6" t="s">
        <v>2098</v>
      </c>
      <c r="B821" s="12" t="s">
        <v>175</v>
      </c>
      <c r="C821" s="7" t="s">
        <v>2099</v>
      </c>
      <c r="D821" s="13" t="s">
        <v>17</v>
      </c>
      <c r="E821" s="14">
        <v>37736</v>
      </c>
      <c r="F821" s="13" t="s">
        <v>186</v>
      </c>
      <c r="G821" s="13" t="s">
        <v>93</v>
      </c>
      <c r="H821" s="13" t="s">
        <v>139</v>
      </c>
      <c r="I821" s="13" t="s">
        <v>149</v>
      </c>
      <c r="J821" s="13" t="s">
        <v>22</v>
      </c>
      <c r="K821" s="13" t="s">
        <v>44</v>
      </c>
      <c r="L821" s="13" t="s">
        <v>55</v>
      </c>
      <c r="M821" s="15" t="s">
        <v>161</v>
      </c>
      <c r="N821" s="11" t="s">
        <v>2044</v>
      </c>
    </row>
    <row r="822" spans="1:14" ht="15.75" customHeight="1" x14ac:dyDescent="0.15">
      <c r="A822" s="6" t="s">
        <v>2100</v>
      </c>
      <c r="B822" s="6" t="s">
        <v>200</v>
      </c>
      <c r="C822" s="7" t="s">
        <v>2101</v>
      </c>
      <c r="D822" s="8" t="s">
        <v>107</v>
      </c>
      <c r="E822" s="16">
        <v>36828</v>
      </c>
      <c r="F822" s="8" t="s">
        <v>203</v>
      </c>
      <c r="G822" s="8" t="s">
        <v>41</v>
      </c>
      <c r="H822" s="8" t="s">
        <v>42</v>
      </c>
      <c r="I822" s="8" t="s">
        <v>192</v>
      </c>
      <c r="J822" s="8" t="s">
        <v>54</v>
      </c>
      <c r="K822" s="8" t="s">
        <v>44</v>
      </c>
      <c r="L822" s="8" t="s">
        <v>55</v>
      </c>
      <c r="M822" s="10" t="s">
        <v>134</v>
      </c>
      <c r="N822" s="11" t="s">
        <v>2044</v>
      </c>
    </row>
    <row r="823" spans="1:14" ht="15.75" customHeight="1" x14ac:dyDescent="0.15">
      <c r="A823" s="12" t="s">
        <v>2102</v>
      </c>
      <c r="B823" s="12" t="s">
        <v>177</v>
      </c>
      <c r="C823" s="7" t="s">
        <v>2103</v>
      </c>
      <c r="D823" s="13" t="s">
        <v>39</v>
      </c>
      <c r="E823" s="14">
        <v>37046</v>
      </c>
      <c r="F823" s="13" t="s">
        <v>203</v>
      </c>
      <c r="G823" s="13" t="s">
        <v>138</v>
      </c>
      <c r="H823" s="13" t="s">
        <v>94</v>
      </c>
      <c r="I823" s="13" t="s">
        <v>207</v>
      </c>
      <c r="J823" s="13" t="s">
        <v>22</v>
      </c>
      <c r="K823" s="13" t="s">
        <v>23</v>
      </c>
      <c r="L823" s="13" t="s">
        <v>431</v>
      </c>
      <c r="M823" s="15" t="s">
        <v>1893</v>
      </c>
      <c r="N823" s="11" t="s">
        <v>2044</v>
      </c>
    </row>
    <row r="824" spans="1:14" ht="15.75" customHeight="1" x14ac:dyDescent="0.15">
      <c r="A824" s="6" t="s">
        <v>2104</v>
      </c>
      <c r="B824" s="6" t="s">
        <v>184</v>
      </c>
      <c r="C824" s="7" t="s">
        <v>2105</v>
      </c>
      <c r="D824" s="8" t="s">
        <v>39</v>
      </c>
      <c r="E824" s="9">
        <v>35937</v>
      </c>
      <c r="F824" s="8" t="s">
        <v>212</v>
      </c>
      <c r="G824" s="8" t="s">
        <v>93</v>
      </c>
      <c r="H824" s="8" t="s">
        <v>238</v>
      </c>
      <c r="I824" s="8" t="s">
        <v>517</v>
      </c>
      <c r="J824" s="8" t="s">
        <v>150</v>
      </c>
      <c r="K824" s="8" t="s">
        <v>44</v>
      </c>
      <c r="L824" s="8" t="s">
        <v>151</v>
      </c>
      <c r="M824" s="10" t="s">
        <v>145</v>
      </c>
      <c r="N824" s="11" t="s">
        <v>2044</v>
      </c>
    </row>
    <row r="825" spans="1:14" ht="15.75" customHeight="1" x14ac:dyDescent="0.15">
      <c r="A825" s="12" t="s">
        <v>2106</v>
      </c>
      <c r="B825" s="12" t="s">
        <v>189</v>
      </c>
      <c r="C825" s="7" t="s">
        <v>2107</v>
      </c>
      <c r="D825" s="13" t="s">
        <v>17</v>
      </c>
      <c r="E825" s="14">
        <v>35438</v>
      </c>
      <c r="F825" s="13" t="s">
        <v>148</v>
      </c>
      <c r="G825" s="13" t="s">
        <v>19</v>
      </c>
      <c r="H825" s="13" t="s">
        <v>94</v>
      </c>
      <c r="I825" s="13" t="s">
        <v>103</v>
      </c>
      <c r="J825" s="13" t="s">
        <v>54</v>
      </c>
      <c r="K825" s="13" t="s">
        <v>23</v>
      </c>
      <c r="L825" s="13" t="s">
        <v>45</v>
      </c>
      <c r="M825" s="15" t="s">
        <v>496</v>
      </c>
      <c r="N825" s="11" t="s">
        <v>2044</v>
      </c>
    </row>
    <row r="826" spans="1:14" ht="15.75" customHeight="1" x14ac:dyDescent="0.15">
      <c r="A826" s="6" t="s">
        <v>2108</v>
      </c>
      <c r="B826" s="6" t="s">
        <v>194</v>
      </c>
      <c r="C826" s="7" t="s">
        <v>2109</v>
      </c>
      <c r="D826" s="8" t="s">
        <v>39</v>
      </c>
      <c r="E826" s="9">
        <v>37484</v>
      </c>
      <c r="F826" s="8" t="s">
        <v>137</v>
      </c>
      <c r="G826" s="8" t="s">
        <v>131</v>
      </c>
      <c r="H826" s="8" t="s">
        <v>94</v>
      </c>
      <c r="I826" s="8" t="s">
        <v>127</v>
      </c>
      <c r="J826" s="8" t="s">
        <v>34</v>
      </c>
      <c r="K826" s="8" t="s">
        <v>23</v>
      </c>
      <c r="L826" s="8" t="s">
        <v>297</v>
      </c>
      <c r="M826" s="10" t="s">
        <v>229</v>
      </c>
      <c r="N826" s="11" t="s">
        <v>2044</v>
      </c>
    </row>
    <row r="827" spans="1:14" ht="15.75" customHeight="1" x14ac:dyDescent="0.15">
      <c r="A827" s="6" t="s">
        <v>2110</v>
      </c>
      <c r="B827" s="12" t="s">
        <v>205</v>
      </c>
      <c r="C827" s="7" t="s">
        <v>2111</v>
      </c>
      <c r="D827" s="13" t="s">
        <v>39</v>
      </c>
      <c r="E827" s="14">
        <v>36041</v>
      </c>
      <c r="F827" s="13" t="s">
        <v>212</v>
      </c>
      <c r="G827" s="13" t="s">
        <v>204</v>
      </c>
      <c r="H827" s="13" t="s">
        <v>156</v>
      </c>
      <c r="I827" s="13" t="s">
        <v>385</v>
      </c>
      <c r="J827" s="13" t="s">
        <v>34</v>
      </c>
      <c r="K827" s="13" t="s">
        <v>44</v>
      </c>
      <c r="L827" s="13" t="s">
        <v>78</v>
      </c>
      <c r="M827" s="15" t="s">
        <v>458</v>
      </c>
      <c r="N827" s="11" t="s">
        <v>2044</v>
      </c>
    </row>
    <row r="828" spans="1:14" ht="15.75" customHeight="1" x14ac:dyDescent="0.15">
      <c r="A828" s="12" t="s">
        <v>2112</v>
      </c>
      <c r="B828" s="6" t="s">
        <v>210</v>
      </c>
      <c r="C828" s="7" t="s">
        <v>2113</v>
      </c>
      <c r="D828" s="8" t="s">
        <v>17</v>
      </c>
      <c r="E828" s="9">
        <v>35307</v>
      </c>
      <c r="F828" s="8" t="s">
        <v>66</v>
      </c>
      <c r="G828" s="8" t="s">
        <v>19</v>
      </c>
      <c r="H828" s="8" t="s">
        <v>32</v>
      </c>
      <c r="I828" s="8" t="s">
        <v>414</v>
      </c>
      <c r="J828" s="8" t="s">
        <v>22</v>
      </c>
      <c r="K828" s="8" t="s">
        <v>44</v>
      </c>
      <c r="L828" s="8" t="s">
        <v>121</v>
      </c>
      <c r="M828" s="10" t="s">
        <v>302</v>
      </c>
      <c r="N828" s="11" t="s">
        <v>2044</v>
      </c>
    </row>
    <row r="829" spans="1:14" ht="15.75" customHeight="1" x14ac:dyDescent="0.15">
      <c r="A829" s="6" t="s">
        <v>2114</v>
      </c>
      <c r="B829" s="12" t="s">
        <v>215</v>
      </c>
      <c r="C829" s="7" t="s">
        <v>2115</v>
      </c>
      <c r="D829" s="13" t="s">
        <v>107</v>
      </c>
      <c r="E829" s="14">
        <v>36741</v>
      </c>
      <c r="F829" s="13" t="s">
        <v>40</v>
      </c>
      <c r="G829" s="13" t="s">
        <v>131</v>
      </c>
      <c r="H829" s="13" t="s">
        <v>196</v>
      </c>
      <c r="I829" s="13" t="s">
        <v>43</v>
      </c>
      <c r="J829" s="13" t="s">
        <v>54</v>
      </c>
      <c r="K829" s="13" t="s">
        <v>44</v>
      </c>
      <c r="L829" s="13" t="s">
        <v>55</v>
      </c>
      <c r="M829" s="15" t="s">
        <v>956</v>
      </c>
      <c r="N829" s="11" t="s">
        <v>2044</v>
      </c>
    </row>
    <row r="830" spans="1:14" ht="15.75" customHeight="1" x14ac:dyDescent="0.15">
      <c r="A830" s="12" t="s">
        <v>2116</v>
      </c>
      <c r="B830" s="6" t="s">
        <v>220</v>
      </c>
      <c r="C830" s="7" t="s">
        <v>2117</v>
      </c>
      <c r="D830" s="8" t="s">
        <v>107</v>
      </c>
      <c r="E830" s="16">
        <v>33567</v>
      </c>
      <c r="F830" s="8" t="s">
        <v>430</v>
      </c>
      <c r="G830" s="8" t="s">
        <v>51</v>
      </c>
      <c r="H830" s="8" t="s">
        <v>108</v>
      </c>
      <c r="I830" s="8" t="s">
        <v>192</v>
      </c>
      <c r="J830" s="8" t="s">
        <v>76</v>
      </c>
      <c r="K830" s="8" t="s">
        <v>44</v>
      </c>
      <c r="L830" s="8" t="s">
        <v>663</v>
      </c>
      <c r="M830" s="10" t="s">
        <v>474</v>
      </c>
      <c r="N830" s="11" t="s">
        <v>2044</v>
      </c>
    </row>
    <row r="831" spans="1:14" ht="15.75" customHeight="1" x14ac:dyDescent="0.15">
      <c r="A831" s="6" t="s">
        <v>2118</v>
      </c>
      <c r="B831" s="12" t="s">
        <v>223</v>
      </c>
      <c r="C831" s="7" t="s">
        <v>2119</v>
      </c>
      <c r="D831" s="13" t="s">
        <v>39</v>
      </c>
      <c r="E831" s="14">
        <v>37926</v>
      </c>
      <c r="F831" s="13" t="s">
        <v>92</v>
      </c>
      <c r="G831" s="13" t="s">
        <v>93</v>
      </c>
      <c r="H831" s="13" t="s">
        <v>94</v>
      </c>
      <c r="I831" s="13" t="s">
        <v>192</v>
      </c>
      <c r="J831" s="13" t="s">
        <v>54</v>
      </c>
      <c r="K831" s="13" t="s">
        <v>23</v>
      </c>
      <c r="L831" s="13" t="s">
        <v>78</v>
      </c>
      <c r="M831" s="15" t="s">
        <v>219</v>
      </c>
      <c r="N831" s="11" t="s">
        <v>2044</v>
      </c>
    </row>
    <row r="832" spans="1:14" ht="15.75" customHeight="1" x14ac:dyDescent="0.15">
      <c r="A832" s="6" t="s">
        <v>2120</v>
      </c>
      <c r="B832" s="6" t="s">
        <v>227</v>
      </c>
      <c r="C832" s="7" t="s">
        <v>2121</v>
      </c>
      <c r="D832" s="8" t="s">
        <v>107</v>
      </c>
      <c r="E832" s="9">
        <v>33853</v>
      </c>
      <c r="F832" s="8" t="s">
        <v>182</v>
      </c>
      <c r="G832" s="8" t="s">
        <v>101</v>
      </c>
      <c r="H832" s="8" t="s">
        <v>108</v>
      </c>
      <c r="I832" s="8" t="s">
        <v>109</v>
      </c>
      <c r="J832" s="8" t="s">
        <v>150</v>
      </c>
      <c r="K832" s="8" t="s">
        <v>23</v>
      </c>
      <c r="L832" s="8" t="s">
        <v>751</v>
      </c>
      <c r="M832" s="10" t="s">
        <v>104</v>
      </c>
      <c r="N832" s="11" t="s">
        <v>2044</v>
      </c>
    </row>
    <row r="833" spans="1:14" ht="15.75" customHeight="1" x14ac:dyDescent="0.15">
      <c r="A833" s="12" t="s">
        <v>2122</v>
      </c>
      <c r="B833" s="12" t="s">
        <v>230</v>
      </c>
      <c r="C833" s="7" t="s">
        <v>2123</v>
      </c>
      <c r="D833" s="13" t="s">
        <v>49</v>
      </c>
      <c r="E833" s="14">
        <v>33843</v>
      </c>
      <c r="F833" s="13" t="s">
        <v>430</v>
      </c>
      <c r="G833" s="13" t="s">
        <v>293</v>
      </c>
      <c r="H833" s="13" t="s">
        <v>156</v>
      </c>
      <c r="I833" s="13" t="s">
        <v>385</v>
      </c>
      <c r="J833" s="13" t="s">
        <v>22</v>
      </c>
      <c r="K833" s="13" t="s">
        <v>23</v>
      </c>
      <c r="L833" s="13" t="s">
        <v>390</v>
      </c>
      <c r="M833" s="15" t="s">
        <v>486</v>
      </c>
      <c r="N833" s="11" t="s">
        <v>2044</v>
      </c>
    </row>
    <row r="834" spans="1:14" ht="15.75" customHeight="1" x14ac:dyDescent="0.15">
      <c r="A834" s="6" t="s">
        <v>2124</v>
      </c>
      <c r="B834" s="6" t="s">
        <v>234</v>
      </c>
      <c r="C834" s="7" t="s">
        <v>2125</v>
      </c>
      <c r="D834" s="8" t="s">
        <v>107</v>
      </c>
      <c r="E834" s="9">
        <v>36469</v>
      </c>
      <c r="F834" s="8" t="s">
        <v>40</v>
      </c>
      <c r="G834" s="8" t="s">
        <v>93</v>
      </c>
      <c r="H834" s="8" t="s">
        <v>179</v>
      </c>
      <c r="I834" s="8" t="s">
        <v>157</v>
      </c>
      <c r="J834" s="8" t="s">
        <v>22</v>
      </c>
      <c r="K834" s="8" t="s">
        <v>23</v>
      </c>
      <c r="L834" s="8" t="s">
        <v>283</v>
      </c>
      <c r="M834" s="10" t="s">
        <v>298</v>
      </c>
      <c r="N834" s="11" t="s">
        <v>2044</v>
      </c>
    </row>
    <row r="835" spans="1:14" ht="15.75" customHeight="1" x14ac:dyDescent="0.15">
      <c r="A835" s="12" t="s">
        <v>2126</v>
      </c>
      <c r="B835" s="12" t="s">
        <v>236</v>
      </c>
      <c r="C835" s="7" t="s">
        <v>2127</v>
      </c>
      <c r="D835" s="13" t="s">
        <v>107</v>
      </c>
      <c r="E835" s="14">
        <v>36059</v>
      </c>
      <c r="F835" s="13" t="s">
        <v>30</v>
      </c>
      <c r="G835" s="13" t="s">
        <v>60</v>
      </c>
      <c r="H835" s="13" t="s">
        <v>108</v>
      </c>
      <c r="I835" s="13" t="s">
        <v>385</v>
      </c>
      <c r="J835" s="13" t="s">
        <v>22</v>
      </c>
      <c r="K835" s="13" t="s">
        <v>44</v>
      </c>
      <c r="L835" s="13" t="s">
        <v>165</v>
      </c>
      <c r="M835" s="15" t="s">
        <v>411</v>
      </c>
      <c r="N835" s="11" t="s">
        <v>2044</v>
      </c>
    </row>
    <row r="836" spans="1:14" ht="15.75" customHeight="1" x14ac:dyDescent="0.15">
      <c r="A836" s="6" t="s">
        <v>2128</v>
      </c>
      <c r="B836" s="6" t="s">
        <v>241</v>
      </c>
      <c r="C836" s="7" t="s">
        <v>2129</v>
      </c>
      <c r="D836" s="8" t="s">
        <v>107</v>
      </c>
      <c r="E836" s="9">
        <v>35341</v>
      </c>
      <c r="F836" s="8" t="s">
        <v>148</v>
      </c>
      <c r="G836" s="8" t="s">
        <v>31</v>
      </c>
      <c r="H836" s="8" t="s">
        <v>102</v>
      </c>
      <c r="I836" s="8" t="s">
        <v>157</v>
      </c>
      <c r="J836" s="8" t="s">
        <v>22</v>
      </c>
      <c r="K836" s="8" t="s">
        <v>77</v>
      </c>
      <c r="L836" s="8" t="s">
        <v>45</v>
      </c>
      <c r="M836" s="10" t="s">
        <v>514</v>
      </c>
      <c r="N836" s="11" t="s">
        <v>2044</v>
      </c>
    </row>
    <row r="837" spans="1:14" ht="15.75" customHeight="1" x14ac:dyDescent="0.15">
      <c r="A837" s="6" t="s">
        <v>2130</v>
      </c>
      <c r="B837" s="12" t="s">
        <v>246</v>
      </c>
      <c r="C837" s="7" t="s">
        <v>2131</v>
      </c>
      <c r="D837" s="13" t="s">
        <v>17</v>
      </c>
      <c r="E837" s="14">
        <v>35985</v>
      </c>
      <c r="F837" s="13" t="s">
        <v>212</v>
      </c>
      <c r="G837" s="13" t="s">
        <v>41</v>
      </c>
      <c r="H837" s="13" t="s">
        <v>132</v>
      </c>
      <c r="I837" s="13" t="s">
        <v>207</v>
      </c>
      <c r="J837" s="13" t="s">
        <v>54</v>
      </c>
      <c r="K837" s="13" t="s">
        <v>44</v>
      </c>
      <c r="L837" s="13" t="s">
        <v>301</v>
      </c>
      <c r="M837" s="15" t="s">
        <v>467</v>
      </c>
      <c r="N837" s="11" t="s">
        <v>2044</v>
      </c>
    </row>
    <row r="838" spans="1:14" ht="15.75" customHeight="1" x14ac:dyDescent="0.15">
      <c r="A838" s="12" t="s">
        <v>2132</v>
      </c>
      <c r="B838" s="6" t="s">
        <v>249</v>
      </c>
      <c r="C838" s="7" t="s">
        <v>2133</v>
      </c>
      <c r="D838" s="8" t="s">
        <v>107</v>
      </c>
      <c r="E838" s="9">
        <v>36332</v>
      </c>
      <c r="F838" s="8" t="s">
        <v>30</v>
      </c>
      <c r="G838" s="8" t="s">
        <v>243</v>
      </c>
      <c r="H838" s="8" t="s">
        <v>144</v>
      </c>
      <c r="I838" s="8" t="s">
        <v>149</v>
      </c>
      <c r="J838" s="8" t="s">
        <v>76</v>
      </c>
      <c r="K838" s="8" t="s">
        <v>23</v>
      </c>
      <c r="L838" s="8" t="s">
        <v>78</v>
      </c>
      <c r="M838" s="10" t="s">
        <v>1893</v>
      </c>
      <c r="N838" s="11" t="s">
        <v>2044</v>
      </c>
    </row>
    <row r="839" spans="1:14" ht="15.75" customHeight="1" x14ac:dyDescent="0.15">
      <c r="A839" s="6" t="s">
        <v>2134</v>
      </c>
      <c r="B839" s="12" t="s">
        <v>253</v>
      </c>
      <c r="C839" s="7" t="s">
        <v>2135</v>
      </c>
      <c r="D839" s="13" t="s">
        <v>39</v>
      </c>
      <c r="E839" s="14">
        <v>37057</v>
      </c>
      <c r="F839" s="13" t="s">
        <v>203</v>
      </c>
      <c r="G839" s="13" t="s">
        <v>204</v>
      </c>
      <c r="H839" s="13" t="s">
        <v>156</v>
      </c>
      <c r="I839" s="13" t="s">
        <v>582</v>
      </c>
      <c r="J839" s="13" t="s">
        <v>54</v>
      </c>
      <c r="K839" s="13" t="s">
        <v>77</v>
      </c>
      <c r="L839" s="13" t="s">
        <v>55</v>
      </c>
      <c r="M839" s="15" t="s">
        <v>1395</v>
      </c>
      <c r="N839" s="11" t="s">
        <v>2044</v>
      </c>
    </row>
    <row r="840" spans="1:14" ht="15.75" customHeight="1" x14ac:dyDescent="0.15">
      <c r="A840" s="12" t="s">
        <v>2136</v>
      </c>
      <c r="B840" s="6" t="s">
        <v>257</v>
      </c>
      <c r="C840" s="7" t="s">
        <v>2137</v>
      </c>
      <c r="D840" s="8" t="s">
        <v>39</v>
      </c>
      <c r="E840" s="9">
        <v>35280</v>
      </c>
      <c r="F840" s="8" t="s">
        <v>66</v>
      </c>
      <c r="G840" s="8" t="s">
        <v>19</v>
      </c>
      <c r="H840" s="8" t="s">
        <v>156</v>
      </c>
      <c r="I840" s="8" t="s">
        <v>385</v>
      </c>
      <c r="J840" s="8" t="s">
        <v>22</v>
      </c>
      <c r="K840" s="8" t="s">
        <v>23</v>
      </c>
      <c r="L840" s="8" t="s">
        <v>187</v>
      </c>
      <c r="M840" s="10" t="s">
        <v>305</v>
      </c>
      <c r="N840" s="11" t="s">
        <v>2044</v>
      </c>
    </row>
    <row r="841" spans="1:14" ht="15.75" customHeight="1" x14ac:dyDescent="0.15">
      <c r="A841" s="6" t="s">
        <v>2138</v>
      </c>
      <c r="B841" s="12" t="s">
        <v>259</v>
      </c>
      <c r="C841" s="7" t="s">
        <v>2139</v>
      </c>
      <c r="D841" s="13" t="s">
        <v>107</v>
      </c>
      <c r="E841" s="17">
        <v>35713</v>
      </c>
      <c r="F841" s="13" t="s">
        <v>212</v>
      </c>
      <c r="G841" s="13" t="s">
        <v>204</v>
      </c>
      <c r="H841" s="13" t="s">
        <v>179</v>
      </c>
      <c r="I841" s="13" t="s">
        <v>115</v>
      </c>
      <c r="J841" s="13" t="s">
        <v>150</v>
      </c>
      <c r="K841" s="13" t="s">
        <v>44</v>
      </c>
      <c r="L841" s="13" t="s">
        <v>165</v>
      </c>
      <c r="M841" s="15" t="s">
        <v>287</v>
      </c>
      <c r="N841" s="11" t="s">
        <v>2044</v>
      </c>
    </row>
    <row r="842" spans="1:14" ht="15.75" customHeight="1" x14ac:dyDescent="0.15">
      <c r="A842" s="6" t="s">
        <v>2140</v>
      </c>
      <c r="B842" s="6" t="s">
        <v>263</v>
      </c>
      <c r="C842" s="7" t="s">
        <v>2141</v>
      </c>
      <c r="D842" s="8" t="s">
        <v>107</v>
      </c>
      <c r="E842" s="9">
        <v>38447</v>
      </c>
      <c r="F842" s="8" t="s">
        <v>217</v>
      </c>
      <c r="G842" s="8" t="s">
        <v>138</v>
      </c>
      <c r="H842" s="8" t="s">
        <v>196</v>
      </c>
      <c r="I842" s="8" t="s">
        <v>149</v>
      </c>
      <c r="J842" s="8" t="s">
        <v>76</v>
      </c>
      <c r="K842" s="8" t="s">
        <v>44</v>
      </c>
      <c r="L842" s="8" t="s">
        <v>78</v>
      </c>
      <c r="M842" s="10" t="s">
        <v>2142</v>
      </c>
      <c r="N842" s="11" t="s">
        <v>2044</v>
      </c>
    </row>
    <row r="843" spans="1:14" ht="15.75" customHeight="1" x14ac:dyDescent="0.15">
      <c r="A843" s="12" t="s">
        <v>2143</v>
      </c>
      <c r="B843" s="12" t="s">
        <v>266</v>
      </c>
      <c r="C843" s="7" t="s">
        <v>2144</v>
      </c>
      <c r="D843" s="13" t="s">
        <v>107</v>
      </c>
      <c r="E843" s="14">
        <v>38539</v>
      </c>
      <c r="F843" s="13" t="s">
        <v>217</v>
      </c>
      <c r="G843" s="13" t="s">
        <v>138</v>
      </c>
      <c r="H843" s="13" t="s">
        <v>369</v>
      </c>
      <c r="I843" s="13" t="s">
        <v>977</v>
      </c>
      <c r="J843" s="13" t="s">
        <v>54</v>
      </c>
      <c r="K843" s="13" t="s">
        <v>44</v>
      </c>
      <c r="L843" s="13" t="s">
        <v>218</v>
      </c>
      <c r="M843" s="15" t="s">
        <v>953</v>
      </c>
      <c r="N843" s="11" t="s">
        <v>2044</v>
      </c>
    </row>
    <row r="844" spans="1:14" ht="15.75" customHeight="1" x14ac:dyDescent="0.15">
      <c r="A844" s="6" t="s">
        <v>2145</v>
      </c>
      <c r="B844" s="6" t="s">
        <v>268</v>
      </c>
      <c r="C844" s="7" t="s">
        <v>2146</v>
      </c>
      <c r="D844" s="8" t="s">
        <v>49</v>
      </c>
      <c r="E844" s="9">
        <v>36588</v>
      </c>
      <c r="F844" s="8" t="s">
        <v>40</v>
      </c>
      <c r="G844" s="8" t="s">
        <v>243</v>
      </c>
      <c r="H844" s="8" t="s">
        <v>108</v>
      </c>
      <c r="I844" s="8" t="s">
        <v>977</v>
      </c>
      <c r="J844" s="8" t="s">
        <v>76</v>
      </c>
      <c r="K844" s="8" t="s">
        <v>23</v>
      </c>
      <c r="L844" s="8" t="s">
        <v>78</v>
      </c>
      <c r="M844" s="10" t="s">
        <v>727</v>
      </c>
      <c r="N844" s="11" t="s">
        <v>2044</v>
      </c>
    </row>
    <row r="845" spans="1:14" ht="15.75" customHeight="1" x14ac:dyDescent="0.15">
      <c r="A845" s="12" t="s">
        <v>2147</v>
      </c>
      <c r="B845" s="12" t="s">
        <v>271</v>
      </c>
      <c r="C845" s="7" t="s">
        <v>2148</v>
      </c>
      <c r="D845" s="13" t="s">
        <v>107</v>
      </c>
      <c r="E845" s="14">
        <v>35296</v>
      </c>
      <c r="F845" s="13" t="s">
        <v>66</v>
      </c>
      <c r="G845" s="13" t="s">
        <v>19</v>
      </c>
      <c r="H845" s="13" t="s">
        <v>108</v>
      </c>
      <c r="I845" s="13" t="s">
        <v>33</v>
      </c>
      <c r="J845" s="13" t="s">
        <v>54</v>
      </c>
      <c r="K845" s="13" t="s">
        <v>77</v>
      </c>
      <c r="L845" s="13" t="s">
        <v>45</v>
      </c>
      <c r="M845" s="15" t="s">
        <v>2149</v>
      </c>
      <c r="N845" s="11" t="s">
        <v>2044</v>
      </c>
    </row>
    <row r="846" spans="1:14" ht="15.75" customHeight="1" x14ac:dyDescent="0.15">
      <c r="A846" s="6" t="s">
        <v>2150</v>
      </c>
      <c r="B846" s="6" t="s">
        <v>275</v>
      </c>
      <c r="C846" s="7" t="s">
        <v>2151</v>
      </c>
      <c r="D846" s="8" t="s">
        <v>107</v>
      </c>
      <c r="E846" s="16">
        <v>34688</v>
      </c>
      <c r="F846" s="8" t="s">
        <v>59</v>
      </c>
      <c r="G846" s="8" t="s">
        <v>204</v>
      </c>
      <c r="H846" s="8" t="s">
        <v>94</v>
      </c>
      <c r="I846" s="8" t="s">
        <v>43</v>
      </c>
      <c r="J846" s="8" t="s">
        <v>54</v>
      </c>
      <c r="K846" s="8" t="s">
        <v>44</v>
      </c>
      <c r="L846" s="8" t="s">
        <v>283</v>
      </c>
      <c r="M846" s="10" t="s">
        <v>209</v>
      </c>
      <c r="N846" s="11" t="s">
        <v>2044</v>
      </c>
    </row>
    <row r="847" spans="1:14" ht="15.75" customHeight="1" x14ac:dyDescent="0.15">
      <c r="A847" s="6" t="s">
        <v>2152</v>
      </c>
      <c r="B847" s="12" t="s">
        <v>278</v>
      </c>
      <c r="C847" s="7" t="s">
        <v>2153</v>
      </c>
      <c r="D847" s="13" t="s">
        <v>107</v>
      </c>
      <c r="E847" s="17">
        <v>33164</v>
      </c>
      <c r="F847" s="13" t="s">
        <v>50</v>
      </c>
      <c r="G847" s="13" t="s">
        <v>119</v>
      </c>
      <c r="H847" s="13" t="s">
        <v>52</v>
      </c>
      <c r="I847" s="13" t="s">
        <v>261</v>
      </c>
      <c r="J847" s="13" t="s">
        <v>54</v>
      </c>
      <c r="K847" s="13" t="s">
        <v>77</v>
      </c>
      <c r="L847" s="13" t="s">
        <v>55</v>
      </c>
      <c r="M847" s="15" t="s">
        <v>411</v>
      </c>
      <c r="N847" s="11" t="s">
        <v>2044</v>
      </c>
    </row>
    <row r="848" spans="1:14" ht="15.75" customHeight="1" x14ac:dyDescent="0.15">
      <c r="A848" s="12" t="s">
        <v>2154</v>
      </c>
      <c r="B848" s="6" t="s">
        <v>281</v>
      </c>
      <c r="C848" s="7" t="s">
        <v>2155</v>
      </c>
      <c r="D848" s="8" t="s">
        <v>107</v>
      </c>
      <c r="E848" s="16">
        <v>37936</v>
      </c>
      <c r="F848" s="8" t="s">
        <v>92</v>
      </c>
      <c r="G848" s="8" t="s">
        <v>243</v>
      </c>
      <c r="H848" s="8" t="s">
        <v>82</v>
      </c>
      <c r="I848" s="8" t="s">
        <v>33</v>
      </c>
      <c r="J848" s="8" t="s">
        <v>54</v>
      </c>
      <c r="K848" s="8" t="s">
        <v>828</v>
      </c>
      <c r="L848" s="8" t="s">
        <v>404</v>
      </c>
      <c r="M848" s="10" t="s">
        <v>461</v>
      </c>
      <c r="N848" s="11" t="s">
        <v>2044</v>
      </c>
    </row>
    <row r="849" spans="1:14" ht="15.75" customHeight="1" x14ac:dyDescent="0.15">
      <c r="A849" s="6" t="s">
        <v>2156</v>
      </c>
      <c r="B849" s="12" t="s">
        <v>285</v>
      </c>
      <c r="C849" s="7" t="s">
        <v>2157</v>
      </c>
      <c r="D849" s="13" t="s">
        <v>17</v>
      </c>
      <c r="E849" s="17">
        <v>38639</v>
      </c>
      <c r="F849" s="13" t="s">
        <v>170</v>
      </c>
      <c r="G849" s="13" t="s">
        <v>138</v>
      </c>
      <c r="H849" s="13" t="s">
        <v>156</v>
      </c>
      <c r="I849" s="13" t="s">
        <v>313</v>
      </c>
      <c r="J849" s="13" t="s">
        <v>150</v>
      </c>
      <c r="K849" s="13" t="s">
        <v>44</v>
      </c>
      <c r="L849" s="13" t="s">
        <v>301</v>
      </c>
      <c r="M849" s="15" t="s">
        <v>248</v>
      </c>
      <c r="N849" s="11" t="s">
        <v>2044</v>
      </c>
    </row>
    <row r="850" spans="1:14" ht="15.75" customHeight="1" x14ac:dyDescent="0.15">
      <c r="A850" s="12" t="s">
        <v>2158</v>
      </c>
      <c r="B850" s="6" t="s">
        <v>288</v>
      </c>
      <c r="C850" s="7" t="s">
        <v>2159</v>
      </c>
      <c r="D850" s="8" t="s">
        <v>107</v>
      </c>
      <c r="E850" s="9">
        <v>38233</v>
      </c>
      <c r="F850" s="8" t="s">
        <v>92</v>
      </c>
      <c r="G850" s="8" t="s">
        <v>41</v>
      </c>
      <c r="H850" s="8" t="s">
        <v>32</v>
      </c>
      <c r="I850" s="8" t="s">
        <v>21</v>
      </c>
      <c r="J850" s="8" t="s">
        <v>54</v>
      </c>
      <c r="K850" s="8" t="s">
        <v>77</v>
      </c>
      <c r="L850" s="8" t="s">
        <v>55</v>
      </c>
      <c r="M850" s="10" t="s">
        <v>2160</v>
      </c>
      <c r="N850" s="11" t="s">
        <v>2044</v>
      </c>
    </row>
    <row r="851" spans="1:14" ht="15.75" customHeight="1" x14ac:dyDescent="0.15">
      <c r="A851" s="6" t="s">
        <v>2161</v>
      </c>
      <c r="B851" s="12" t="s">
        <v>2162</v>
      </c>
      <c r="C851" s="7" t="s">
        <v>2163</v>
      </c>
      <c r="D851" s="13" t="s">
        <v>107</v>
      </c>
      <c r="E851" s="14">
        <v>37313</v>
      </c>
      <c r="F851" s="13" t="s">
        <v>137</v>
      </c>
      <c r="G851" s="13" t="s">
        <v>138</v>
      </c>
      <c r="H851" s="13" t="s">
        <v>196</v>
      </c>
      <c r="I851" s="13" t="s">
        <v>265</v>
      </c>
      <c r="J851" s="13" t="s">
        <v>76</v>
      </c>
      <c r="K851" s="13" t="s">
        <v>44</v>
      </c>
      <c r="L851" s="13" t="s">
        <v>35</v>
      </c>
      <c r="M851" s="15" t="s">
        <v>219</v>
      </c>
      <c r="N851" s="11" t="s">
        <v>2044</v>
      </c>
    </row>
    <row r="852" spans="1:14" ht="15.75" customHeight="1" x14ac:dyDescent="0.15">
      <c r="A852" s="6" t="s">
        <v>2164</v>
      </c>
      <c r="B852" s="6" t="s">
        <v>291</v>
      </c>
      <c r="C852" s="7" t="s">
        <v>2165</v>
      </c>
      <c r="D852" s="8" t="s">
        <v>107</v>
      </c>
      <c r="E852" s="16">
        <v>35383</v>
      </c>
      <c r="F852" s="8" t="s">
        <v>148</v>
      </c>
      <c r="G852" s="8" t="s">
        <v>60</v>
      </c>
      <c r="H852" s="8" t="s">
        <v>114</v>
      </c>
      <c r="I852" s="8" t="s">
        <v>120</v>
      </c>
      <c r="J852" s="8" t="s">
        <v>76</v>
      </c>
      <c r="K852" s="8" t="s">
        <v>44</v>
      </c>
      <c r="L852" s="8" t="s">
        <v>35</v>
      </c>
      <c r="M852" s="10" t="s">
        <v>434</v>
      </c>
      <c r="N852" s="11" t="s">
        <v>2044</v>
      </c>
    </row>
    <row r="853" spans="1:14" ht="15.75" customHeight="1" x14ac:dyDescent="0.15">
      <c r="A853" s="12" t="s">
        <v>2166</v>
      </c>
      <c r="B853" s="12" t="s">
        <v>295</v>
      </c>
      <c r="C853" s="7" t="s">
        <v>2167</v>
      </c>
      <c r="D853" s="13" t="s">
        <v>17</v>
      </c>
      <c r="E853" s="14">
        <v>37413</v>
      </c>
      <c r="F853" s="13" t="s">
        <v>137</v>
      </c>
      <c r="G853" s="13" t="s">
        <v>31</v>
      </c>
      <c r="H853" s="13" t="s">
        <v>108</v>
      </c>
      <c r="I853" s="13" t="s">
        <v>120</v>
      </c>
      <c r="J853" s="13" t="s">
        <v>54</v>
      </c>
      <c r="K853" s="13" t="s">
        <v>44</v>
      </c>
      <c r="L853" s="13" t="s">
        <v>35</v>
      </c>
      <c r="M853" s="15" t="s">
        <v>1369</v>
      </c>
      <c r="N853" s="11" t="s">
        <v>2044</v>
      </c>
    </row>
    <row r="854" spans="1:14" ht="15.75" customHeight="1" x14ac:dyDescent="0.15">
      <c r="A854" s="6" t="s">
        <v>2168</v>
      </c>
      <c r="B854" s="6" t="s">
        <v>299</v>
      </c>
      <c r="C854" s="7" t="s">
        <v>2169</v>
      </c>
      <c r="D854" s="8" t="s">
        <v>107</v>
      </c>
      <c r="E854" s="16">
        <v>37193</v>
      </c>
      <c r="F854" s="8" t="s">
        <v>137</v>
      </c>
      <c r="G854" s="8" t="s">
        <v>41</v>
      </c>
      <c r="H854" s="8" t="s">
        <v>52</v>
      </c>
      <c r="I854" s="8" t="s">
        <v>582</v>
      </c>
      <c r="J854" s="8" t="s">
        <v>22</v>
      </c>
      <c r="K854" s="8" t="s">
        <v>77</v>
      </c>
      <c r="L854" s="8" t="s">
        <v>390</v>
      </c>
      <c r="M854" s="10" t="s">
        <v>461</v>
      </c>
      <c r="N854" s="11" t="s">
        <v>2044</v>
      </c>
    </row>
    <row r="855" spans="1:14" ht="15.75" customHeight="1" x14ac:dyDescent="0.15">
      <c r="A855" s="12" t="s">
        <v>2170</v>
      </c>
      <c r="B855" s="12" t="s">
        <v>303</v>
      </c>
      <c r="C855" s="7" t="s">
        <v>2171</v>
      </c>
      <c r="D855" s="13" t="s">
        <v>49</v>
      </c>
      <c r="E855" s="14">
        <v>35535</v>
      </c>
      <c r="F855" s="13" t="s">
        <v>148</v>
      </c>
      <c r="G855" s="13" t="s">
        <v>101</v>
      </c>
      <c r="H855" s="13" t="s">
        <v>139</v>
      </c>
      <c r="I855" s="13" t="s">
        <v>33</v>
      </c>
      <c r="J855" s="13" t="s">
        <v>54</v>
      </c>
      <c r="K855" s="13" t="s">
        <v>23</v>
      </c>
      <c r="L855" s="13" t="s">
        <v>110</v>
      </c>
      <c r="M855" s="15" t="s">
        <v>287</v>
      </c>
      <c r="N855" s="11" t="s">
        <v>2044</v>
      </c>
    </row>
    <row r="856" spans="1:14" ht="15.75" customHeight="1" x14ac:dyDescent="0.15">
      <c r="A856" s="6" t="s">
        <v>2172</v>
      </c>
      <c r="B856" s="6" t="s">
        <v>306</v>
      </c>
      <c r="C856" s="7" t="s">
        <v>2173</v>
      </c>
      <c r="D856" s="8" t="s">
        <v>107</v>
      </c>
      <c r="E856" s="9">
        <v>34830</v>
      </c>
      <c r="F856" s="8" t="s">
        <v>59</v>
      </c>
      <c r="G856" s="8" t="s">
        <v>51</v>
      </c>
      <c r="H856" s="8" t="s">
        <v>156</v>
      </c>
      <c r="I856" s="8" t="s">
        <v>115</v>
      </c>
      <c r="J856" s="8" t="s">
        <v>34</v>
      </c>
      <c r="K856" s="8" t="s">
        <v>44</v>
      </c>
      <c r="L856" s="8" t="s">
        <v>70</v>
      </c>
      <c r="M856" s="10" t="s">
        <v>947</v>
      </c>
      <c r="N856" s="11" t="s">
        <v>2044</v>
      </c>
    </row>
    <row r="857" spans="1:14" ht="15.75" customHeight="1" x14ac:dyDescent="0.15">
      <c r="A857" s="6" t="s">
        <v>2174</v>
      </c>
      <c r="B857" s="12" t="s">
        <v>308</v>
      </c>
      <c r="C857" s="7" t="s">
        <v>2175</v>
      </c>
      <c r="D857" s="13" t="s">
        <v>107</v>
      </c>
      <c r="E857" s="14">
        <v>38785</v>
      </c>
      <c r="F857" s="13" t="s">
        <v>170</v>
      </c>
      <c r="G857" s="13" t="s">
        <v>138</v>
      </c>
      <c r="H857" s="13" t="s">
        <v>225</v>
      </c>
      <c r="I857" s="13" t="s">
        <v>273</v>
      </c>
      <c r="J857" s="13" t="s">
        <v>22</v>
      </c>
      <c r="K857" s="13" t="s">
        <v>44</v>
      </c>
      <c r="L857" s="13" t="s">
        <v>70</v>
      </c>
      <c r="M857" s="15" t="s">
        <v>248</v>
      </c>
      <c r="N857" s="11" t="s">
        <v>2044</v>
      </c>
    </row>
    <row r="858" spans="1:14" ht="15.75" customHeight="1" x14ac:dyDescent="0.15">
      <c r="A858" s="12" t="s">
        <v>2176</v>
      </c>
      <c r="B858" s="6" t="s">
        <v>311</v>
      </c>
      <c r="C858" s="7" t="s">
        <v>2177</v>
      </c>
      <c r="D858" s="8" t="s">
        <v>17</v>
      </c>
      <c r="E858" s="9">
        <v>38559</v>
      </c>
      <c r="F858" s="8" t="s">
        <v>217</v>
      </c>
      <c r="G858" s="8" t="s">
        <v>138</v>
      </c>
      <c r="H858" s="8" t="s">
        <v>94</v>
      </c>
      <c r="I858" s="8" t="s">
        <v>385</v>
      </c>
      <c r="J858" s="8" t="s">
        <v>22</v>
      </c>
      <c r="K858" s="8" t="s">
        <v>44</v>
      </c>
      <c r="L858" s="8" t="s">
        <v>353</v>
      </c>
      <c r="M858" s="10" t="s">
        <v>502</v>
      </c>
      <c r="N858" s="11" t="s">
        <v>2044</v>
      </c>
    </row>
    <row r="859" spans="1:14" ht="15.75" customHeight="1" x14ac:dyDescent="0.15">
      <c r="A859" s="6" t="s">
        <v>2178</v>
      </c>
      <c r="B859" s="12" t="s">
        <v>314</v>
      </c>
      <c r="C859" s="7" t="s">
        <v>2179</v>
      </c>
      <c r="D859" s="13" t="s">
        <v>107</v>
      </c>
      <c r="E859" s="14">
        <v>37370</v>
      </c>
      <c r="F859" s="13" t="s">
        <v>137</v>
      </c>
      <c r="G859" s="13" t="s">
        <v>31</v>
      </c>
      <c r="H859" s="13" t="s">
        <v>369</v>
      </c>
      <c r="I859" s="13" t="s">
        <v>149</v>
      </c>
      <c r="J859" s="13" t="s">
        <v>22</v>
      </c>
      <c r="K859" s="13" t="s">
        <v>23</v>
      </c>
      <c r="L859" s="13" t="s">
        <v>35</v>
      </c>
      <c r="M859" s="15" t="s">
        <v>421</v>
      </c>
      <c r="N859" s="11" t="s">
        <v>2044</v>
      </c>
    </row>
    <row r="860" spans="1:14" ht="15.75" customHeight="1" x14ac:dyDescent="0.15">
      <c r="A860" s="12" t="s">
        <v>2180</v>
      </c>
      <c r="B860" s="6" t="s">
        <v>334</v>
      </c>
      <c r="C860" s="7" t="s">
        <v>2181</v>
      </c>
      <c r="D860" s="8" t="s">
        <v>49</v>
      </c>
      <c r="E860" s="9">
        <v>36227</v>
      </c>
      <c r="F860" s="8" t="s">
        <v>30</v>
      </c>
      <c r="G860" s="8" t="s">
        <v>60</v>
      </c>
      <c r="H860" s="8" t="s">
        <v>82</v>
      </c>
      <c r="I860" s="8" t="s">
        <v>61</v>
      </c>
      <c r="J860" s="8" t="s">
        <v>54</v>
      </c>
      <c r="K860" s="8" t="s">
        <v>44</v>
      </c>
      <c r="L860" s="8" t="s">
        <v>390</v>
      </c>
      <c r="M860" s="10" t="s">
        <v>97</v>
      </c>
      <c r="N860" s="11" t="s">
        <v>2044</v>
      </c>
    </row>
    <row r="861" spans="1:14" ht="15.75" customHeight="1" x14ac:dyDescent="0.15">
      <c r="A861" s="6" t="s">
        <v>2182</v>
      </c>
      <c r="B861" s="12" t="s">
        <v>339</v>
      </c>
      <c r="C861" s="7" t="s">
        <v>2183</v>
      </c>
      <c r="D861" s="13" t="s">
        <v>107</v>
      </c>
      <c r="E861" s="14">
        <v>35741</v>
      </c>
      <c r="F861" s="13" t="s">
        <v>212</v>
      </c>
      <c r="G861" s="13" t="s">
        <v>243</v>
      </c>
      <c r="H861" s="13" t="s">
        <v>94</v>
      </c>
      <c r="I861" s="13" t="s">
        <v>197</v>
      </c>
      <c r="J861" s="13" t="s">
        <v>22</v>
      </c>
      <c r="K861" s="13" t="s">
        <v>44</v>
      </c>
      <c r="L861" s="13" t="s">
        <v>218</v>
      </c>
      <c r="M861" s="15" t="s">
        <v>298</v>
      </c>
      <c r="N861" s="11" t="s">
        <v>2044</v>
      </c>
    </row>
    <row r="862" spans="1:14" ht="15.75" customHeight="1" x14ac:dyDescent="0.15">
      <c r="A862" s="6" t="s">
        <v>2184</v>
      </c>
      <c r="B862" s="6" t="s">
        <v>343</v>
      </c>
      <c r="C862" s="7" t="s">
        <v>2185</v>
      </c>
      <c r="D862" s="8" t="s">
        <v>49</v>
      </c>
      <c r="E862" s="9">
        <v>39195</v>
      </c>
      <c r="F862" s="8" t="s">
        <v>232</v>
      </c>
      <c r="G862" s="8" t="s">
        <v>93</v>
      </c>
      <c r="H862" s="8" t="s">
        <v>156</v>
      </c>
      <c r="I862" s="8" t="s">
        <v>385</v>
      </c>
      <c r="J862" s="8" t="s">
        <v>22</v>
      </c>
      <c r="K862" s="8" t="s">
        <v>23</v>
      </c>
      <c r="L862" s="8" t="s">
        <v>565</v>
      </c>
      <c r="M862" s="10" t="s">
        <v>248</v>
      </c>
      <c r="N862" s="11" t="s">
        <v>2044</v>
      </c>
    </row>
    <row r="863" spans="1:14" ht="15.75" customHeight="1" x14ac:dyDescent="0.15">
      <c r="A863" s="12" t="s">
        <v>2186</v>
      </c>
      <c r="B863" s="12" t="s">
        <v>346</v>
      </c>
      <c r="C863" s="7" t="s">
        <v>2187</v>
      </c>
      <c r="D863" s="13" t="s">
        <v>17</v>
      </c>
      <c r="E863" s="14">
        <v>37741</v>
      </c>
      <c r="F863" s="13" t="s">
        <v>186</v>
      </c>
      <c r="G863" s="13" t="s">
        <v>243</v>
      </c>
      <c r="H863" s="13" t="s">
        <v>52</v>
      </c>
      <c r="I863" s="13" t="s">
        <v>120</v>
      </c>
      <c r="J863" s="13" t="s">
        <v>54</v>
      </c>
      <c r="K863" s="13" t="s">
        <v>44</v>
      </c>
      <c r="L863" s="13" t="s">
        <v>55</v>
      </c>
      <c r="M863" s="15" t="s">
        <v>486</v>
      </c>
      <c r="N863" s="11" t="s">
        <v>2044</v>
      </c>
    </row>
    <row r="864" spans="1:14" ht="15.75" customHeight="1" x14ac:dyDescent="0.15">
      <c r="A864" s="6" t="s">
        <v>2188</v>
      </c>
      <c r="B864" s="6" t="s">
        <v>354</v>
      </c>
      <c r="C864" s="7" t="s">
        <v>2189</v>
      </c>
      <c r="D864" s="8" t="s">
        <v>17</v>
      </c>
      <c r="E864" s="9">
        <v>38375</v>
      </c>
      <c r="F864" s="8" t="s">
        <v>217</v>
      </c>
      <c r="G864" s="8" t="s">
        <v>131</v>
      </c>
      <c r="H864" s="8" t="s">
        <v>139</v>
      </c>
      <c r="I864" s="8" t="s">
        <v>53</v>
      </c>
      <c r="J864" s="8" t="s">
        <v>34</v>
      </c>
      <c r="K864" s="8" t="s">
        <v>23</v>
      </c>
      <c r="L864" s="8" t="s">
        <v>751</v>
      </c>
      <c r="M864" s="10" t="s">
        <v>248</v>
      </c>
      <c r="N864" s="11" t="s">
        <v>2044</v>
      </c>
    </row>
    <row r="865" spans="1:14" ht="15.75" customHeight="1" x14ac:dyDescent="0.15">
      <c r="A865" s="12" t="s">
        <v>2190</v>
      </c>
      <c r="B865" s="12" t="s">
        <v>366</v>
      </c>
      <c r="C865" s="7" t="s">
        <v>2191</v>
      </c>
      <c r="D865" s="13" t="s">
        <v>39</v>
      </c>
      <c r="E865" s="17">
        <v>37921</v>
      </c>
      <c r="F865" s="13" t="s">
        <v>92</v>
      </c>
      <c r="G865" s="13" t="s">
        <v>243</v>
      </c>
      <c r="H865" s="13" t="s">
        <v>196</v>
      </c>
      <c r="I865" s="13" t="s">
        <v>207</v>
      </c>
      <c r="J865" s="13" t="s">
        <v>22</v>
      </c>
      <c r="K865" s="13" t="s">
        <v>44</v>
      </c>
      <c r="L865" s="13" t="s">
        <v>165</v>
      </c>
      <c r="M865" s="15" t="s">
        <v>2192</v>
      </c>
      <c r="N865" s="11" t="s">
        <v>2044</v>
      </c>
    </row>
    <row r="866" spans="1:14" ht="15.75" customHeight="1" x14ac:dyDescent="0.15">
      <c r="A866" s="6" t="s">
        <v>2193</v>
      </c>
      <c r="B866" s="6" t="s">
        <v>370</v>
      </c>
      <c r="C866" s="7" t="s">
        <v>2194</v>
      </c>
      <c r="D866" s="8" t="s">
        <v>107</v>
      </c>
      <c r="E866" s="16">
        <v>39382</v>
      </c>
      <c r="F866" s="8" t="s">
        <v>571</v>
      </c>
      <c r="G866" s="8" t="s">
        <v>93</v>
      </c>
      <c r="H866" s="8" t="s">
        <v>139</v>
      </c>
      <c r="I866" s="8" t="s">
        <v>313</v>
      </c>
      <c r="J866" s="8" t="s">
        <v>22</v>
      </c>
      <c r="K866" s="8" t="s">
        <v>77</v>
      </c>
      <c r="L866" s="8" t="s">
        <v>208</v>
      </c>
      <c r="M866" s="10" t="s">
        <v>248</v>
      </c>
      <c r="N866" s="11" t="s">
        <v>2044</v>
      </c>
    </row>
    <row r="867" spans="1:14" ht="15.75" customHeight="1" x14ac:dyDescent="0.15">
      <c r="A867" s="6" t="s">
        <v>2195</v>
      </c>
      <c r="B867" s="12" t="s">
        <v>2196</v>
      </c>
      <c r="C867" s="7" t="s">
        <v>2197</v>
      </c>
      <c r="D867" s="13" t="s">
        <v>39</v>
      </c>
      <c r="E867" s="17">
        <v>37944</v>
      </c>
      <c r="F867" s="13" t="s">
        <v>92</v>
      </c>
      <c r="G867" s="13" t="s">
        <v>243</v>
      </c>
      <c r="H867" s="13" t="s">
        <v>42</v>
      </c>
      <c r="I867" s="13" t="s">
        <v>438</v>
      </c>
      <c r="J867" s="13" t="s">
        <v>34</v>
      </c>
      <c r="K867" s="13" t="s">
        <v>44</v>
      </c>
      <c r="L867" s="13" t="s">
        <v>110</v>
      </c>
      <c r="M867" s="15" t="s">
        <v>2198</v>
      </c>
      <c r="N867" s="11" t="s">
        <v>2044</v>
      </c>
    </row>
    <row r="868" spans="1:14" ht="15.75" customHeight="1" x14ac:dyDescent="0.15">
      <c r="A868" s="12" t="s">
        <v>2199</v>
      </c>
      <c r="B868" s="6" t="s">
        <v>330</v>
      </c>
      <c r="C868" s="7" t="s">
        <v>2200</v>
      </c>
      <c r="D868" s="8" t="s">
        <v>17</v>
      </c>
      <c r="E868" s="9">
        <v>38004</v>
      </c>
      <c r="F868" s="8" t="s">
        <v>92</v>
      </c>
      <c r="G868" s="8" t="s">
        <v>93</v>
      </c>
      <c r="H868" s="8" t="s">
        <v>196</v>
      </c>
      <c r="I868" s="8" t="s">
        <v>651</v>
      </c>
      <c r="J868" s="8" t="s">
        <v>76</v>
      </c>
      <c r="K868" s="8" t="s">
        <v>44</v>
      </c>
      <c r="L868" s="8" t="s">
        <v>218</v>
      </c>
      <c r="M868" s="10" t="s">
        <v>1946</v>
      </c>
      <c r="N868" s="11" t="s">
        <v>2044</v>
      </c>
    </row>
    <row r="869" spans="1:14" ht="15.75" customHeight="1" x14ac:dyDescent="0.15">
      <c r="A869" s="6" t="s">
        <v>2201</v>
      </c>
      <c r="B869" s="12" t="s">
        <v>347</v>
      </c>
      <c r="C869" s="7" t="s">
        <v>2202</v>
      </c>
      <c r="D869" s="13" t="s">
        <v>49</v>
      </c>
      <c r="E869" s="14">
        <v>37309</v>
      </c>
      <c r="F869" s="13" t="s">
        <v>137</v>
      </c>
      <c r="G869" s="13" t="s">
        <v>93</v>
      </c>
      <c r="H869" s="13" t="s">
        <v>114</v>
      </c>
      <c r="I869" s="13" t="s">
        <v>43</v>
      </c>
      <c r="J869" s="13" t="s">
        <v>76</v>
      </c>
      <c r="K869" s="13" t="s">
        <v>23</v>
      </c>
      <c r="L869" s="13" t="s">
        <v>35</v>
      </c>
      <c r="M869" s="15" t="s">
        <v>1946</v>
      </c>
      <c r="N869" s="11" t="s">
        <v>2044</v>
      </c>
    </row>
    <row r="870" spans="1:14" ht="15.75" customHeight="1" x14ac:dyDescent="0.15">
      <c r="A870" s="12" t="s">
        <v>2203</v>
      </c>
      <c r="B870" s="6" t="s">
        <v>484</v>
      </c>
      <c r="C870" s="7" t="s">
        <v>2204</v>
      </c>
      <c r="D870" s="8" t="s">
        <v>39</v>
      </c>
      <c r="E870" s="9">
        <v>38207</v>
      </c>
      <c r="F870" s="8" t="s">
        <v>92</v>
      </c>
      <c r="G870" s="8" t="s">
        <v>93</v>
      </c>
      <c r="H870" s="8" t="s">
        <v>179</v>
      </c>
      <c r="I870" s="8" t="s">
        <v>265</v>
      </c>
      <c r="J870" s="8" t="s">
        <v>76</v>
      </c>
      <c r="K870" s="8" t="s">
        <v>23</v>
      </c>
      <c r="L870" s="8" t="s">
        <v>128</v>
      </c>
      <c r="M870" s="10" t="s">
        <v>1946</v>
      </c>
      <c r="N870" s="11" t="s">
        <v>2044</v>
      </c>
    </row>
    <row r="871" spans="1:14" ht="15.75" customHeight="1" x14ac:dyDescent="0.15">
      <c r="A871" s="6" t="s">
        <v>2205</v>
      </c>
      <c r="B871" s="12" t="s">
        <v>359</v>
      </c>
      <c r="C871" s="7" t="s">
        <v>2206</v>
      </c>
      <c r="D871" s="13" t="s">
        <v>39</v>
      </c>
      <c r="E871" s="14">
        <v>38019</v>
      </c>
      <c r="F871" s="13" t="s">
        <v>92</v>
      </c>
      <c r="G871" s="13" t="s">
        <v>93</v>
      </c>
      <c r="H871" s="13" t="s">
        <v>369</v>
      </c>
      <c r="I871" s="13" t="s">
        <v>2207</v>
      </c>
      <c r="J871" s="13" t="s">
        <v>76</v>
      </c>
      <c r="K871" s="13" t="s">
        <v>44</v>
      </c>
      <c r="L871" s="13" t="s">
        <v>165</v>
      </c>
      <c r="M871" s="15" t="s">
        <v>1946</v>
      </c>
      <c r="N871" s="11" t="s">
        <v>2044</v>
      </c>
    </row>
    <row r="872" spans="1:14" ht="15.75" customHeight="1" x14ac:dyDescent="0.15">
      <c r="A872" s="6" t="s">
        <v>2208</v>
      </c>
      <c r="B872" s="6" t="s">
        <v>367</v>
      </c>
      <c r="C872" s="7" t="s">
        <v>2209</v>
      </c>
      <c r="D872" s="8" t="s">
        <v>17</v>
      </c>
      <c r="E872" s="9">
        <v>39112</v>
      </c>
      <c r="F872" s="8" t="s">
        <v>232</v>
      </c>
      <c r="G872" s="8" t="s">
        <v>131</v>
      </c>
      <c r="H872" s="8" t="s">
        <v>94</v>
      </c>
      <c r="I872" s="8" t="s">
        <v>265</v>
      </c>
      <c r="J872" s="8" t="s">
        <v>76</v>
      </c>
      <c r="K872" s="8" t="s">
        <v>44</v>
      </c>
      <c r="L872" s="8" t="s">
        <v>133</v>
      </c>
      <c r="M872" s="10" t="s">
        <v>1946</v>
      </c>
      <c r="N872" s="11" t="s">
        <v>2044</v>
      </c>
    </row>
    <row r="873" spans="1:14" ht="15.75" customHeight="1" x14ac:dyDescent="0.15">
      <c r="A873" s="12" t="s">
        <v>2210</v>
      </c>
      <c r="B873" s="12" t="s">
        <v>371</v>
      </c>
      <c r="C873" s="7" t="s">
        <v>2211</v>
      </c>
      <c r="D873" s="13" t="s">
        <v>107</v>
      </c>
      <c r="E873" s="14">
        <v>37839</v>
      </c>
      <c r="F873" s="13" t="s">
        <v>186</v>
      </c>
      <c r="G873" s="13" t="s">
        <v>93</v>
      </c>
      <c r="H873" s="13" t="s">
        <v>114</v>
      </c>
      <c r="I873" s="13" t="s">
        <v>157</v>
      </c>
      <c r="J873" s="13" t="s">
        <v>54</v>
      </c>
      <c r="K873" s="13" t="s">
        <v>23</v>
      </c>
      <c r="L873" s="13" t="s">
        <v>424</v>
      </c>
      <c r="M873" s="15" t="s">
        <v>1946</v>
      </c>
      <c r="N873" s="11" t="s">
        <v>2044</v>
      </c>
    </row>
    <row r="874" spans="1:14" ht="15.75" customHeight="1" x14ac:dyDescent="0.15">
      <c r="A874" s="6" t="s">
        <v>2212</v>
      </c>
      <c r="B874" s="6" t="s">
        <v>680</v>
      </c>
      <c r="C874" s="7" t="s">
        <v>2213</v>
      </c>
      <c r="D874" s="8" t="s">
        <v>107</v>
      </c>
      <c r="E874" s="9">
        <v>38721</v>
      </c>
      <c r="F874" s="8" t="s">
        <v>170</v>
      </c>
      <c r="G874" s="8" t="s">
        <v>131</v>
      </c>
      <c r="H874" s="8" t="s">
        <v>437</v>
      </c>
      <c r="I874" s="8" t="s">
        <v>438</v>
      </c>
      <c r="J874" s="8" t="s">
        <v>150</v>
      </c>
      <c r="K874" s="8" t="s">
        <v>44</v>
      </c>
      <c r="L874" s="8" t="s">
        <v>751</v>
      </c>
      <c r="M874" s="10" t="s">
        <v>318</v>
      </c>
      <c r="N874" s="11" t="s">
        <v>2044</v>
      </c>
    </row>
    <row r="875" spans="1:14" ht="15.75" customHeight="1" x14ac:dyDescent="0.15">
      <c r="A875" s="12" t="s">
        <v>2214</v>
      </c>
      <c r="B875" s="6" t="s">
        <v>15</v>
      </c>
      <c r="C875" s="7" t="s">
        <v>2215</v>
      </c>
      <c r="D875" s="8" t="s">
        <v>17</v>
      </c>
      <c r="E875" s="9">
        <v>35986</v>
      </c>
      <c r="F875" s="8" t="s">
        <v>212</v>
      </c>
      <c r="G875" s="8" t="s">
        <v>41</v>
      </c>
      <c r="H875" s="8" t="s">
        <v>878</v>
      </c>
      <c r="I875" s="8" t="s">
        <v>83</v>
      </c>
      <c r="J875" s="8" t="s">
        <v>54</v>
      </c>
      <c r="K875" s="8" t="s">
        <v>44</v>
      </c>
      <c r="L875" s="8" t="s">
        <v>116</v>
      </c>
      <c r="M875" s="10" t="s">
        <v>956</v>
      </c>
      <c r="N875" s="11" t="s">
        <v>2216</v>
      </c>
    </row>
    <row r="876" spans="1:14" ht="15.75" customHeight="1" x14ac:dyDescent="0.15">
      <c r="A876" s="6" t="s">
        <v>2217</v>
      </c>
      <c r="B876" s="12" t="s">
        <v>28</v>
      </c>
      <c r="C876" s="7" t="s">
        <v>2218</v>
      </c>
      <c r="D876" s="13" t="s">
        <v>17</v>
      </c>
      <c r="E876" s="14">
        <v>36366</v>
      </c>
      <c r="F876" s="13" t="s">
        <v>30</v>
      </c>
      <c r="G876" s="13" t="s">
        <v>243</v>
      </c>
      <c r="H876" s="13" t="s">
        <v>68</v>
      </c>
      <c r="I876" s="13" t="s">
        <v>157</v>
      </c>
      <c r="J876" s="13" t="s">
        <v>54</v>
      </c>
      <c r="K876" s="13" t="s">
        <v>294</v>
      </c>
      <c r="L876" s="13" t="s">
        <v>55</v>
      </c>
      <c r="M876" s="15" t="s">
        <v>36</v>
      </c>
      <c r="N876" s="11" t="s">
        <v>2216</v>
      </c>
    </row>
    <row r="877" spans="1:14" ht="15.75" customHeight="1" x14ac:dyDescent="0.15">
      <c r="A877" s="6" t="s">
        <v>2219</v>
      </c>
      <c r="B877" s="6" t="s">
        <v>14</v>
      </c>
      <c r="C877" s="7" t="s">
        <v>2220</v>
      </c>
      <c r="D877" s="8" t="s">
        <v>39</v>
      </c>
      <c r="E877" s="9">
        <v>30562</v>
      </c>
      <c r="F877" s="8" t="s">
        <v>2221</v>
      </c>
      <c r="G877" s="8" t="s">
        <v>1284</v>
      </c>
      <c r="H877" s="8" t="s">
        <v>179</v>
      </c>
      <c r="I877" s="8" t="s">
        <v>385</v>
      </c>
      <c r="J877" s="8" t="s">
        <v>22</v>
      </c>
      <c r="K877" s="8" t="s">
        <v>23</v>
      </c>
      <c r="L877" s="8" t="s">
        <v>78</v>
      </c>
      <c r="M877" s="10" t="s">
        <v>305</v>
      </c>
      <c r="N877" s="11" t="s">
        <v>2216</v>
      </c>
    </row>
    <row r="878" spans="1:14" ht="15.75" customHeight="1" x14ac:dyDescent="0.15">
      <c r="A878" s="12" t="s">
        <v>2222</v>
      </c>
      <c r="B878" s="12" t="s">
        <v>27</v>
      </c>
      <c r="C878" s="7" t="s">
        <v>2223</v>
      </c>
      <c r="D878" s="13" t="s">
        <v>17</v>
      </c>
      <c r="E878" s="14">
        <v>39109</v>
      </c>
      <c r="F878" s="13" t="s">
        <v>232</v>
      </c>
      <c r="G878" s="13" t="s">
        <v>131</v>
      </c>
      <c r="H878" s="13" t="s">
        <v>32</v>
      </c>
      <c r="I878" s="13" t="s">
        <v>313</v>
      </c>
      <c r="J878" s="13" t="s">
        <v>54</v>
      </c>
      <c r="K878" s="13" t="s">
        <v>44</v>
      </c>
      <c r="L878" s="13" t="s">
        <v>158</v>
      </c>
      <c r="M878" s="15" t="s">
        <v>161</v>
      </c>
      <c r="N878" s="11" t="s">
        <v>2216</v>
      </c>
    </row>
    <row r="879" spans="1:14" ht="15.75" customHeight="1" x14ac:dyDescent="0.15">
      <c r="A879" s="6" t="s">
        <v>2224</v>
      </c>
      <c r="B879" s="6" t="s">
        <v>47</v>
      </c>
      <c r="C879" s="7" t="s">
        <v>2225</v>
      </c>
      <c r="D879" s="8" t="s">
        <v>17</v>
      </c>
      <c r="E879" s="9">
        <v>34460</v>
      </c>
      <c r="F879" s="8" t="s">
        <v>18</v>
      </c>
      <c r="G879" s="8" t="s">
        <v>60</v>
      </c>
      <c r="H879" s="8" t="s">
        <v>42</v>
      </c>
      <c r="I879" s="8" t="s">
        <v>115</v>
      </c>
      <c r="J879" s="8" t="s">
        <v>22</v>
      </c>
      <c r="K879" s="8" t="s">
        <v>23</v>
      </c>
      <c r="L879" s="8" t="s">
        <v>424</v>
      </c>
      <c r="M879" s="10" t="s">
        <v>209</v>
      </c>
      <c r="N879" s="11" t="s">
        <v>2216</v>
      </c>
    </row>
    <row r="880" spans="1:14" ht="15.75" customHeight="1" x14ac:dyDescent="0.15">
      <c r="A880" s="12" t="s">
        <v>2226</v>
      </c>
      <c r="B880" s="12" t="s">
        <v>57</v>
      </c>
      <c r="C880" s="7" t="s">
        <v>2227</v>
      </c>
      <c r="D880" s="13" t="s">
        <v>17</v>
      </c>
      <c r="E880" s="17">
        <v>33958</v>
      </c>
      <c r="F880" s="13" t="s">
        <v>182</v>
      </c>
      <c r="G880" s="13" t="s">
        <v>293</v>
      </c>
      <c r="H880" s="13" t="s">
        <v>179</v>
      </c>
      <c r="I880" s="13" t="s">
        <v>213</v>
      </c>
      <c r="J880" s="13" t="s">
        <v>22</v>
      </c>
      <c r="K880" s="13" t="s">
        <v>44</v>
      </c>
      <c r="L880" s="13" t="s">
        <v>24</v>
      </c>
      <c r="M880" s="15" t="s">
        <v>685</v>
      </c>
      <c r="N880" s="11" t="s">
        <v>2216</v>
      </c>
    </row>
    <row r="881" spans="1:14" ht="15.75" customHeight="1" x14ac:dyDescent="0.15">
      <c r="A881" s="6" t="s">
        <v>2228</v>
      </c>
      <c r="B881" s="6" t="s">
        <v>64</v>
      </c>
      <c r="C881" s="7" t="s">
        <v>2229</v>
      </c>
      <c r="D881" s="8" t="s">
        <v>17</v>
      </c>
      <c r="E881" s="9">
        <v>34016</v>
      </c>
      <c r="F881" s="8" t="s">
        <v>182</v>
      </c>
      <c r="G881" s="8" t="s">
        <v>60</v>
      </c>
      <c r="H881" s="8" t="s">
        <v>20</v>
      </c>
      <c r="I881" s="8" t="s">
        <v>273</v>
      </c>
      <c r="J881" s="8" t="s">
        <v>22</v>
      </c>
      <c r="K881" s="8" t="s">
        <v>23</v>
      </c>
      <c r="L881" s="8" t="s">
        <v>208</v>
      </c>
      <c r="M881" s="10" t="s">
        <v>85</v>
      </c>
      <c r="N881" s="11" t="s">
        <v>2216</v>
      </c>
    </row>
    <row r="882" spans="1:14" ht="15.75" customHeight="1" x14ac:dyDescent="0.15">
      <c r="A882" s="6" t="s">
        <v>2230</v>
      </c>
      <c r="B882" s="12" t="s">
        <v>72</v>
      </c>
      <c r="C882" s="7" t="s">
        <v>2231</v>
      </c>
      <c r="D882" s="13" t="s">
        <v>39</v>
      </c>
      <c r="E882" s="14">
        <v>34171</v>
      </c>
      <c r="F882" s="13" t="s">
        <v>182</v>
      </c>
      <c r="G882" s="13" t="s">
        <v>618</v>
      </c>
      <c r="H882" s="13" t="s">
        <v>139</v>
      </c>
      <c r="I882" s="13" t="s">
        <v>157</v>
      </c>
      <c r="J882" s="13" t="s">
        <v>76</v>
      </c>
      <c r="K882" s="13" t="s">
        <v>44</v>
      </c>
      <c r="L882" s="13" t="s">
        <v>35</v>
      </c>
      <c r="M882" s="15" t="s">
        <v>56</v>
      </c>
      <c r="N882" s="11" t="s">
        <v>2216</v>
      </c>
    </row>
    <row r="883" spans="1:14" ht="15.75" customHeight="1" x14ac:dyDescent="0.15">
      <c r="A883" s="12" t="s">
        <v>2232</v>
      </c>
      <c r="B883" s="6" t="s">
        <v>80</v>
      </c>
      <c r="C883" s="7" t="s">
        <v>2233</v>
      </c>
      <c r="D883" s="8" t="s">
        <v>39</v>
      </c>
      <c r="E883" s="9">
        <v>37499</v>
      </c>
      <c r="F883" s="8" t="s">
        <v>137</v>
      </c>
      <c r="G883" s="8" t="s">
        <v>131</v>
      </c>
      <c r="H883" s="8" t="s">
        <v>179</v>
      </c>
      <c r="I883" s="8" t="s">
        <v>192</v>
      </c>
      <c r="J883" s="8" t="s">
        <v>22</v>
      </c>
      <c r="K883" s="8" t="s">
        <v>44</v>
      </c>
      <c r="L883" s="8" t="s">
        <v>198</v>
      </c>
      <c r="M883" s="10" t="s">
        <v>280</v>
      </c>
      <c r="N883" s="11" t="s">
        <v>2216</v>
      </c>
    </row>
    <row r="884" spans="1:14" ht="15.75" customHeight="1" x14ac:dyDescent="0.15">
      <c r="A884" s="6" t="s">
        <v>2234</v>
      </c>
      <c r="B884" s="12" t="s">
        <v>86</v>
      </c>
      <c r="C884" s="7" t="s">
        <v>2235</v>
      </c>
      <c r="D884" s="13" t="s">
        <v>39</v>
      </c>
      <c r="E884" s="14">
        <v>36777</v>
      </c>
      <c r="F884" s="13" t="s">
        <v>203</v>
      </c>
      <c r="G884" s="13" t="s">
        <v>41</v>
      </c>
      <c r="H884" s="13" t="s">
        <v>179</v>
      </c>
      <c r="I884" s="13" t="s">
        <v>95</v>
      </c>
      <c r="J884" s="13" t="s">
        <v>22</v>
      </c>
      <c r="K884" s="13" t="s">
        <v>77</v>
      </c>
      <c r="L884" s="13" t="s">
        <v>277</v>
      </c>
      <c r="M884" s="15" t="s">
        <v>302</v>
      </c>
      <c r="N884" s="11" t="s">
        <v>2216</v>
      </c>
    </row>
    <row r="885" spans="1:14" ht="15.75" customHeight="1" x14ac:dyDescent="0.15">
      <c r="A885" s="12" t="s">
        <v>2236</v>
      </c>
      <c r="B885" s="6" t="s">
        <v>90</v>
      </c>
      <c r="C885" s="7" t="s">
        <v>2237</v>
      </c>
      <c r="D885" s="8" t="s">
        <v>49</v>
      </c>
      <c r="E885" s="16">
        <v>37921</v>
      </c>
      <c r="F885" s="8" t="s">
        <v>92</v>
      </c>
      <c r="G885" s="8" t="s">
        <v>93</v>
      </c>
      <c r="H885" s="8" t="s">
        <v>156</v>
      </c>
      <c r="I885" s="8" t="s">
        <v>120</v>
      </c>
      <c r="J885" s="8" t="s">
        <v>22</v>
      </c>
      <c r="K885" s="8" t="s">
        <v>23</v>
      </c>
      <c r="L885" s="8" t="s">
        <v>45</v>
      </c>
      <c r="M885" s="10" t="s">
        <v>97</v>
      </c>
      <c r="N885" s="11" t="s">
        <v>2216</v>
      </c>
    </row>
    <row r="886" spans="1:14" ht="15.75" customHeight="1" x14ac:dyDescent="0.15">
      <c r="A886" s="6" t="s">
        <v>2238</v>
      </c>
      <c r="B886" s="12" t="s">
        <v>98</v>
      </c>
      <c r="C886" s="7" t="s">
        <v>2239</v>
      </c>
      <c r="D886" s="13" t="s">
        <v>107</v>
      </c>
      <c r="E886" s="17">
        <v>37210</v>
      </c>
      <c r="F886" s="13" t="s">
        <v>137</v>
      </c>
      <c r="G886" s="13" t="s">
        <v>138</v>
      </c>
      <c r="H886" s="13" t="s">
        <v>114</v>
      </c>
      <c r="I886" s="13" t="s">
        <v>149</v>
      </c>
      <c r="J886" s="13" t="s">
        <v>54</v>
      </c>
      <c r="K886" s="13" t="s">
        <v>44</v>
      </c>
      <c r="L886" s="13" t="s">
        <v>121</v>
      </c>
      <c r="M886" s="15" t="s">
        <v>1395</v>
      </c>
      <c r="N886" s="11" t="s">
        <v>2216</v>
      </c>
    </row>
    <row r="887" spans="1:14" ht="15.75" customHeight="1" x14ac:dyDescent="0.15">
      <c r="A887" s="6" t="s">
        <v>2240</v>
      </c>
      <c r="B887" s="6" t="s">
        <v>99</v>
      </c>
      <c r="C887" s="7" t="s">
        <v>2241</v>
      </c>
      <c r="D887" s="8" t="s">
        <v>107</v>
      </c>
      <c r="E887" s="9">
        <v>36790</v>
      </c>
      <c r="F887" s="8" t="s">
        <v>203</v>
      </c>
      <c r="G887" s="8" t="s">
        <v>19</v>
      </c>
      <c r="H887" s="8" t="s">
        <v>225</v>
      </c>
      <c r="I887" s="8" t="s">
        <v>804</v>
      </c>
      <c r="J887" s="8" t="s">
        <v>54</v>
      </c>
      <c r="K887" s="8" t="s">
        <v>44</v>
      </c>
      <c r="L887" s="8" t="s">
        <v>244</v>
      </c>
      <c r="M887" s="10" t="s">
        <v>1248</v>
      </c>
      <c r="N887" s="11" t="s">
        <v>2216</v>
      </c>
    </row>
    <row r="888" spans="1:14" ht="15.75" customHeight="1" x14ac:dyDescent="0.15">
      <c r="A888" s="12" t="s">
        <v>2242</v>
      </c>
      <c r="B888" s="12" t="s">
        <v>105</v>
      </c>
      <c r="C888" s="7" t="s">
        <v>2243</v>
      </c>
      <c r="D888" s="13" t="s">
        <v>107</v>
      </c>
      <c r="E888" s="14">
        <v>35464</v>
      </c>
      <c r="F888" s="13" t="s">
        <v>148</v>
      </c>
      <c r="G888" s="13" t="s">
        <v>293</v>
      </c>
      <c r="H888" s="13" t="s">
        <v>369</v>
      </c>
      <c r="I888" s="13" t="s">
        <v>977</v>
      </c>
      <c r="J888" s="13" t="s">
        <v>76</v>
      </c>
      <c r="K888" s="13" t="s">
        <v>44</v>
      </c>
      <c r="L888" s="13" t="s">
        <v>277</v>
      </c>
      <c r="M888" s="15" t="s">
        <v>193</v>
      </c>
      <c r="N888" s="11" t="s">
        <v>2216</v>
      </c>
    </row>
    <row r="889" spans="1:14" ht="15.75" customHeight="1" x14ac:dyDescent="0.15">
      <c r="A889" s="6" t="s">
        <v>2244</v>
      </c>
      <c r="B889" s="6" t="s">
        <v>122</v>
      </c>
      <c r="C889" s="7" t="s">
        <v>2245</v>
      </c>
      <c r="D889" s="8" t="s">
        <v>107</v>
      </c>
      <c r="E889" s="9">
        <v>34957</v>
      </c>
      <c r="F889" s="8" t="s">
        <v>66</v>
      </c>
      <c r="G889" s="8" t="s">
        <v>67</v>
      </c>
      <c r="H889" s="8" t="s">
        <v>52</v>
      </c>
      <c r="I889" s="8" t="s">
        <v>157</v>
      </c>
      <c r="J889" s="8" t="s">
        <v>22</v>
      </c>
      <c r="K889" s="8" t="s">
        <v>44</v>
      </c>
      <c r="L889" s="8" t="s">
        <v>301</v>
      </c>
      <c r="M889" s="10" t="s">
        <v>209</v>
      </c>
      <c r="N889" s="11" t="s">
        <v>2216</v>
      </c>
    </row>
    <row r="890" spans="1:14" ht="15.75" customHeight="1" x14ac:dyDescent="0.15">
      <c r="A890" s="12" t="s">
        <v>2246</v>
      </c>
      <c r="B890" s="12" t="s">
        <v>117</v>
      </c>
      <c r="C890" s="7" t="s">
        <v>2247</v>
      </c>
      <c r="D890" s="13" t="s">
        <v>107</v>
      </c>
      <c r="E890" s="14">
        <v>36392</v>
      </c>
      <c r="F890" s="13" t="s">
        <v>30</v>
      </c>
      <c r="G890" s="13" t="s">
        <v>243</v>
      </c>
      <c r="H890" s="13" t="s">
        <v>179</v>
      </c>
      <c r="I890" s="13" t="s">
        <v>213</v>
      </c>
      <c r="J890" s="13" t="s">
        <v>22</v>
      </c>
      <c r="K890" s="13" t="s">
        <v>77</v>
      </c>
      <c r="L890" s="13" t="s">
        <v>362</v>
      </c>
      <c r="M890" s="15" t="s">
        <v>685</v>
      </c>
      <c r="N890" s="11" t="s">
        <v>2216</v>
      </c>
    </row>
    <row r="891" spans="1:14" ht="15.75" customHeight="1" x14ac:dyDescent="0.15">
      <c r="A891" s="6" t="s">
        <v>2248</v>
      </c>
      <c r="B891" s="6" t="s">
        <v>123</v>
      </c>
      <c r="C891" s="7" t="s">
        <v>2249</v>
      </c>
      <c r="D891" s="8" t="s">
        <v>107</v>
      </c>
      <c r="E891" s="16">
        <v>35397</v>
      </c>
      <c r="F891" s="8" t="s">
        <v>148</v>
      </c>
      <c r="G891" s="8" t="s">
        <v>19</v>
      </c>
      <c r="H891" s="8" t="s">
        <v>102</v>
      </c>
      <c r="I891" s="8" t="s">
        <v>149</v>
      </c>
      <c r="J891" s="8" t="s">
        <v>34</v>
      </c>
      <c r="K891" s="8" t="s">
        <v>44</v>
      </c>
      <c r="L891" s="8" t="s">
        <v>78</v>
      </c>
      <c r="M891" s="10" t="s">
        <v>209</v>
      </c>
      <c r="N891" s="11" t="s">
        <v>2216</v>
      </c>
    </row>
    <row r="892" spans="1:14" ht="15.75" customHeight="1" x14ac:dyDescent="0.15">
      <c r="A892" s="6" t="s">
        <v>2250</v>
      </c>
      <c r="B892" s="12" t="s">
        <v>135</v>
      </c>
      <c r="C892" s="7" t="s">
        <v>2251</v>
      </c>
      <c r="D892" s="13" t="s">
        <v>107</v>
      </c>
      <c r="E892" s="14">
        <v>36528</v>
      </c>
      <c r="F892" s="13" t="s">
        <v>40</v>
      </c>
      <c r="G892" s="13" t="s">
        <v>243</v>
      </c>
      <c r="H892" s="13" t="s">
        <v>42</v>
      </c>
      <c r="I892" s="13" t="s">
        <v>115</v>
      </c>
      <c r="J892" s="13" t="s">
        <v>76</v>
      </c>
      <c r="K892" s="13" t="s">
        <v>77</v>
      </c>
      <c r="L892" s="13" t="s">
        <v>70</v>
      </c>
      <c r="M892" s="15" t="s">
        <v>747</v>
      </c>
      <c r="N892" s="11" t="s">
        <v>2216</v>
      </c>
    </row>
    <row r="893" spans="1:14" ht="15.75" customHeight="1" x14ac:dyDescent="0.15">
      <c r="A893" s="12" t="s">
        <v>2252</v>
      </c>
      <c r="B893" s="6" t="s">
        <v>153</v>
      </c>
      <c r="C893" s="7" t="s">
        <v>2253</v>
      </c>
      <c r="D893" s="8" t="s">
        <v>107</v>
      </c>
      <c r="E893" s="9">
        <v>37881</v>
      </c>
      <c r="F893" s="8" t="s">
        <v>92</v>
      </c>
      <c r="G893" s="8" t="s">
        <v>93</v>
      </c>
      <c r="H893" s="8" t="s">
        <v>32</v>
      </c>
      <c r="I893" s="8" t="s">
        <v>414</v>
      </c>
      <c r="J893" s="8" t="s">
        <v>54</v>
      </c>
      <c r="K893" s="8" t="s">
        <v>77</v>
      </c>
      <c r="L893" s="8" t="s">
        <v>353</v>
      </c>
      <c r="M893" s="10" t="s">
        <v>1395</v>
      </c>
      <c r="N893" s="11" t="s">
        <v>2216</v>
      </c>
    </row>
    <row r="894" spans="1:14" ht="15.75" customHeight="1" x14ac:dyDescent="0.15">
      <c r="A894" s="6" t="s">
        <v>2254</v>
      </c>
      <c r="B894" s="12" t="s">
        <v>142</v>
      </c>
      <c r="C894" s="7" t="s">
        <v>2255</v>
      </c>
      <c r="D894" s="13" t="s">
        <v>107</v>
      </c>
      <c r="E894" s="14">
        <v>37093</v>
      </c>
      <c r="F894" s="13" t="s">
        <v>203</v>
      </c>
      <c r="G894" s="13" t="s">
        <v>138</v>
      </c>
      <c r="H894" s="13" t="s">
        <v>196</v>
      </c>
      <c r="I894" s="13" t="s">
        <v>61</v>
      </c>
      <c r="J894" s="13" t="s">
        <v>22</v>
      </c>
      <c r="K894" s="13" t="s">
        <v>77</v>
      </c>
      <c r="L894" s="13" t="s">
        <v>55</v>
      </c>
      <c r="M894" s="15" t="s">
        <v>2256</v>
      </c>
      <c r="N894" s="11" t="s">
        <v>2216</v>
      </c>
    </row>
    <row r="895" spans="1:14" ht="15.75" customHeight="1" x14ac:dyDescent="0.15">
      <c r="A895" s="12" t="s">
        <v>2257</v>
      </c>
      <c r="B895" s="6" t="s">
        <v>162</v>
      </c>
      <c r="C895" s="7" t="s">
        <v>2258</v>
      </c>
      <c r="D895" s="8" t="s">
        <v>49</v>
      </c>
      <c r="E895" s="9">
        <v>36413</v>
      </c>
      <c r="F895" s="8" t="s">
        <v>40</v>
      </c>
      <c r="G895" s="8" t="s">
        <v>243</v>
      </c>
      <c r="H895" s="8" t="s">
        <v>139</v>
      </c>
      <c r="I895" s="8" t="s">
        <v>149</v>
      </c>
      <c r="J895" s="8" t="s">
        <v>54</v>
      </c>
      <c r="K895" s="8" t="s">
        <v>44</v>
      </c>
      <c r="L895" s="8" t="s">
        <v>55</v>
      </c>
      <c r="M895" s="10" t="s">
        <v>1696</v>
      </c>
      <c r="N895" s="11" t="s">
        <v>2216</v>
      </c>
    </row>
    <row r="896" spans="1:14" ht="15.75" customHeight="1" x14ac:dyDescent="0.15">
      <c r="A896" s="6" t="s">
        <v>2259</v>
      </c>
      <c r="B896" s="12" t="s">
        <v>167</v>
      </c>
      <c r="C896" s="7" t="s">
        <v>2260</v>
      </c>
      <c r="D896" s="13" t="s">
        <v>107</v>
      </c>
      <c r="E896" s="14">
        <v>35915</v>
      </c>
      <c r="F896" s="13" t="s">
        <v>212</v>
      </c>
      <c r="G896" s="13" t="s">
        <v>138</v>
      </c>
      <c r="H896" s="13" t="s">
        <v>82</v>
      </c>
      <c r="I896" s="13" t="s">
        <v>157</v>
      </c>
      <c r="J896" s="13" t="s">
        <v>76</v>
      </c>
      <c r="K896" s="13" t="s">
        <v>44</v>
      </c>
      <c r="L896" s="13" t="s">
        <v>561</v>
      </c>
      <c r="M896" s="15" t="s">
        <v>963</v>
      </c>
      <c r="N896" s="11" t="s">
        <v>2216</v>
      </c>
    </row>
    <row r="897" spans="1:14" ht="15.75" customHeight="1" x14ac:dyDescent="0.15">
      <c r="A897" s="6" t="s">
        <v>2261</v>
      </c>
      <c r="B897" s="6" t="s">
        <v>154</v>
      </c>
      <c r="C897" s="7" t="s">
        <v>2262</v>
      </c>
      <c r="D897" s="8" t="s">
        <v>39</v>
      </c>
      <c r="E897" s="9">
        <v>36653</v>
      </c>
      <c r="F897" s="8" t="s">
        <v>40</v>
      </c>
      <c r="G897" s="8" t="s">
        <v>93</v>
      </c>
      <c r="H897" s="8" t="s">
        <v>108</v>
      </c>
      <c r="I897" s="8" t="s">
        <v>382</v>
      </c>
      <c r="J897" s="8" t="s">
        <v>150</v>
      </c>
      <c r="K897" s="8" t="s">
        <v>44</v>
      </c>
      <c r="L897" s="8" t="s">
        <v>324</v>
      </c>
      <c r="M897" s="10" t="s">
        <v>716</v>
      </c>
      <c r="N897" s="11" t="s">
        <v>2216</v>
      </c>
    </row>
    <row r="898" spans="1:14" ht="15.75" customHeight="1" x14ac:dyDescent="0.15">
      <c r="A898" s="12" t="s">
        <v>2263</v>
      </c>
      <c r="B898" s="12" t="s">
        <v>159</v>
      </c>
      <c r="C898" s="7" t="s">
        <v>2264</v>
      </c>
      <c r="D898" s="13" t="s">
        <v>17</v>
      </c>
      <c r="E898" s="14">
        <v>35579</v>
      </c>
      <c r="F898" s="13" t="s">
        <v>148</v>
      </c>
      <c r="G898" s="13" t="s">
        <v>131</v>
      </c>
      <c r="H898" s="13" t="s">
        <v>535</v>
      </c>
      <c r="I898" s="13" t="s">
        <v>337</v>
      </c>
      <c r="J898" s="13" t="s">
        <v>150</v>
      </c>
      <c r="K898" s="13" t="s">
        <v>44</v>
      </c>
      <c r="L898" s="13" t="s">
        <v>151</v>
      </c>
      <c r="M898" s="15" t="s">
        <v>85</v>
      </c>
      <c r="N898" s="11" t="s">
        <v>2216</v>
      </c>
    </row>
    <row r="899" spans="1:14" ht="15.75" customHeight="1" x14ac:dyDescent="0.15">
      <c r="A899" s="6" t="s">
        <v>2265</v>
      </c>
      <c r="B899" s="6" t="s">
        <v>163</v>
      </c>
      <c r="C899" s="7" t="s">
        <v>2266</v>
      </c>
      <c r="D899" s="8" t="s">
        <v>49</v>
      </c>
      <c r="E899" s="9">
        <v>31977</v>
      </c>
      <c r="F899" s="8" t="s">
        <v>2267</v>
      </c>
      <c r="G899" s="8" t="s">
        <v>2268</v>
      </c>
      <c r="H899" s="8" t="s">
        <v>32</v>
      </c>
      <c r="I899" s="8" t="s">
        <v>438</v>
      </c>
      <c r="J899" s="8" t="s">
        <v>22</v>
      </c>
      <c r="K899" s="8" t="s">
        <v>44</v>
      </c>
      <c r="L899" s="8" t="s">
        <v>390</v>
      </c>
      <c r="M899" s="10" t="s">
        <v>209</v>
      </c>
      <c r="N899" s="11" t="s">
        <v>2216</v>
      </c>
    </row>
    <row r="900" spans="1:14" ht="15.75" customHeight="1" x14ac:dyDescent="0.15">
      <c r="A900" s="12" t="s">
        <v>2269</v>
      </c>
      <c r="B900" s="12" t="s">
        <v>168</v>
      </c>
      <c r="C900" s="7" t="s">
        <v>2270</v>
      </c>
      <c r="D900" s="13" t="s">
        <v>107</v>
      </c>
      <c r="E900" s="14">
        <v>33798</v>
      </c>
      <c r="F900" s="13" t="s">
        <v>430</v>
      </c>
      <c r="G900" s="13" t="s">
        <v>19</v>
      </c>
      <c r="H900" s="13" t="s">
        <v>68</v>
      </c>
      <c r="I900" s="13" t="s">
        <v>140</v>
      </c>
      <c r="J900" s="13" t="s">
        <v>54</v>
      </c>
      <c r="K900" s="13" t="s">
        <v>44</v>
      </c>
      <c r="L900" s="13" t="s">
        <v>390</v>
      </c>
      <c r="M900" s="15" t="s">
        <v>956</v>
      </c>
      <c r="N900" s="11" t="s">
        <v>2216</v>
      </c>
    </row>
    <row r="901" spans="1:14" ht="15.75" customHeight="1" x14ac:dyDescent="0.15">
      <c r="A901" s="6" t="s">
        <v>2271</v>
      </c>
      <c r="B901" s="6" t="s">
        <v>173</v>
      </c>
      <c r="C901" s="7" t="s">
        <v>2272</v>
      </c>
      <c r="D901" s="8" t="s">
        <v>107</v>
      </c>
      <c r="E901" s="9">
        <v>36726</v>
      </c>
      <c r="F901" s="8" t="s">
        <v>40</v>
      </c>
      <c r="G901" s="8" t="s">
        <v>41</v>
      </c>
      <c r="H901" s="8" t="s">
        <v>144</v>
      </c>
      <c r="I901" s="8" t="s">
        <v>197</v>
      </c>
      <c r="J901" s="8" t="s">
        <v>54</v>
      </c>
      <c r="K901" s="8" t="s">
        <v>44</v>
      </c>
      <c r="L901" s="8" t="s">
        <v>45</v>
      </c>
      <c r="M901" s="10" t="s">
        <v>36</v>
      </c>
      <c r="N901" s="11" t="s">
        <v>2216</v>
      </c>
    </row>
    <row r="902" spans="1:14" ht="15.75" customHeight="1" x14ac:dyDescent="0.15">
      <c r="A902" s="6" t="s">
        <v>2273</v>
      </c>
      <c r="B902" s="12" t="s">
        <v>175</v>
      </c>
      <c r="C902" s="7" t="s">
        <v>2274</v>
      </c>
      <c r="D902" s="13" t="s">
        <v>107</v>
      </c>
      <c r="E902" s="14">
        <v>34921</v>
      </c>
      <c r="F902" s="13" t="s">
        <v>59</v>
      </c>
      <c r="G902" s="13" t="s">
        <v>93</v>
      </c>
      <c r="H902" s="13" t="s">
        <v>171</v>
      </c>
      <c r="I902" s="13" t="s">
        <v>21</v>
      </c>
      <c r="J902" s="13" t="s">
        <v>150</v>
      </c>
      <c r="K902" s="13" t="s">
        <v>44</v>
      </c>
      <c r="L902" s="13" t="s">
        <v>151</v>
      </c>
      <c r="M902" s="15" t="s">
        <v>56</v>
      </c>
      <c r="N902" s="11" t="s">
        <v>2216</v>
      </c>
    </row>
    <row r="903" spans="1:14" ht="15.75" customHeight="1" x14ac:dyDescent="0.15">
      <c r="A903" s="12" t="s">
        <v>2275</v>
      </c>
      <c r="B903" s="6" t="s">
        <v>200</v>
      </c>
      <c r="C903" s="7" t="s">
        <v>2276</v>
      </c>
      <c r="D903" s="8" t="s">
        <v>39</v>
      </c>
      <c r="E903" s="9">
        <v>36376</v>
      </c>
      <c r="F903" s="8" t="s">
        <v>30</v>
      </c>
      <c r="G903" s="8" t="s">
        <v>41</v>
      </c>
      <c r="H903" s="8" t="s">
        <v>68</v>
      </c>
      <c r="I903" s="8" t="s">
        <v>157</v>
      </c>
      <c r="J903" s="8" t="s">
        <v>76</v>
      </c>
      <c r="K903" s="8" t="s">
        <v>23</v>
      </c>
      <c r="L903" s="8" t="s">
        <v>283</v>
      </c>
      <c r="M903" s="10" t="s">
        <v>956</v>
      </c>
      <c r="N903" s="11" t="s">
        <v>2216</v>
      </c>
    </row>
    <row r="904" spans="1:14" ht="15.75" customHeight="1" x14ac:dyDescent="0.15">
      <c r="A904" s="6" t="s">
        <v>2277</v>
      </c>
      <c r="B904" s="12" t="s">
        <v>177</v>
      </c>
      <c r="C904" s="7" t="s">
        <v>2278</v>
      </c>
      <c r="D904" s="13" t="s">
        <v>17</v>
      </c>
      <c r="E904" s="14">
        <v>37527</v>
      </c>
      <c r="F904" s="13" t="s">
        <v>186</v>
      </c>
      <c r="G904" s="13" t="s">
        <v>31</v>
      </c>
      <c r="H904" s="13" t="s">
        <v>114</v>
      </c>
      <c r="I904" s="13" t="s">
        <v>127</v>
      </c>
      <c r="J904" s="13" t="s">
        <v>22</v>
      </c>
      <c r="K904" s="13" t="s">
        <v>23</v>
      </c>
      <c r="L904" s="13" t="s">
        <v>218</v>
      </c>
      <c r="M904" s="15" t="s">
        <v>391</v>
      </c>
      <c r="N904" s="11" t="s">
        <v>2216</v>
      </c>
    </row>
    <row r="905" spans="1:14" ht="15.75" customHeight="1" x14ac:dyDescent="0.15">
      <c r="A905" s="12" t="s">
        <v>2279</v>
      </c>
      <c r="B905" s="6" t="s">
        <v>180</v>
      </c>
      <c r="C905" s="7" t="s">
        <v>2280</v>
      </c>
      <c r="D905" s="8" t="s">
        <v>39</v>
      </c>
      <c r="E905" s="9">
        <v>38132</v>
      </c>
      <c r="F905" s="8" t="s">
        <v>92</v>
      </c>
      <c r="G905" s="8" t="s">
        <v>41</v>
      </c>
      <c r="H905" s="8" t="s">
        <v>108</v>
      </c>
      <c r="I905" s="8" t="s">
        <v>192</v>
      </c>
      <c r="J905" s="8" t="s">
        <v>22</v>
      </c>
      <c r="K905" s="8" t="s">
        <v>44</v>
      </c>
      <c r="L905" s="8" t="s">
        <v>208</v>
      </c>
      <c r="M905" s="10" t="s">
        <v>461</v>
      </c>
      <c r="N905" s="11" t="s">
        <v>2216</v>
      </c>
    </row>
    <row r="906" spans="1:14" ht="15.75" customHeight="1" x14ac:dyDescent="0.15">
      <c r="A906" s="6" t="s">
        <v>2281</v>
      </c>
      <c r="B906" s="12" t="s">
        <v>184</v>
      </c>
      <c r="C906" s="7" t="s">
        <v>2282</v>
      </c>
      <c r="D906" s="13" t="s">
        <v>107</v>
      </c>
      <c r="E906" s="17">
        <v>35385</v>
      </c>
      <c r="F906" s="13" t="s">
        <v>148</v>
      </c>
      <c r="G906" s="13" t="s">
        <v>19</v>
      </c>
      <c r="H906" s="13" t="s">
        <v>171</v>
      </c>
      <c r="I906" s="13" t="s">
        <v>438</v>
      </c>
      <c r="J906" s="13" t="s">
        <v>54</v>
      </c>
      <c r="K906" s="13" t="s">
        <v>23</v>
      </c>
      <c r="L906" s="13" t="s">
        <v>78</v>
      </c>
      <c r="M906" s="15" t="s">
        <v>1452</v>
      </c>
      <c r="N906" s="11" t="s">
        <v>2216</v>
      </c>
    </row>
    <row r="907" spans="1:14" ht="15.75" customHeight="1" x14ac:dyDescent="0.15">
      <c r="A907" s="6" t="s">
        <v>2283</v>
      </c>
      <c r="B907" s="6" t="s">
        <v>189</v>
      </c>
      <c r="C907" s="7" t="s">
        <v>2284</v>
      </c>
      <c r="D907" s="8" t="s">
        <v>39</v>
      </c>
      <c r="E907" s="9">
        <v>37731</v>
      </c>
      <c r="F907" s="8" t="s">
        <v>186</v>
      </c>
      <c r="G907" s="8" t="s">
        <v>93</v>
      </c>
      <c r="H907" s="8" t="s">
        <v>94</v>
      </c>
      <c r="I907" s="8" t="s">
        <v>149</v>
      </c>
      <c r="J907" s="8" t="s">
        <v>34</v>
      </c>
      <c r="K907" s="8" t="s">
        <v>23</v>
      </c>
      <c r="L907" s="8" t="s">
        <v>128</v>
      </c>
      <c r="M907" s="10" t="s">
        <v>36</v>
      </c>
      <c r="N907" s="11" t="s">
        <v>2216</v>
      </c>
    </row>
    <row r="908" spans="1:14" ht="15.75" customHeight="1" x14ac:dyDescent="0.15">
      <c r="A908" s="12" t="s">
        <v>2285</v>
      </c>
      <c r="B908" s="12" t="s">
        <v>194</v>
      </c>
      <c r="C908" s="7" t="s">
        <v>2286</v>
      </c>
      <c r="D908" s="13" t="s">
        <v>107</v>
      </c>
      <c r="E908" s="14">
        <v>38116</v>
      </c>
      <c r="F908" s="13" t="s">
        <v>92</v>
      </c>
      <c r="G908" s="13" t="s">
        <v>41</v>
      </c>
      <c r="H908" s="13" t="s">
        <v>102</v>
      </c>
      <c r="I908" s="13" t="s">
        <v>385</v>
      </c>
      <c r="J908" s="13" t="s">
        <v>76</v>
      </c>
      <c r="K908" s="13" t="s">
        <v>44</v>
      </c>
      <c r="L908" s="13" t="s">
        <v>283</v>
      </c>
      <c r="M908" s="15" t="s">
        <v>71</v>
      </c>
      <c r="N908" s="11" t="s">
        <v>2216</v>
      </c>
    </row>
    <row r="909" spans="1:14" ht="15.75" customHeight="1" x14ac:dyDescent="0.15">
      <c r="A909" s="6" t="s">
        <v>2287</v>
      </c>
      <c r="B909" s="6" t="s">
        <v>201</v>
      </c>
      <c r="C909" s="7" t="s">
        <v>2288</v>
      </c>
      <c r="D909" s="8" t="s">
        <v>49</v>
      </c>
      <c r="E909" s="9">
        <v>35584</v>
      </c>
      <c r="F909" s="8" t="s">
        <v>148</v>
      </c>
      <c r="G909" s="8" t="s">
        <v>204</v>
      </c>
      <c r="H909" s="8" t="s">
        <v>139</v>
      </c>
      <c r="I909" s="8" t="s">
        <v>192</v>
      </c>
      <c r="J909" s="8" t="s">
        <v>22</v>
      </c>
      <c r="K909" s="8" t="s">
        <v>44</v>
      </c>
      <c r="L909" s="8" t="s">
        <v>277</v>
      </c>
      <c r="M909" s="10" t="s">
        <v>794</v>
      </c>
      <c r="N909" s="11" t="s">
        <v>2216</v>
      </c>
    </row>
    <row r="910" spans="1:14" ht="15.75" customHeight="1" x14ac:dyDescent="0.15">
      <c r="A910" s="12" t="s">
        <v>2289</v>
      </c>
      <c r="B910" s="12" t="s">
        <v>205</v>
      </c>
      <c r="C910" s="7" t="s">
        <v>2290</v>
      </c>
      <c r="D910" s="13" t="s">
        <v>17</v>
      </c>
      <c r="E910" s="14">
        <v>37395</v>
      </c>
      <c r="F910" s="13" t="s">
        <v>137</v>
      </c>
      <c r="G910" s="13" t="s">
        <v>131</v>
      </c>
      <c r="H910" s="13" t="s">
        <v>179</v>
      </c>
      <c r="I910" s="13" t="s">
        <v>33</v>
      </c>
      <c r="J910" s="13" t="s">
        <v>22</v>
      </c>
      <c r="K910" s="13" t="s">
        <v>23</v>
      </c>
      <c r="L910" s="13" t="s">
        <v>110</v>
      </c>
      <c r="M910" s="15" t="s">
        <v>262</v>
      </c>
      <c r="N910" s="11" t="s">
        <v>2216</v>
      </c>
    </row>
    <row r="911" spans="1:14" ht="15.75" customHeight="1" x14ac:dyDescent="0.15">
      <c r="A911" s="6" t="s">
        <v>2291</v>
      </c>
      <c r="B911" s="6" t="s">
        <v>210</v>
      </c>
      <c r="C911" s="7" t="s">
        <v>2292</v>
      </c>
      <c r="D911" s="8" t="s">
        <v>17</v>
      </c>
      <c r="E911" s="16">
        <v>35788</v>
      </c>
      <c r="F911" s="8" t="s">
        <v>212</v>
      </c>
      <c r="G911" s="8" t="s">
        <v>101</v>
      </c>
      <c r="H911" s="8" t="s">
        <v>102</v>
      </c>
      <c r="I911" s="8" t="s">
        <v>120</v>
      </c>
      <c r="J911" s="8" t="s">
        <v>54</v>
      </c>
      <c r="K911" s="8" t="s">
        <v>23</v>
      </c>
      <c r="L911" s="8" t="s">
        <v>70</v>
      </c>
      <c r="M911" s="10" t="s">
        <v>956</v>
      </c>
      <c r="N911" s="11" t="s">
        <v>2216</v>
      </c>
    </row>
    <row r="912" spans="1:14" ht="15.75" customHeight="1" x14ac:dyDescent="0.15">
      <c r="A912" s="6" t="s">
        <v>2293</v>
      </c>
      <c r="B912" s="12" t="s">
        <v>215</v>
      </c>
      <c r="C912" s="7" t="s">
        <v>2294</v>
      </c>
      <c r="D912" s="13" t="s">
        <v>107</v>
      </c>
      <c r="E912" s="14">
        <v>37817</v>
      </c>
      <c r="F912" s="13" t="s">
        <v>186</v>
      </c>
      <c r="G912" s="13" t="s">
        <v>93</v>
      </c>
      <c r="H912" s="13" t="s">
        <v>108</v>
      </c>
      <c r="I912" s="13" t="s">
        <v>61</v>
      </c>
      <c r="J912" s="13" t="s">
        <v>76</v>
      </c>
      <c r="K912" s="13" t="s">
        <v>44</v>
      </c>
      <c r="L912" s="13" t="s">
        <v>244</v>
      </c>
      <c r="M912" s="15" t="s">
        <v>298</v>
      </c>
      <c r="N912" s="11" t="s">
        <v>2216</v>
      </c>
    </row>
    <row r="913" spans="1:14" ht="15.75" customHeight="1" x14ac:dyDescent="0.15">
      <c r="A913" s="12" t="s">
        <v>2295</v>
      </c>
      <c r="B913" s="6" t="s">
        <v>220</v>
      </c>
      <c r="C913" s="7" t="s">
        <v>2296</v>
      </c>
      <c r="D913" s="8" t="s">
        <v>107</v>
      </c>
      <c r="E913" s="9">
        <v>38775</v>
      </c>
      <c r="F913" s="8" t="s">
        <v>170</v>
      </c>
      <c r="G913" s="8" t="s">
        <v>138</v>
      </c>
      <c r="H913" s="8" t="s">
        <v>144</v>
      </c>
      <c r="I913" s="8" t="s">
        <v>470</v>
      </c>
      <c r="J913" s="8" t="s">
        <v>34</v>
      </c>
      <c r="K913" s="8" t="s">
        <v>44</v>
      </c>
      <c r="L913" s="8" t="s">
        <v>24</v>
      </c>
      <c r="M913" s="10" t="s">
        <v>349</v>
      </c>
      <c r="N913" s="11" t="s">
        <v>2216</v>
      </c>
    </row>
    <row r="914" spans="1:14" ht="15.75" customHeight="1" x14ac:dyDescent="0.15">
      <c r="A914" s="12" t="s">
        <v>2297</v>
      </c>
      <c r="B914" s="6" t="s">
        <v>227</v>
      </c>
      <c r="C914" s="7" t="s">
        <v>2298</v>
      </c>
      <c r="D914" s="8" t="s">
        <v>107</v>
      </c>
      <c r="E914" s="16">
        <v>37980</v>
      </c>
      <c r="F914" s="8" t="s">
        <v>92</v>
      </c>
      <c r="G914" s="8" t="s">
        <v>243</v>
      </c>
      <c r="H914" s="8" t="s">
        <v>225</v>
      </c>
      <c r="I914" s="8" t="s">
        <v>197</v>
      </c>
      <c r="J914" s="8" t="s">
        <v>22</v>
      </c>
      <c r="K914" s="8" t="s">
        <v>77</v>
      </c>
      <c r="L914" s="8" t="s">
        <v>244</v>
      </c>
      <c r="M914" s="10" t="s">
        <v>141</v>
      </c>
      <c r="N914" s="11" t="s">
        <v>2216</v>
      </c>
    </row>
    <row r="915" spans="1:14" ht="15.75" customHeight="1" x14ac:dyDescent="0.15">
      <c r="A915" s="6" t="s">
        <v>2299</v>
      </c>
      <c r="B915" s="12" t="s">
        <v>230</v>
      </c>
      <c r="C915" s="7" t="s">
        <v>2300</v>
      </c>
      <c r="D915" s="13" t="s">
        <v>39</v>
      </c>
      <c r="E915" s="17">
        <v>37620</v>
      </c>
      <c r="F915" s="13" t="s">
        <v>186</v>
      </c>
      <c r="G915" s="13" t="s">
        <v>131</v>
      </c>
      <c r="H915" s="13" t="s">
        <v>333</v>
      </c>
      <c r="I915" s="13" t="s">
        <v>1145</v>
      </c>
      <c r="J915" s="13" t="s">
        <v>34</v>
      </c>
      <c r="K915" s="13" t="s">
        <v>44</v>
      </c>
      <c r="L915" s="13" t="s">
        <v>751</v>
      </c>
      <c r="M915" s="15" t="s">
        <v>464</v>
      </c>
      <c r="N915" s="11" t="s">
        <v>2216</v>
      </c>
    </row>
    <row r="916" spans="1:14" ht="15.75" customHeight="1" x14ac:dyDescent="0.15">
      <c r="A916" s="6" t="s">
        <v>2301</v>
      </c>
      <c r="B916" s="6" t="s">
        <v>234</v>
      </c>
      <c r="C916" s="7" t="s">
        <v>2302</v>
      </c>
      <c r="D916" s="8" t="s">
        <v>107</v>
      </c>
      <c r="E916" s="9">
        <v>34439</v>
      </c>
      <c r="F916" s="8" t="s">
        <v>18</v>
      </c>
      <c r="G916" s="8" t="s">
        <v>131</v>
      </c>
      <c r="H916" s="8" t="s">
        <v>695</v>
      </c>
      <c r="I916" s="8" t="s">
        <v>323</v>
      </c>
      <c r="J916" s="8" t="s">
        <v>150</v>
      </c>
      <c r="K916" s="8" t="s">
        <v>44</v>
      </c>
      <c r="L916" s="8" t="s">
        <v>151</v>
      </c>
      <c r="M916" s="10" t="s">
        <v>716</v>
      </c>
      <c r="N916" s="11" t="s">
        <v>2216</v>
      </c>
    </row>
    <row r="917" spans="1:14" ht="15.75" customHeight="1" x14ac:dyDescent="0.15">
      <c r="A917" s="12" t="s">
        <v>2303</v>
      </c>
      <c r="B917" s="12" t="s">
        <v>236</v>
      </c>
      <c r="C917" s="7" t="s">
        <v>2304</v>
      </c>
      <c r="D917" s="13" t="s">
        <v>107</v>
      </c>
      <c r="E917" s="17">
        <v>39076</v>
      </c>
      <c r="F917" s="13" t="s">
        <v>232</v>
      </c>
      <c r="G917" s="13" t="s">
        <v>131</v>
      </c>
      <c r="H917" s="13" t="s">
        <v>144</v>
      </c>
      <c r="I917" s="13" t="s">
        <v>103</v>
      </c>
      <c r="J917" s="13" t="s">
        <v>54</v>
      </c>
      <c r="K917" s="13" t="s">
        <v>44</v>
      </c>
      <c r="L917" s="13" t="s">
        <v>208</v>
      </c>
      <c r="M917" s="15" t="s">
        <v>219</v>
      </c>
      <c r="N917" s="11" t="s">
        <v>2216</v>
      </c>
    </row>
    <row r="918" spans="1:14" ht="15.75" customHeight="1" x14ac:dyDescent="0.15">
      <c r="A918" s="6" t="s">
        <v>2305</v>
      </c>
      <c r="B918" s="6" t="s">
        <v>241</v>
      </c>
      <c r="C918" s="7" t="s">
        <v>2306</v>
      </c>
      <c r="D918" s="8" t="s">
        <v>107</v>
      </c>
      <c r="E918" s="9">
        <v>38618</v>
      </c>
      <c r="F918" s="8" t="s">
        <v>170</v>
      </c>
      <c r="G918" s="8" t="s">
        <v>138</v>
      </c>
      <c r="H918" s="8" t="s">
        <v>32</v>
      </c>
      <c r="I918" s="8" t="s">
        <v>120</v>
      </c>
      <c r="J918" s="8" t="s">
        <v>22</v>
      </c>
      <c r="K918" s="8" t="s">
        <v>77</v>
      </c>
      <c r="L918" s="8" t="s">
        <v>218</v>
      </c>
      <c r="M918" s="10" t="s">
        <v>219</v>
      </c>
      <c r="N918" s="11" t="s">
        <v>2216</v>
      </c>
    </row>
    <row r="919" spans="1:14" ht="15.75" customHeight="1" x14ac:dyDescent="0.15">
      <c r="A919" s="12" t="s">
        <v>2307</v>
      </c>
      <c r="B919" s="12" t="s">
        <v>253</v>
      </c>
      <c r="C919" s="7" t="s">
        <v>2308</v>
      </c>
      <c r="D919" s="13" t="s">
        <v>17</v>
      </c>
      <c r="E919" s="14">
        <v>36343</v>
      </c>
      <c r="F919" s="13" t="s">
        <v>30</v>
      </c>
      <c r="G919" s="13" t="s">
        <v>67</v>
      </c>
      <c r="H919" s="13" t="s">
        <v>179</v>
      </c>
      <c r="I919" s="13" t="s">
        <v>53</v>
      </c>
      <c r="J919" s="13" t="s">
        <v>54</v>
      </c>
      <c r="K919" s="13" t="s">
        <v>23</v>
      </c>
      <c r="L919" s="13" t="s">
        <v>78</v>
      </c>
      <c r="M919" s="15" t="s">
        <v>963</v>
      </c>
      <c r="N919" s="11" t="s">
        <v>2216</v>
      </c>
    </row>
    <row r="920" spans="1:14" ht="15.75" customHeight="1" x14ac:dyDescent="0.15">
      <c r="A920" s="6" t="s">
        <v>2309</v>
      </c>
      <c r="B920" s="6" t="s">
        <v>257</v>
      </c>
      <c r="C920" s="7" t="s">
        <v>2310</v>
      </c>
      <c r="D920" s="8" t="s">
        <v>39</v>
      </c>
      <c r="E920" s="9">
        <v>36321</v>
      </c>
      <c r="F920" s="8" t="s">
        <v>30</v>
      </c>
      <c r="G920" s="8" t="s">
        <v>67</v>
      </c>
      <c r="H920" s="8" t="s">
        <v>32</v>
      </c>
      <c r="I920" s="8" t="s">
        <v>192</v>
      </c>
      <c r="J920" s="8" t="s">
        <v>54</v>
      </c>
      <c r="K920" s="8" t="s">
        <v>23</v>
      </c>
      <c r="L920" s="8" t="s">
        <v>35</v>
      </c>
      <c r="M920" s="10" t="s">
        <v>2311</v>
      </c>
      <c r="N920" s="11" t="s">
        <v>2216</v>
      </c>
    </row>
    <row r="921" spans="1:14" ht="15.75" customHeight="1" x14ac:dyDescent="0.15">
      <c r="A921" s="6" t="s">
        <v>2312</v>
      </c>
      <c r="B921" s="12" t="s">
        <v>259</v>
      </c>
      <c r="C921" s="7" t="s">
        <v>2313</v>
      </c>
      <c r="D921" s="13" t="s">
        <v>107</v>
      </c>
      <c r="E921" s="14">
        <v>38980</v>
      </c>
      <c r="F921" s="13" t="s">
        <v>232</v>
      </c>
      <c r="G921" s="13" t="s">
        <v>131</v>
      </c>
      <c r="H921" s="13" t="s">
        <v>156</v>
      </c>
      <c r="I921" s="13" t="s">
        <v>21</v>
      </c>
      <c r="J921" s="13" t="s">
        <v>54</v>
      </c>
      <c r="K921" s="13" t="s">
        <v>44</v>
      </c>
      <c r="L921" s="13" t="s">
        <v>297</v>
      </c>
      <c r="M921" s="15" t="s">
        <v>219</v>
      </c>
      <c r="N921" s="11" t="s">
        <v>2216</v>
      </c>
    </row>
    <row r="922" spans="1:14" ht="15.75" customHeight="1" x14ac:dyDescent="0.15">
      <c r="A922" s="12" t="s">
        <v>2314</v>
      </c>
      <c r="B922" s="6" t="s">
        <v>263</v>
      </c>
      <c r="C922" s="7" t="s">
        <v>2315</v>
      </c>
      <c r="D922" s="8" t="s">
        <v>49</v>
      </c>
      <c r="E922" s="9">
        <v>36954</v>
      </c>
      <c r="F922" s="8" t="s">
        <v>203</v>
      </c>
      <c r="G922" s="8" t="s">
        <v>19</v>
      </c>
      <c r="H922" s="8" t="s">
        <v>156</v>
      </c>
      <c r="I922" s="8" t="s">
        <v>157</v>
      </c>
      <c r="J922" s="8" t="s">
        <v>76</v>
      </c>
      <c r="K922" s="8" t="s">
        <v>23</v>
      </c>
      <c r="L922" s="8" t="s">
        <v>158</v>
      </c>
      <c r="M922" s="10" t="s">
        <v>161</v>
      </c>
      <c r="N922" s="11" t="s">
        <v>2216</v>
      </c>
    </row>
    <row r="923" spans="1:14" ht="15.75" customHeight="1" x14ac:dyDescent="0.15">
      <c r="A923" s="6" t="s">
        <v>2316</v>
      </c>
      <c r="B923" s="12" t="s">
        <v>266</v>
      </c>
      <c r="C923" s="7" t="s">
        <v>2317</v>
      </c>
      <c r="D923" s="13" t="s">
        <v>107</v>
      </c>
      <c r="E923" s="14">
        <v>34562</v>
      </c>
      <c r="F923" s="13" t="s">
        <v>18</v>
      </c>
      <c r="G923" s="13" t="s">
        <v>60</v>
      </c>
      <c r="H923" s="13" t="s">
        <v>94</v>
      </c>
      <c r="I923" s="13" t="s">
        <v>95</v>
      </c>
      <c r="J923" s="13" t="s">
        <v>54</v>
      </c>
      <c r="K923" s="13" t="s">
        <v>23</v>
      </c>
      <c r="L923" s="13" t="s">
        <v>45</v>
      </c>
      <c r="M923" s="15" t="s">
        <v>1528</v>
      </c>
      <c r="N923" s="11" t="s">
        <v>2216</v>
      </c>
    </row>
    <row r="924" spans="1:14" ht="15.75" customHeight="1" x14ac:dyDescent="0.15">
      <c r="A924" s="12" t="s">
        <v>2318</v>
      </c>
      <c r="B924" s="6" t="s">
        <v>268</v>
      </c>
      <c r="C924" s="7" t="s">
        <v>2319</v>
      </c>
      <c r="D924" s="8" t="s">
        <v>39</v>
      </c>
      <c r="E924" s="16">
        <v>37551</v>
      </c>
      <c r="F924" s="8" t="s">
        <v>186</v>
      </c>
      <c r="G924" s="8" t="s">
        <v>31</v>
      </c>
      <c r="H924" s="8" t="s">
        <v>94</v>
      </c>
      <c r="I924" s="8" t="s">
        <v>651</v>
      </c>
      <c r="J924" s="8" t="s">
        <v>54</v>
      </c>
      <c r="K924" s="8" t="s">
        <v>23</v>
      </c>
      <c r="L924" s="8" t="s">
        <v>424</v>
      </c>
      <c r="M924" s="10" t="s">
        <v>349</v>
      </c>
      <c r="N924" s="11" t="s">
        <v>2216</v>
      </c>
    </row>
    <row r="925" spans="1:14" ht="15.75" customHeight="1" x14ac:dyDescent="0.15">
      <c r="A925" s="6" t="s">
        <v>2320</v>
      </c>
      <c r="B925" s="12" t="s">
        <v>271</v>
      </c>
      <c r="C925" s="7" t="s">
        <v>2321</v>
      </c>
      <c r="D925" s="13" t="s">
        <v>107</v>
      </c>
      <c r="E925" s="14">
        <v>34530</v>
      </c>
      <c r="F925" s="13" t="s">
        <v>18</v>
      </c>
      <c r="G925" s="13" t="s">
        <v>131</v>
      </c>
      <c r="H925" s="13" t="s">
        <v>171</v>
      </c>
      <c r="I925" s="13" t="s">
        <v>115</v>
      </c>
      <c r="J925" s="13" t="s">
        <v>150</v>
      </c>
      <c r="K925" s="13" t="s">
        <v>44</v>
      </c>
      <c r="L925" s="13" t="s">
        <v>324</v>
      </c>
      <c r="M925" s="15" t="s">
        <v>145</v>
      </c>
      <c r="N925" s="11" t="s">
        <v>2216</v>
      </c>
    </row>
    <row r="926" spans="1:14" ht="15.75" customHeight="1" x14ac:dyDescent="0.15">
      <c r="A926" s="6" t="s">
        <v>2322</v>
      </c>
      <c r="B926" s="6" t="s">
        <v>275</v>
      </c>
      <c r="C926" s="7" t="s">
        <v>2323</v>
      </c>
      <c r="D926" s="8" t="s">
        <v>107</v>
      </c>
      <c r="E926" s="9">
        <v>38010</v>
      </c>
      <c r="F926" s="8" t="s">
        <v>92</v>
      </c>
      <c r="G926" s="8" t="s">
        <v>243</v>
      </c>
      <c r="H926" s="8" t="s">
        <v>171</v>
      </c>
      <c r="I926" s="8" t="s">
        <v>149</v>
      </c>
      <c r="J926" s="8" t="s">
        <v>76</v>
      </c>
      <c r="K926" s="8" t="s">
        <v>44</v>
      </c>
      <c r="L926" s="8" t="s">
        <v>24</v>
      </c>
      <c r="M926" s="10" t="s">
        <v>229</v>
      </c>
      <c r="N926" s="11" t="s">
        <v>2216</v>
      </c>
    </row>
    <row r="927" spans="1:14" ht="15.75" customHeight="1" x14ac:dyDescent="0.15">
      <c r="A927" s="12" t="s">
        <v>2324</v>
      </c>
      <c r="B927" s="12" t="s">
        <v>278</v>
      </c>
      <c r="C927" s="7" t="s">
        <v>2325</v>
      </c>
      <c r="D927" s="13" t="s">
        <v>107</v>
      </c>
      <c r="E927" s="14">
        <v>34942</v>
      </c>
      <c r="F927" s="13" t="s">
        <v>59</v>
      </c>
      <c r="G927" s="13" t="s">
        <v>51</v>
      </c>
      <c r="H927" s="13" t="s">
        <v>114</v>
      </c>
      <c r="I927" s="13" t="s">
        <v>192</v>
      </c>
      <c r="J927" s="13" t="s">
        <v>54</v>
      </c>
      <c r="K927" s="13" t="s">
        <v>44</v>
      </c>
      <c r="L927" s="13" t="s">
        <v>218</v>
      </c>
      <c r="M927" s="15" t="s">
        <v>1067</v>
      </c>
      <c r="N927" s="11" t="s">
        <v>2216</v>
      </c>
    </row>
    <row r="928" spans="1:14" ht="15.75" customHeight="1" x14ac:dyDescent="0.15">
      <c r="A928" s="6" t="s">
        <v>2326</v>
      </c>
      <c r="B928" s="6" t="s">
        <v>281</v>
      </c>
      <c r="C928" s="7" t="s">
        <v>2327</v>
      </c>
      <c r="D928" s="8" t="s">
        <v>17</v>
      </c>
      <c r="E928" s="16">
        <v>39379</v>
      </c>
      <c r="F928" s="8" t="s">
        <v>571</v>
      </c>
      <c r="G928" s="8" t="s">
        <v>93</v>
      </c>
      <c r="H928" s="8" t="s">
        <v>94</v>
      </c>
      <c r="I928" s="8" t="s">
        <v>95</v>
      </c>
      <c r="J928" s="8" t="s">
        <v>22</v>
      </c>
      <c r="K928" s="8" t="s">
        <v>23</v>
      </c>
      <c r="L928" s="8" t="s">
        <v>244</v>
      </c>
      <c r="M928" s="10" t="s">
        <v>219</v>
      </c>
      <c r="N928" s="11" t="s">
        <v>2216</v>
      </c>
    </row>
    <row r="929" spans="1:14" ht="15.75" customHeight="1" x14ac:dyDescent="0.15">
      <c r="A929" s="12" t="s">
        <v>2328</v>
      </c>
      <c r="B929" s="12" t="s">
        <v>285</v>
      </c>
      <c r="C929" s="7" t="s">
        <v>2329</v>
      </c>
      <c r="D929" s="13" t="s">
        <v>17</v>
      </c>
      <c r="E929" s="14">
        <v>30543</v>
      </c>
      <c r="F929" s="13" t="s">
        <v>2221</v>
      </c>
      <c r="G929" s="13" t="s">
        <v>1284</v>
      </c>
      <c r="H929" s="13" t="s">
        <v>68</v>
      </c>
      <c r="I929" s="13" t="s">
        <v>977</v>
      </c>
      <c r="J929" s="13" t="s">
        <v>22</v>
      </c>
      <c r="K929" s="13" t="s">
        <v>44</v>
      </c>
      <c r="L929" s="13" t="s">
        <v>35</v>
      </c>
      <c r="M929" s="15" t="s">
        <v>405</v>
      </c>
      <c r="N929" s="11" t="s">
        <v>2216</v>
      </c>
    </row>
    <row r="930" spans="1:14" ht="15.75" customHeight="1" x14ac:dyDescent="0.15">
      <c r="A930" s="6" t="s">
        <v>2330</v>
      </c>
      <c r="B930" s="6" t="s">
        <v>288</v>
      </c>
      <c r="C930" s="7" t="s">
        <v>2331</v>
      </c>
      <c r="D930" s="8" t="s">
        <v>107</v>
      </c>
      <c r="E930" s="16">
        <v>36479</v>
      </c>
      <c r="F930" s="8" t="s">
        <v>40</v>
      </c>
      <c r="G930" s="8" t="s">
        <v>67</v>
      </c>
      <c r="H930" s="8" t="s">
        <v>52</v>
      </c>
      <c r="I930" s="8" t="s">
        <v>342</v>
      </c>
      <c r="J930" s="8" t="s">
        <v>22</v>
      </c>
      <c r="K930" s="8" t="s">
        <v>23</v>
      </c>
      <c r="L930" s="8" t="s">
        <v>301</v>
      </c>
      <c r="M930" s="10" t="s">
        <v>85</v>
      </c>
      <c r="N930" s="11" t="s">
        <v>2216</v>
      </c>
    </row>
    <row r="931" spans="1:14" ht="15.75" customHeight="1" x14ac:dyDescent="0.15">
      <c r="A931" s="6" t="s">
        <v>2332</v>
      </c>
      <c r="B931" s="12" t="s">
        <v>291</v>
      </c>
      <c r="C931" s="7" t="s">
        <v>2333</v>
      </c>
      <c r="D931" s="13" t="s">
        <v>17</v>
      </c>
      <c r="E931" s="14">
        <v>37846</v>
      </c>
      <c r="F931" s="13" t="s">
        <v>186</v>
      </c>
      <c r="G931" s="13" t="s">
        <v>243</v>
      </c>
      <c r="H931" s="13" t="s">
        <v>2334</v>
      </c>
      <c r="I931" s="13" t="s">
        <v>2335</v>
      </c>
      <c r="J931" s="13" t="s">
        <v>54</v>
      </c>
      <c r="K931" s="13" t="s">
        <v>23</v>
      </c>
      <c r="L931" s="13" t="s">
        <v>1006</v>
      </c>
      <c r="M931" s="15" t="s">
        <v>1278</v>
      </c>
      <c r="N931" s="11" t="s">
        <v>2216</v>
      </c>
    </row>
    <row r="932" spans="1:14" ht="15.75" customHeight="1" x14ac:dyDescent="0.15">
      <c r="A932" s="12" t="s">
        <v>2336</v>
      </c>
      <c r="B932" s="6" t="s">
        <v>295</v>
      </c>
      <c r="C932" s="7" t="s">
        <v>2337</v>
      </c>
      <c r="D932" s="8" t="s">
        <v>39</v>
      </c>
      <c r="E932" s="9">
        <v>37393</v>
      </c>
      <c r="F932" s="8" t="s">
        <v>137</v>
      </c>
      <c r="G932" s="8" t="s">
        <v>31</v>
      </c>
      <c r="H932" s="8" t="s">
        <v>114</v>
      </c>
      <c r="I932" s="8" t="s">
        <v>192</v>
      </c>
      <c r="J932" s="8" t="s">
        <v>76</v>
      </c>
      <c r="K932" s="8" t="s">
        <v>44</v>
      </c>
      <c r="L932" s="8" t="s">
        <v>390</v>
      </c>
      <c r="M932" s="10" t="s">
        <v>474</v>
      </c>
      <c r="N932" s="11" t="s">
        <v>2216</v>
      </c>
    </row>
    <row r="933" spans="1:14" ht="15.75" customHeight="1" x14ac:dyDescent="0.15">
      <c r="A933" s="6" t="s">
        <v>2338</v>
      </c>
      <c r="B933" s="12" t="s">
        <v>299</v>
      </c>
      <c r="C933" s="7" t="s">
        <v>2339</v>
      </c>
      <c r="D933" s="13" t="s">
        <v>49</v>
      </c>
      <c r="E933" s="14">
        <v>38850</v>
      </c>
      <c r="F933" s="13" t="s">
        <v>170</v>
      </c>
      <c r="G933" s="13" t="s">
        <v>131</v>
      </c>
      <c r="H933" s="13" t="s">
        <v>102</v>
      </c>
      <c r="I933" s="13" t="s">
        <v>157</v>
      </c>
      <c r="J933" s="13" t="s">
        <v>54</v>
      </c>
      <c r="K933" s="13" t="s">
        <v>44</v>
      </c>
      <c r="L933" s="13" t="s">
        <v>301</v>
      </c>
      <c r="M933" s="15" t="s">
        <v>262</v>
      </c>
      <c r="N933" s="11" t="s">
        <v>2216</v>
      </c>
    </row>
    <row r="934" spans="1:14" ht="15.75" customHeight="1" x14ac:dyDescent="0.15">
      <c r="A934" s="12" t="s">
        <v>2340</v>
      </c>
      <c r="B934" s="6" t="s">
        <v>303</v>
      </c>
      <c r="C934" s="7" t="s">
        <v>2341</v>
      </c>
      <c r="D934" s="8" t="s">
        <v>49</v>
      </c>
      <c r="E934" s="9">
        <v>36635</v>
      </c>
      <c r="F934" s="8" t="s">
        <v>40</v>
      </c>
      <c r="G934" s="8" t="s">
        <v>41</v>
      </c>
      <c r="H934" s="8" t="s">
        <v>179</v>
      </c>
      <c r="I934" s="8" t="s">
        <v>385</v>
      </c>
      <c r="J934" s="8" t="s">
        <v>34</v>
      </c>
      <c r="K934" s="8" t="s">
        <v>44</v>
      </c>
      <c r="L934" s="8" t="s">
        <v>121</v>
      </c>
      <c r="M934" s="10" t="s">
        <v>628</v>
      </c>
      <c r="N934" s="11" t="s">
        <v>2216</v>
      </c>
    </row>
    <row r="935" spans="1:14" ht="15.75" customHeight="1" x14ac:dyDescent="0.15">
      <c r="A935" s="6" t="s">
        <v>2342</v>
      </c>
      <c r="B935" s="12" t="s">
        <v>306</v>
      </c>
      <c r="C935" s="7" t="s">
        <v>2343</v>
      </c>
      <c r="D935" s="13" t="s">
        <v>39</v>
      </c>
      <c r="E935" s="14">
        <v>37307</v>
      </c>
      <c r="F935" s="13" t="s">
        <v>137</v>
      </c>
      <c r="G935" s="13" t="s">
        <v>93</v>
      </c>
      <c r="H935" s="13" t="s">
        <v>139</v>
      </c>
      <c r="I935" s="13" t="s">
        <v>140</v>
      </c>
      <c r="J935" s="13" t="s">
        <v>54</v>
      </c>
      <c r="K935" s="13" t="s">
        <v>23</v>
      </c>
      <c r="L935" s="13" t="s">
        <v>214</v>
      </c>
      <c r="M935" s="15" t="s">
        <v>219</v>
      </c>
      <c r="N935" s="11" t="s">
        <v>2216</v>
      </c>
    </row>
    <row r="936" spans="1:14" ht="15.75" customHeight="1" x14ac:dyDescent="0.15">
      <c r="A936" s="6" t="s">
        <v>2344</v>
      </c>
      <c r="B936" s="6" t="s">
        <v>308</v>
      </c>
      <c r="C936" s="7" t="s">
        <v>2345</v>
      </c>
      <c r="D936" s="8" t="s">
        <v>107</v>
      </c>
      <c r="E936" s="9">
        <v>38955</v>
      </c>
      <c r="F936" s="8" t="s">
        <v>170</v>
      </c>
      <c r="G936" s="8" t="s">
        <v>131</v>
      </c>
      <c r="H936" s="8" t="s">
        <v>196</v>
      </c>
      <c r="I936" s="8" t="s">
        <v>157</v>
      </c>
      <c r="J936" s="8" t="s">
        <v>22</v>
      </c>
      <c r="K936" s="8" t="s">
        <v>77</v>
      </c>
      <c r="L936" s="8" t="s">
        <v>244</v>
      </c>
      <c r="M936" s="10" t="s">
        <v>2346</v>
      </c>
      <c r="N936" s="11" t="s">
        <v>2216</v>
      </c>
    </row>
    <row r="937" spans="1:14" ht="15.75" customHeight="1" x14ac:dyDescent="0.15">
      <c r="A937" s="12" t="s">
        <v>2347</v>
      </c>
      <c r="B937" s="12" t="s">
        <v>311</v>
      </c>
      <c r="C937" s="7" t="s">
        <v>2348</v>
      </c>
      <c r="D937" s="13" t="s">
        <v>39</v>
      </c>
      <c r="E937" s="14">
        <v>35407</v>
      </c>
      <c r="F937" s="13" t="s">
        <v>148</v>
      </c>
      <c r="G937" s="13" t="s">
        <v>204</v>
      </c>
      <c r="H937" s="13" t="s">
        <v>139</v>
      </c>
      <c r="I937" s="13" t="s">
        <v>385</v>
      </c>
      <c r="J937" s="13" t="s">
        <v>54</v>
      </c>
      <c r="K937" s="13" t="s">
        <v>44</v>
      </c>
      <c r="L937" s="13" t="s">
        <v>78</v>
      </c>
      <c r="M937" s="15" t="s">
        <v>302</v>
      </c>
      <c r="N937" s="11" t="s">
        <v>2216</v>
      </c>
    </row>
    <row r="938" spans="1:14" ht="15.75" customHeight="1" x14ac:dyDescent="0.15">
      <c r="A938" s="6" t="s">
        <v>2349</v>
      </c>
      <c r="B938" s="6" t="s">
        <v>334</v>
      </c>
      <c r="C938" s="7" t="s">
        <v>2350</v>
      </c>
      <c r="D938" s="8" t="s">
        <v>107</v>
      </c>
      <c r="E938" s="9">
        <v>37636</v>
      </c>
      <c r="F938" s="8" t="s">
        <v>186</v>
      </c>
      <c r="G938" s="8" t="s">
        <v>31</v>
      </c>
      <c r="H938" s="8" t="s">
        <v>52</v>
      </c>
      <c r="I938" s="8" t="s">
        <v>149</v>
      </c>
      <c r="J938" s="8" t="s">
        <v>76</v>
      </c>
      <c r="K938" s="8" t="s">
        <v>44</v>
      </c>
      <c r="L938" s="8" t="s">
        <v>244</v>
      </c>
      <c r="M938" s="10" t="s">
        <v>461</v>
      </c>
      <c r="N938" s="11" t="s">
        <v>2216</v>
      </c>
    </row>
    <row r="939" spans="1:14" ht="15.75" customHeight="1" x14ac:dyDescent="0.15">
      <c r="A939" s="12" t="s">
        <v>2351</v>
      </c>
      <c r="B939" s="12" t="s">
        <v>339</v>
      </c>
      <c r="C939" s="7" t="s">
        <v>2352</v>
      </c>
      <c r="D939" s="13" t="s">
        <v>107</v>
      </c>
      <c r="E939" s="14">
        <v>37800</v>
      </c>
      <c r="F939" s="13" t="s">
        <v>186</v>
      </c>
      <c r="G939" s="13" t="s">
        <v>243</v>
      </c>
      <c r="H939" s="13" t="s">
        <v>114</v>
      </c>
      <c r="I939" s="13" t="s">
        <v>213</v>
      </c>
      <c r="J939" s="13" t="s">
        <v>54</v>
      </c>
      <c r="K939" s="13" t="s">
        <v>77</v>
      </c>
      <c r="L939" s="13" t="s">
        <v>84</v>
      </c>
      <c r="M939" s="15" t="s">
        <v>956</v>
      </c>
      <c r="N939" s="11" t="s">
        <v>2216</v>
      </c>
    </row>
    <row r="940" spans="1:14" ht="15.75" customHeight="1" x14ac:dyDescent="0.15">
      <c r="A940" s="6" t="s">
        <v>2353</v>
      </c>
      <c r="B940" s="6" t="s">
        <v>346</v>
      </c>
      <c r="C940" s="7" t="s">
        <v>2354</v>
      </c>
      <c r="D940" s="8" t="s">
        <v>39</v>
      </c>
      <c r="E940" s="9">
        <v>35569</v>
      </c>
      <c r="F940" s="8" t="s">
        <v>148</v>
      </c>
      <c r="G940" s="8" t="s">
        <v>93</v>
      </c>
      <c r="H940" s="8" t="s">
        <v>144</v>
      </c>
      <c r="I940" s="8" t="s">
        <v>192</v>
      </c>
      <c r="J940" s="8" t="s">
        <v>150</v>
      </c>
      <c r="K940" s="8" t="s">
        <v>77</v>
      </c>
      <c r="L940" s="8" t="s">
        <v>751</v>
      </c>
      <c r="M940" s="10" t="s">
        <v>716</v>
      </c>
      <c r="N940" s="11" t="s">
        <v>2216</v>
      </c>
    </row>
    <row r="941" spans="1:14" ht="15.75" customHeight="1" x14ac:dyDescent="0.15">
      <c r="A941" s="6" t="s">
        <v>2355</v>
      </c>
      <c r="B941" s="12" t="s">
        <v>354</v>
      </c>
      <c r="C941" s="7" t="s">
        <v>2356</v>
      </c>
      <c r="D941" s="13" t="s">
        <v>107</v>
      </c>
      <c r="E941" s="14">
        <v>37661</v>
      </c>
      <c r="F941" s="13" t="s">
        <v>186</v>
      </c>
      <c r="G941" s="13" t="s">
        <v>131</v>
      </c>
      <c r="H941" s="13" t="s">
        <v>156</v>
      </c>
      <c r="I941" s="13" t="s">
        <v>33</v>
      </c>
      <c r="J941" s="13" t="s">
        <v>76</v>
      </c>
      <c r="K941" s="13" t="s">
        <v>77</v>
      </c>
      <c r="L941" s="13" t="s">
        <v>128</v>
      </c>
      <c r="M941" s="15" t="s">
        <v>628</v>
      </c>
      <c r="N941" s="11" t="s">
        <v>2216</v>
      </c>
    </row>
    <row r="942" spans="1:14" ht="15.75" customHeight="1" x14ac:dyDescent="0.15">
      <c r="A942" s="12" t="s">
        <v>2357</v>
      </c>
      <c r="B942" s="6" t="s">
        <v>400</v>
      </c>
      <c r="C942" s="7" t="s">
        <v>2358</v>
      </c>
      <c r="D942" s="8" t="s">
        <v>107</v>
      </c>
      <c r="E942" s="9">
        <v>36186</v>
      </c>
      <c r="F942" s="8" t="s">
        <v>30</v>
      </c>
      <c r="G942" s="8" t="s">
        <v>204</v>
      </c>
      <c r="H942" s="8" t="s">
        <v>102</v>
      </c>
      <c r="I942" s="8" t="s">
        <v>103</v>
      </c>
      <c r="J942" s="8" t="s">
        <v>22</v>
      </c>
      <c r="K942" s="8" t="s">
        <v>77</v>
      </c>
      <c r="L942" s="8" t="s">
        <v>404</v>
      </c>
      <c r="M942" s="10" t="s">
        <v>461</v>
      </c>
      <c r="N942" s="11" t="s">
        <v>2216</v>
      </c>
    </row>
    <row r="943" spans="1:14" ht="15.75" customHeight="1" x14ac:dyDescent="0.15">
      <c r="A943" s="6" t="s">
        <v>2359</v>
      </c>
      <c r="B943" s="12" t="s">
        <v>335</v>
      </c>
      <c r="C943" s="7" t="s">
        <v>2360</v>
      </c>
      <c r="D943" s="13" t="s">
        <v>17</v>
      </c>
      <c r="E943" s="14">
        <v>37107</v>
      </c>
      <c r="F943" s="13" t="s">
        <v>203</v>
      </c>
      <c r="G943" s="13" t="s">
        <v>138</v>
      </c>
      <c r="H943" s="13" t="s">
        <v>437</v>
      </c>
      <c r="I943" s="13" t="s">
        <v>692</v>
      </c>
      <c r="J943" s="13" t="s">
        <v>54</v>
      </c>
      <c r="K943" s="13" t="s">
        <v>44</v>
      </c>
      <c r="L943" s="13" t="s">
        <v>121</v>
      </c>
      <c r="M943" s="15" t="s">
        <v>464</v>
      </c>
      <c r="N943" s="11" t="s">
        <v>2216</v>
      </c>
    </row>
    <row r="944" spans="1:14" ht="15.75" customHeight="1" x14ac:dyDescent="0.15">
      <c r="A944" s="12" t="s">
        <v>2361</v>
      </c>
      <c r="B944" s="6" t="s">
        <v>452</v>
      </c>
      <c r="C944" s="7" t="s">
        <v>2362</v>
      </c>
      <c r="D944" s="8" t="s">
        <v>17</v>
      </c>
      <c r="E944" s="16">
        <v>39397</v>
      </c>
      <c r="F944" s="8" t="s">
        <v>571</v>
      </c>
      <c r="G944" s="8" t="s">
        <v>93</v>
      </c>
      <c r="H944" s="8" t="s">
        <v>114</v>
      </c>
      <c r="I944" s="8" t="s">
        <v>157</v>
      </c>
      <c r="J944" s="8" t="s">
        <v>22</v>
      </c>
      <c r="K944" s="8" t="s">
        <v>23</v>
      </c>
      <c r="L944" s="8" t="s">
        <v>244</v>
      </c>
      <c r="M944" s="10" t="s">
        <v>2346</v>
      </c>
      <c r="N944" s="11" t="s">
        <v>2216</v>
      </c>
    </row>
    <row r="945" spans="1:14" ht="15.75" customHeight="1" x14ac:dyDescent="0.15">
      <c r="A945" s="6" t="s">
        <v>2363</v>
      </c>
      <c r="B945" s="12" t="s">
        <v>454</v>
      </c>
      <c r="C945" s="7" t="s">
        <v>2364</v>
      </c>
      <c r="D945" s="13" t="s">
        <v>17</v>
      </c>
      <c r="E945" s="14">
        <v>39330</v>
      </c>
      <c r="F945" s="13" t="s">
        <v>232</v>
      </c>
      <c r="G945" s="13" t="s">
        <v>93</v>
      </c>
      <c r="H945" s="13" t="s">
        <v>94</v>
      </c>
      <c r="I945" s="13" t="s">
        <v>21</v>
      </c>
      <c r="J945" s="13" t="s">
        <v>76</v>
      </c>
      <c r="K945" s="13" t="s">
        <v>44</v>
      </c>
      <c r="L945" s="13" t="s">
        <v>78</v>
      </c>
      <c r="M945" s="15" t="s">
        <v>2346</v>
      </c>
      <c r="N945" s="11" t="s">
        <v>2216</v>
      </c>
    </row>
    <row r="946" spans="1:14" ht="15.75" customHeight="1" x14ac:dyDescent="0.15">
      <c r="A946" s="6" t="s">
        <v>2365</v>
      </c>
      <c r="B946" s="6" t="s">
        <v>456</v>
      </c>
      <c r="C946" s="7" t="s">
        <v>2366</v>
      </c>
      <c r="D946" s="8" t="s">
        <v>49</v>
      </c>
      <c r="E946" s="9">
        <v>38429</v>
      </c>
      <c r="F946" s="8" t="s">
        <v>217</v>
      </c>
      <c r="G946" s="8" t="s">
        <v>41</v>
      </c>
      <c r="H946" s="8" t="s">
        <v>139</v>
      </c>
      <c r="I946" s="8" t="s">
        <v>157</v>
      </c>
      <c r="J946" s="8" t="s">
        <v>54</v>
      </c>
      <c r="K946" s="8" t="s">
        <v>44</v>
      </c>
      <c r="L946" s="8" t="s">
        <v>55</v>
      </c>
      <c r="M946" s="10" t="s">
        <v>262</v>
      </c>
      <c r="N946" s="11" t="s">
        <v>2216</v>
      </c>
    </row>
    <row r="947" spans="1:14" ht="15.75" customHeight="1" x14ac:dyDescent="0.15">
      <c r="A947" s="12" t="s">
        <v>2367</v>
      </c>
      <c r="B947" s="12" t="s">
        <v>459</v>
      </c>
      <c r="C947" s="7" t="s">
        <v>2368</v>
      </c>
      <c r="D947" s="13" t="s">
        <v>107</v>
      </c>
      <c r="E947" s="14">
        <v>36922</v>
      </c>
      <c r="F947" s="13" t="s">
        <v>203</v>
      </c>
      <c r="G947" s="13" t="s">
        <v>204</v>
      </c>
      <c r="H947" s="13" t="s">
        <v>94</v>
      </c>
      <c r="I947" s="13" t="s">
        <v>33</v>
      </c>
      <c r="J947" s="13" t="s">
        <v>76</v>
      </c>
      <c r="K947" s="13" t="s">
        <v>44</v>
      </c>
      <c r="L947" s="13" t="s">
        <v>301</v>
      </c>
      <c r="M947" s="15" t="s">
        <v>274</v>
      </c>
      <c r="N947" s="11" t="s">
        <v>2216</v>
      </c>
    </row>
    <row r="948" spans="1:14" ht="15.75" customHeight="1" x14ac:dyDescent="0.15">
      <c r="A948" s="6" t="s">
        <v>2369</v>
      </c>
      <c r="B948" s="6" t="s">
        <v>462</v>
      </c>
      <c r="C948" s="7" t="s">
        <v>2370</v>
      </c>
      <c r="D948" s="8" t="s">
        <v>107</v>
      </c>
      <c r="E948" s="9">
        <v>35198</v>
      </c>
      <c r="F948" s="8" t="s">
        <v>66</v>
      </c>
      <c r="G948" s="8" t="s">
        <v>31</v>
      </c>
      <c r="H948" s="8" t="s">
        <v>20</v>
      </c>
      <c r="I948" s="8" t="s">
        <v>95</v>
      </c>
      <c r="J948" s="8" t="s">
        <v>76</v>
      </c>
      <c r="K948" s="8" t="s">
        <v>77</v>
      </c>
      <c r="L948" s="8" t="s">
        <v>24</v>
      </c>
      <c r="M948" s="10" t="s">
        <v>956</v>
      </c>
      <c r="N948" s="11" t="s">
        <v>2216</v>
      </c>
    </row>
    <row r="949" spans="1:14" ht="15.75" customHeight="1" x14ac:dyDescent="0.15">
      <c r="A949" s="12" t="s">
        <v>2371</v>
      </c>
      <c r="B949" s="12" t="s">
        <v>465</v>
      </c>
      <c r="C949" s="7" t="s">
        <v>2372</v>
      </c>
      <c r="D949" s="13" t="s">
        <v>39</v>
      </c>
      <c r="E949" s="17">
        <v>36518</v>
      </c>
      <c r="F949" s="13" t="s">
        <v>40</v>
      </c>
      <c r="G949" s="13" t="s">
        <v>138</v>
      </c>
      <c r="H949" s="13" t="s">
        <v>156</v>
      </c>
      <c r="I949" s="13" t="s">
        <v>127</v>
      </c>
      <c r="J949" s="13" t="s">
        <v>54</v>
      </c>
      <c r="K949" s="13" t="s">
        <v>44</v>
      </c>
      <c r="L949" s="13" t="s">
        <v>110</v>
      </c>
      <c r="M949" s="15" t="s">
        <v>441</v>
      </c>
      <c r="N949" s="11" t="s">
        <v>2216</v>
      </c>
    </row>
    <row r="950" spans="1:14" ht="15.75" customHeight="1" x14ac:dyDescent="0.15">
      <c r="A950" s="6" t="s">
        <v>2373</v>
      </c>
      <c r="B950" s="6" t="s">
        <v>468</v>
      </c>
      <c r="C950" s="7" t="s">
        <v>2374</v>
      </c>
      <c r="D950" s="8" t="s">
        <v>107</v>
      </c>
      <c r="E950" s="9">
        <v>36265</v>
      </c>
      <c r="F950" s="8" t="s">
        <v>30</v>
      </c>
      <c r="G950" s="8" t="s">
        <v>138</v>
      </c>
      <c r="H950" s="8" t="s">
        <v>108</v>
      </c>
      <c r="I950" s="8" t="s">
        <v>414</v>
      </c>
      <c r="J950" s="8" t="s">
        <v>54</v>
      </c>
      <c r="K950" s="8" t="s">
        <v>44</v>
      </c>
      <c r="L950" s="8" t="s">
        <v>310</v>
      </c>
      <c r="M950" s="10" t="s">
        <v>467</v>
      </c>
      <c r="N950" s="11" t="s">
        <v>2216</v>
      </c>
    </row>
    <row r="951" spans="1:14" ht="15.75" customHeight="1" x14ac:dyDescent="0.15">
      <c r="A951" s="6" t="s">
        <v>2375</v>
      </c>
      <c r="B951" s="12" t="s">
        <v>472</v>
      </c>
      <c r="C951" s="7" t="s">
        <v>2376</v>
      </c>
      <c r="D951" s="13" t="s">
        <v>107</v>
      </c>
      <c r="E951" s="14">
        <v>37696</v>
      </c>
      <c r="F951" s="13" t="s">
        <v>186</v>
      </c>
      <c r="G951" s="13" t="s">
        <v>93</v>
      </c>
      <c r="H951" s="13" t="s">
        <v>32</v>
      </c>
      <c r="I951" s="13" t="s">
        <v>127</v>
      </c>
      <c r="J951" s="13" t="s">
        <v>22</v>
      </c>
      <c r="K951" s="13" t="s">
        <v>23</v>
      </c>
      <c r="L951" s="13" t="s">
        <v>390</v>
      </c>
      <c r="M951" s="15" t="s">
        <v>628</v>
      </c>
      <c r="N951" s="11" t="s">
        <v>2216</v>
      </c>
    </row>
    <row r="952" spans="1:14" ht="15.75" customHeight="1" x14ac:dyDescent="0.15">
      <c r="A952" s="12" t="s">
        <v>2377</v>
      </c>
      <c r="B952" s="6" t="s">
        <v>475</v>
      </c>
      <c r="C952" s="7" t="s">
        <v>2378</v>
      </c>
      <c r="D952" s="8" t="s">
        <v>17</v>
      </c>
      <c r="E952" s="9">
        <v>36763</v>
      </c>
      <c r="F952" s="8" t="s">
        <v>40</v>
      </c>
      <c r="G952" s="8" t="s">
        <v>131</v>
      </c>
      <c r="H952" s="8" t="s">
        <v>32</v>
      </c>
      <c r="I952" s="8" t="s">
        <v>149</v>
      </c>
      <c r="J952" s="8" t="s">
        <v>22</v>
      </c>
      <c r="K952" s="8" t="s">
        <v>23</v>
      </c>
      <c r="L952" s="8" t="s">
        <v>494</v>
      </c>
      <c r="M952" s="10" t="s">
        <v>219</v>
      </c>
      <c r="N952" s="11" t="s">
        <v>2216</v>
      </c>
    </row>
    <row r="953" spans="1:14" ht="15.75" customHeight="1" x14ac:dyDescent="0.15">
      <c r="A953" s="6" t="s">
        <v>2379</v>
      </c>
      <c r="B953" s="12" t="s">
        <v>340</v>
      </c>
      <c r="C953" s="7" t="s">
        <v>2380</v>
      </c>
      <c r="D953" s="13" t="s">
        <v>49</v>
      </c>
      <c r="E953" s="14">
        <v>36779</v>
      </c>
      <c r="F953" s="13" t="s">
        <v>203</v>
      </c>
      <c r="G953" s="13" t="s">
        <v>19</v>
      </c>
      <c r="H953" s="13" t="s">
        <v>82</v>
      </c>
      <c r="I953" s="13" t="s">
        <v>213</v>
      </c>
      <c r="J953" s="13" t="s">
        <v>22</v>
      </c>
      <c r="K953" s="13" t="s">
        <v>44</v>
      </c>
      <c r="L953" s="13" t="s">
        <v>78</v>
      </c>
      <c r="M953" s="15" t="s">
        <v>36</v>
      </c>
      <c r="N953" s="11" t="s">
        <v>2216</v>
      </c>
    </row>
    <row r="954" spans="1:14" ht="15.75" customHeight="1" x14ac:dyDescent="0.15">
      <c r="A954" s="12" t="s">
        <v>2381</v>
      </c>
      <c r="B954" s="6" t="s">
        <v>344</v>
      </c>
      <c r="C954" s="7" t="s">
        <v>2382</v>
      </c>
      <c r="D954" s="8" t="s">
        <v>107</v>
      </c>
      <c r="E954" s="9">
        <v>36623</v>
      </c>
      <c r="F954" s="8" t="s">
        <v>40</v>
      </c>
      <c r="G954" s="8" t="s">
        <v>41</v>
      </c>
      <c r="H954" s="8" t="s">
        <v>94</v>
      </c>
      <c r="I954" s="8" t="s">
        <v>149</v>
      </c>
      <c r="J954" s="8" t="s">
        <v>54</v>
      </c>
      <c r="K954" s="8" t="s">
        <v>23</v>
      </c>
      <c r="L954" s="8" t="s">
        <v>297</v>
      </c>
      <c r="M954" s="10" t="s">
        <v>628</v>
      </c>
      <c r="N954" s="11" t="s">
        <v>2216</v>
      </c>
    </row>
    <row r="955" spans="1:14" ht="15.75" customHeight="1" x14ac:dyDescent="0.15">
      <c r="A955" s="6" t="s">
        <v>2383</v>
      </c>
      <c r="B955" s="12" t="s">
        <v>481</v>
      </c>
      <c r="C955" s="7" t="s">
        <v>2384</v>
      </c>
      <c r="D955" s="13" t="s">
        <v>107</v>
      </c>
      <c r="E955" s="17">
        <v>39365</v>
      </c>
      <c r="F955" s="13" t="s">
        <v>571</v>
      </c>
      <c r="G955" s="13" t="s">
        <v>93</v>
      </c>
      <c r="H955" s="13" t="s">
        <v>102</v>
      </c>
      <c r="I955" s="13" t="s">
        <v>95</v>
      </c>
      <c r="J955" s="13" t="s">
        <v>54</v>
      </c>
      <c r="K955" s="13" t="s">
        <v>77</v>
      </c>
      <c r="L955" s="13" t="s">
        <v>45</v>
      </c>
      <c r="M955" s="15" t="s">
        <v>2346</v>
      </c>
      <c r="N955" s="11" t="s">
        <v>2216</v>
      </c>
    </row>
    <row r="956" spans="1:14" ht="15.75" customHeight="1" x14ac:dyDescent="0.15">
      <c r="A956" s="6" t="s">
        <v>2385</v>
      </c>
      <c r="B956" s="6" t="s">
        <v>355</v>
      </c>
      <c r="C956" s="7" t="s">
        <v>2386</v>
      </c>
      <c r="D956" s="8" t="s">
        <v>107</v>
      </c>
      <c r="E956" s="9">
        <v>37054</v>
      </c>
      <c r="F956" s="8" t="s">
        <v>203</v>
      </c>
      <c r="G956" s="8" t="s">
        <v>138</v>
      </c>
      <c r="H956" s="8" t="s">
        <v>535</v>
      </c>
      <c r="I956" s="8" t="s">
        <v>197</v>
      </c>
      <c r="J956" s="8" t="s">
        <v>150</v>
      </c>
      <c r="K956" s="8" t="s">
        <v>77</v>
      </c>
      <c r="L956" s="8" t="s">
        <v>1830</v>
      </c>
      <c r="M956" s="10" t="s">
        <v>628</v>
      </c>
      <c r="N956" s="11" t="s">
        <v>2216</v>
      </c>
    </row>
    <row r="957" spans="1:14" ht="15.75" customHeight="1" x14ac:dyDescent="0.15">
      <c r="A957" s="12" t="s">
        <v>2387</v>
      </c>
      <c r="B957" s="12" t="s">
        <v>484</v>
      </c>
      <c r="C957" s="7" t="s">
        <v>2388</v>
      </c>
      <c r="D957" s="13" t="s">
        <v>17</v>
      </c>
      <c r="E957" s="14">
        <v>38080</v>
      </c>
      <c r="F957" s="13" t="s">
        <v>92</v>
      </c>
      <c r="G957" s="13" t="s">
        <v>138</v>
      </c>
      <c r="H957" s="13" t="s">
        <v>108</v>
      </c>
      <c r="I957" s="13" t="s">
        <v>43</v>
      </c>
      <c r="J957" s="13" t="s">
        <v>22</v>
      </c>
      <c r="K957" s="13" t="s">
        <v>44</v>
      </c>
      <c r="L957" s="13" t="s">
        <v>479</v>
      </c>
      <c r="M957" s="15" t="s">
        <v>2346</v>
      </c>
      <c r="N957" s="11" t="s">
        <v>2216</v>
      </c>
    </row>
    <row r="958" spans="1:14" ht="15.75" customHeight="1" x14ac:dyDescent="0.15">
      <c r="A958" s="6" t="s">
        <v>2389</v>
      </c>
      <c r="B958" s="6" t="s">
        <v>491</v>
      </c>
      <c r="C958" s="7" t="s">
        <v>2390</v>
      </c>
      <c r="D958" s="8" t="s">
        <v>107</v>
      </c>
      <c r="E958" s="9">
        <v>37726</v>
      </c>
      <c r="F958" s="8" t="s">
        <v>186</v>
      </c>
      <c r="G958" s="8" t="s">
        <v>93</v>
      </c>
      <c r="H958" s="8" t="s">
        <v>20</v>
      </c>
      <c r="I958" s="8" t="s">
        <v>33</v>
      </c>
      <c r="J958" s="8" t="s">
        <v>76</v>
      </c>
      <c r="K958" s="8" t="s">
        <v>77</v>
      </c>
      <c r="L958" s="8" t="s">
        <v>297</v>
      </c>
      <c r="M958" s="10" t="s">
        <v>628</v>
      </c>
      <c r="N958" s="11" t="s">
        <v>2216</v>
      </c>
    </row>
    <row r="959" spans="1:14" ht="15.75" customHeight="1" x14ac:dyDescent="0.15">
      <c r="A959" s="12" t="s">
        <v>2391</v>
      </c>
      <c r="B959" s="12" t="s">
        <v>359</v>
      </c>
      <c r="C959" s="7" t="s">
        <v>2392</v>
      </c>
      <c r="D959" s="13" t="s">
        <v>107</v>
      </c>
      <c r="E959" s="14">
        <v>38445</v>
      </c>
      <c r="F959" s="13" t="s">
        <v>217</v>
      </c>
      <c r="G959" s="13" t="s">
        <v>138</v>
      </c>
      <c r="H959" s="13" t="s">
        <v>196</v>
      </c>
      <c r="I959" s="13" t="s">
        <v>261</v>
      </c>
      <c r="J959" s="13" t="s">
        <v>54</v>
      </c>
      <c r="K959" s="13" t="s">
        <v>77</v>
      </c>
      <c r="L959" s="13" t="s">
        <v>128</v>
      </c>
      <c r="M959" s="15" t="s">
        <v>2346</v>
      </c>
      <c r="N959" s="11" t="s">
        <v>2216</v>
      </c>
    </row>
    <row r="960" spans="1:14" ht="15.75" customHeight="1" x14ac:dyDescent="0.15">
      <c r="A960" s="6" t="s">
        <v>2393</v>
      </c>
      <c r="B960" s="6" t="s">
        <v>364</v>
      </c>
      <c r="C960" s="7" t="s">
        <v>2394</v>
      </c>
      <c r="D960" s="8" t="s">
        <v>17</v>
      </c>
      <c r="E960" s="9">
        <v>37866</v>
      </c>
      <c r="F960" s="8" t="s">
        <v>186</v>
      </c>
      <c r="G960" s="8" t="s">
        <v>138</v>
      </c>
      <c r="H960" s="8" t="s">
        <v>179</v>
      </c>
      <c r="I960" s="8" t="s">
        <v>33</v>
      </c>
      <c r="J960" s="8" t="s">
        <v>54</v>
      </c>
      <c r="K960" s="8" t="s">
        <v>23</v>
      </c>
      <c r="L960" s="8" t="s">
        <v>45</v>
      </c>
      <c r="M960" s="10" t="s">
        <v>1270</v>
      </c>
      <c r="N960" s="11" t="s">
        <v>2216</v>
      </c>
    </row>
    <row r="961" spans="1:14" ht="15.75" customHeight="1" x14ac:dyDescent="0.15">
      <c r="A961" s="6" t="s">
        <v>2395</v>
      </c>
      <c r="B961" s="12" t="s">
        <v>498</v>
      </c>
      <c r="C961" s="7" t="s">
        <v>2396</v>
      </c>
      <c r="D961" s="13" t="s">
        <v>107</v>
      </c>
      <c r="E961" s="14">
        <v>38447</v>
      </c>
      <c r="F961" s="13" t="s">
        <v>217</v>
      </c>
      <c r="G961" s="13" t="s">
        <v>138</v>
      </c>
      <c r="H961" s="13" t="s">
        <v>88</v>
      </c>
      <c r="I961" s="13" t="s">
        <v>192</v>
      </c>
      <c r="J961" s="13" t="s">
        <v>22</v>
      </c>
      <c r="K961" s="13" t="s">
        <v>44</v>
      </c>
      <c r="L961" s="13" t="s">
        <v>390</v>
      </c>
      <c r="M961" s="15" t="s">
        <v>2346</v>
      </c>
      <c r="N961" s="11" t="s">
        <v>2216</v>
      </c>
    </row>
    <row r="962" spans="1:14" ht="15.75" customHeight="1" x14ac:dyDescent="0.15">
      <c r="A962" s="12" t="s">
        <v>2397</v>
      </c>
      <c r="B962" s="6" t="s">
        <v>367</v>
      </c>
      <c r="C962" s="7" t="s">
        <v>2398</v>
      </c>
      <c r="D962" s="8" t="s">
        <v>39</v>
      </c>
      <c r="E962" s="9">
        <v>38815</v>
      </c>
      <c r="F962" s="8" t="s">
        <v>170</v>
      </c>
      <c r="G962" s="8" t="s">
        <v>131</v>
      </c>
      <c r="H962" s="8" t="s">
        <v>94</v>
      </c>
      <c r="I962" s="8" t="s">
        <v>414</v>
      </c>
      <c r="J962" s="8" t="s">
        <v>54</v>
      </c>
      <c r="K962" s="8" t="s">
        <v>44</v>
      </c>
      <c r="L962" s="8" t="s">
        <v>297</v>
      </c>
      <c r="M962" s="10" t="s">
        <v>2346</v>
      </c>
      <c r="N962" s="11" t="s">
        <v>2216</v>
      </c>
    </row>
    <row r="963" spans="1:14" ht="15.75" customHeight="1" x14ac:dyDescent="0.15">
      <c r="A963" s="6" t="s">
        <v>2399</v>
      </c>
      <c r="B963" s="12" t="s">
        <v>375</v>
      </c>
      <c r="C963" s="7" t="s">
        <v>2400</v>
      </c>
      <c r="D963" s="13" t="s">
        <v>107</v>
      </c>
      <c r="E963" s="17">
        <v>37579</v>
      </c>
      <c r="F963" s="13" t="s">
        <v>186</v>
      </c>
      <c r="G963" s="13" t="s">
        <v>93</v>
      </c>
      <c r="H963" s="13" t="s">
        <v>94</v>
      </c>
      <c r="I963" s="13" t="s">
        <v>95</v>
      </c>
      <c r="J963" s="13" t="s">
        <v>22</v>
      </c>
      <c r="K963" s="13" t="s">
        <v>23</v>
      </c>
      <c r="L963" s="13" t="s">
        <v>45</v>
      </c>
      <c r="M963" s="15" t="s">
        <v>628</v>
      </c>
      <c r="N963" s="11" t="s">
        <v>2216</v>
      </c>
    </row>
    <row r="964" spans="1:14" ht="15.75" customHeight="1" x14ac:dyDescent="0.15">
      <c r="A964" s="12" t="s">
        <v>2401</v>
      </c>
      <c r="B964" s="6" t="s">
        <v>504</v>
      </c>
      <c r="C964" s="7" t="s">
        <v>2402</v>
      </c>
      <c r="D964" s="8" t="s">
        <v>39</v>
      </c>
      <c r="E964" s="9">
        <v>37656</v>
      </c>
      <c r="F964" s="8" t="s">
        <v>186</v>
      </c>
      <c r="G964" s="8" t="s">
        <v>93</v>
      </c>
      <c r="H964" s="8" t="s">
        <v>1179</v>
      </c>
      <c r="I964" s="8" t="s">
        <v>2207</v>
      </c>
      <c r="J964" s="8" t="s">
        <v>22</v>
      </c>
      <c r="K964" s="8" t="s">
        <v>44</v>
      </c>
      <c r="L964" s="8" t="s">
        <v>297</v>
      </c>
      <c r="M964" s="10" t="s">
        <v>628</v>
      </c>
      <c r="N964" s="11" t="s">
        <v>2216</v>
      </c>
    </row>
    <row r="965" spans="1:14" ht="15.75" customHeight="1" x14ac:dyDescent="0.15">
      <c r="A965" s="6" t="s">
        <v>2403</v>
      </c>
      <c r="B965" s="12" t="s">
        <v>507</v>
      </c>
      <c r="C965" s="7" t="s">
        <v>2404</v>
      </c>
      <c r="D965" s="13" t="s">
        <v>107</v>
      </c>
      <c r="E965" s="14">
        <v>35005</v>
      </c>
      <c r="F965" s="13" t="s">
        <v>66</v>
      </c>
      <c r="G965" s="13" t="s">
        <v>67</v>
      </c>
      <c r="H965" s="13" t="s">
        <v>88</v>
      </c>
      <c r="I965" s="13" t="s">
        <v>192</v>
      </c>
      <c r="J965" s="13" t="s">
        <v>22</v>
      </c>
      <c r="K965" s="13" t="s">
        <v>44</v>
      </c>
      <c r="L965" s="13" t="s">
        <v>165</v>
      </c>
      <c r="M965" s="15" t="s">
        <v>36</v>
      </c>
      <c r="N965" s="11" t="s">
        <v>2216</v>
      </c>
    </row>
    <row r="966" spans="1:14" ht="15.75" customHeight="1" x14ac:dyDescent="0.15">
      <c r="A966" s="6" t="s">
        <v>2405</v>
      </c>
      <c r="B966" s="6" t="s">
        <v>509</v>
      </c>
      <c r="C966" s="7" t="s">
        <v>2406</v>
      </c>
      <c r="D966" s="8" t="s">
        <v>39</v>
      </c>
      <c r="E966" s="9">
        <v>38928</v>
      </c>
      <c r="F966" s="8" t="s">
        <v>170</v>
      </c>
      <c r="G966" s="8" t="s">
        <v>131</v>
      </c>
      <c r="H966" s="8" t="s">
        <v>132</v>
      </c>
      <c r="I966" s="8" t="s">
        <v>83</v>
      </c>
      <c r="J966" s="8" t="s">
        <v>54</v>
      </c>
      <c r="K966" s="8" t="s">
        <v>294</v>
      </c>
      <c r="L966" s="8" t="s">
        <v>128</v>
      </c>
      <c r="M966" s="10" t="s">
        <v>2346</v>
      </c>
      <c r="N966" s="11" t="s">
        <v>2216</v>
      </c>
    </row>
    <row r="967" spans="1:14" ht="15.75" customHeight="1" x14ac:dyDescent="0.15">
      <c r="A967" s="12" t="s">
        <v>2407</v>
      </c>
      <c r="B967" s="12" t="s">
        <v>512</v>
      </c>
      <c r="C967" s="7" t="s">
        <v>2408</v>
      </c>
      <c r="D967" s="13" t="s">
        <v>17</v>
      </c>
      <c r="E967" s="14">
        <v>38813</v>
      </c>
      <c r="F967" s="13" t="s">
        <v>170</v>
      </c>
      <c r="G967" s="13" t="s">
        <v>131</v>
      </c>
      <c r="H967" s="13" t="s">
        <v>114</v>
      </c>
      <c r="I967" s="13" t="s">
        <v>157</v>
      </c>
      <c r="J967" s="13" t="s">
        <v>22</v>
      </c>
      <c r="K967" s="13" t="s">
        <v>23</v>
      </c>
      <c r="L967" s="13" t="s">
        <v>165</v>
      </c>
      <c r="M967" s="15" t="s">
        <v>2346</v>
      </c>
      <c r="N967" s="11" t="s">
        <v>2216</v>
      </c>
    </row>
    <row r="968" spans="1:14" ht="15.75" customHeight="1" x14ac:dyDescent="0.15">
      <c r="A968" s="6" t="s">
        <v>2409</v>
      </c>
      <c r="B968" s="6" t="s">
        <v>515</v>
      </c>
      <c r="C968" s="7" t="s">
        <v>2410</v>
      </c>
      <c r="D968" s="8" t="s">
        <v>39</v>
      </c>
      <c r="E968" s="9">
        <v>38817</v>
      </c>
      <c r="F968" s="8" t="s">
        <v>170</v>
      </c>
      <c r="G968" s="8" t="s">
        <v>131</v>
      </c>
      <c r="H968" s="8" t="s">
        <v>108</v>
      </c>
      <c r="I968" s="8" t="s">
        <v>120</v>
      </c>
      <c r="J968" s="8" t="s">
        <v>76</v>
      </c>
      <c r="K968" s="8" t="s">
        <v>44</v>
      </c>
      <c r="L968" s="8" t="s">
        <v>310</v>
      </c>
      <c r="M968" s="10" t="s">
        <v>2346</v>
      </c>
      <c r="N968" s="11" t="s">
        <v>2216</v>
      </c>
    </row>
    <row r="969" spans="1:14" ht="15.75" customHeight="1" x14ac:dyDescent="0.15">
      <c r="A969" s="12" t="s">
        <v>2411</v>
      </c>
      <c r="B969" s="12" t="s">
        <v>518</v>
      </c>
      <c r="C969" s="7" t="s">
        <v>2412</v>
      </c>
      <c r="D969" s="13" t="s">
        <v>17</v>
      </c>
      <c r="E969" s="14">
        <v>37531</v>
      </c>
      <c r="F969" s="13" t="s">
        <v>186</v>
      </c>
      <c r="G969" s="13" t="s">
        <v>93</v>
      </c>
      <c r="H969" s="13" t="s">
        <v>171</v>
      </c>
      <c r="I969" s="13" t="s">
        <v>149</v>
      </c>
      <c r="J969" s="13" t="s">
        <v>150</v>
      </c>
      <c r="K969" s="13" t="s">
        <v>294</v>
      </c>
      <c r="L969" s="13" t="s">
        <v>324</v>
      </c>
      <c r="M969" s="15" t="s">
        <v>628</v>
      </c>
      <c r="N969" s="11" t="s">
        <v>2216</v>
      </c>
    </row>
    <row r="970" spans="1:14" ht="15.75" customHeight="1" x14ac:dyDescent="0.15">
      <c r="A970" s="6" t="s">
        <v>2413</v>
      </c>
      <c r="B970" s="6" t="s">
        <v>521</v>
      </c>
      <c r="C970" s="7" t="s">
        <v>2414</v>
      </c>
      <c r="D970" s="8" t="s">
        <v>107</v>
      </c>
      <c r="E970" s="9">
        <v>38559</v>
      </c>
      <c r="F970" s="8" t="s">
        <v>217</v>
      </c>
      <c r="G970" s="8" t="s">
        <v>93</v>
      </c>
      <c r="H970" s="8" t="s">
        <v>94</v>
      </c>
      <c r="I970" s="8" t="s">
        <v>582</v>
      </c>
      <c r="J970" s="8" t="s">
        <v>150</v>
      </c>
      <c r="K970" s="8" t="s">
        <v>44</v>
      </c>
      <c r="L970" s="8" t="s">
        <v>2415</v>
      </c>
      <c r="M970" s="10" t="s">
        <v>1270</v>
      </c>
      <c r="N970" s="11" t="s">
        <v>2216</v>
      </c>
    </row>
    <row r="971" spans="1:14" ht="15.75" customHeight="1" x14ac:dyDescent="0.15">
      <c r="A971" s="6" t="s">
        <v>2416</v>
      </c>
      <c r="B971" s="12" t="s">
        <v>523</v>
      </c>
      <c r="C971" s="7" t="s">
        <v>2417</v>
      </c>
      <c r="D971" s="13" t="s">
        <v>107</v>
      </c>
      <c r="E971" s="17">
        <v>37584</v>
      </c>
      <c r="F971" s="13" t="s">
        <v>186</v>
      </c>
      <c r="G971" s="13" t="s">
        <v>93</v>
      </c>
      <c r="H971" s="13" t="s">
        <v>171</v>
      </c>
      <c r="I971" s="13" t="s">
        <v>313</v>
      </c>
      <c r="J971" s="13" t="s">
        <v>150</v>
      </c>
      <c r="K971" s="13" t="s">
        <v>294</v>
      </c>
      <c r="L971" s="13" t="s">
        <v>2415</v>
      </c>
      <c r="M971" s="15" t="s">
        <v>1270</v>
      </c>
      <c r="N971" s="11" t="s">
        <v>2216</v>
      </c>
    </row>
    <row r="972" spans="1:14" ht="15.75" customHeight="1" x14ac:dyDescent="0.15">
      <c r="A972" s="12" t="s">
        <v>2418</v>
      </c>
      <c r="B972" s="6" t="s">
        <v>526</v>
      </c>
      <c r="C972" s="7" t="s">
        <v>2419</v>
      </c>
      <c r="D972" s="8" t="s">
        <v>39</v>
      </c>
      <c r="E972" s="9">
        <v>37859</v>
      </c>
      <c r="F972" s="8" t="s">
        <v>186</v>
      </c>
      <c r="G972" s="8" t="s">
        <v>93</v>
      </c>
      <c r="H972" s="8" t="s">
        <v>88</v>
      </c>
      <c r="I972" s="8" t="s">
        <v>103</v>
      </c>
      <c r="J972" s="8" t="s">
        <v>150</v>
      </c>
      <c r="K972" s="8" t="s">
        <v>44</v>
      </c>
      <c r="L972" s="8" t="s">
        <v>2420</v>
      </c>
      <c r="M972" s="10" t="s">
        <v>1270</v>
      </c>
      <c r="N972" s="11" t="s">
        <v>2216</v>
      </c>
    </row>
    <row r="973" spans="1:14" ht="15.75" customHeight="1" x14ac:dyDescent="0.15">
      <c r="A973" s="6" t="s">
        <v>2421</v>
      </c>
      <c r="B973" s="12" t="s">
        <v>1606</v>
      </c>
      <c r="C973" s="7" t="s">
        <v>2422</v>
      </c>
      <c r="D973" s="13" t="s">
        <v>107</v>
      </c>
      <c r="E973" s="14">
        <v>37498</v>
      </c>
      <c r="F973" s="13" t="s">
        <v>137</v>
      </c>
      <c r="G973" s="13" t="s">
        <v>93</v>
      </c>
      <c r="H973" s="13" t="s">
        <v>1179</v>
      </c>
      <c r="I973" s="13" t="s">
        <v>2423</v>
      </c>
      <c r="J973" s="13" t="s">
        <v>150</v>
      </c>
      <c r="K973" s="13" t="s">
        <v>44</v>
      </c>
      <c r="L973" s="13" t="s">
        <v>324</v>
      </c>
      <c r="M973" s="15" t="s">
        <v>628</v>
      </c>
      <c r="N973" s="11" t="s">
        <v>2216</v>
      </c>
    </row>
    <row r="974" spans="1:14" ht="15.75" customHeight="1" x14ac:dyDescent="0.15">
      <c r="A974" s="12" t="s">
        <v>2424</v>
      </c>
      <c r="B974" s="6" t="s">
        <v>529</v>
      </c>
      <c r="C974" s="7" t="s">
        <v>2425</v>
      </c>
      <c r="D974" s="8" t="s">
        <v>107</v>
      </c>
      <c r="E974" s="9">
        <v>37987</v>
      </c>
      <c r="F974" s="8" t="s">
        <v>92</v>
      </c>
      <c r="G974" s="8" t="s">
        <v>93</v>
      </c>
      <c r="H974" s="8" t="s">
        <v>535</v>
      </c>
      <c r="I974" s="8" t="s">
        <v>385</v>
      </c>
      <c r="J974" s="8" t="s">
        <v>150</v>
      </c>
      <c r="K974" s="8" t="s">
        <v>44</v>
      </c>
      <c r="L974" s="8" t="s">
        <v>324</v>
      </c>
      <c r="M974" s="10" t="s">
        <v>628</v>
      </c>
      <c r="N974" s="11" t="s">
        <v>2216</v>
      </c>
    </row>
    <row r="975" spans="1:14" ht="15.75" customHeight="1" x14ac:dyDescent="0.15">
      <c r="A975" s="6" t="s">
        <v>2426</v>
      </c>
      <c r="B975" s="12" t="s">
        <v>531</v>
      </c>
      <c r="C975" s="7" t="s">
        <v>2427</v>
      </c>
      <c r="D975" s="13" t="s">
        <v>107</v>
      </c>
      <c r="E975" s="14">
        <v>37959</v>
      </c>
      <c r="F975" s="13" t="s">
        <v>92</v>
      </c>
      <c r="G975" s="13" t="s">
        <v>93</v>
      </c>
      <c r="H975" s="13" t="s">
        <v>788</v>
      </c>
      <c r="I975" s="13" t="s">
        <v>149</v>
      </c>
      <c r="J975" s="13" t="s">
        <v>150</v>
      </c>
      <c r="K975" s="13" t="s">
        <v>44</v>
      </c>
      <c r="L975" s="13" t="s">
        <v>2428</v>
      </c>
      <c r="M975" s="15" t="s">
        <v>329</v>
      </c>
      <c r="N975" s="11" t="s">
        <v>2216</v>
      </c>
    </row>
    <row r="976" spans="1:14" ht="15.75" customHeight="1" x14ac:dyDescent="0.15">
      <c r="A976" s="6" t="s">
        <v>2429</v>
      </c>
      <c r="B976" s="6" t="s">
        <v>15</v>
      </c>
      <c r="C976" s="7" t="s">
        <v>2430</v>
      </c>
      <c r="D976" s="8" t="s">
        <v>39</v>
      </c>
      <c r="E976" s="16">
        <v>35775</v>
      </c>
      <c r="F976" s="8" t="s">
        <v>212</v>
      </c>
      <c r="G976" s="8" t="s">
        <v>204</v>
      </c>
      <c r="H976" s="8" t="s">
        <v>156</v>
      </c>
      <c r="I976" s="8" t="s">
        <v>261</v>
      </c>
      <c r="J976" s="8" t="s">
        <v>54</v>
      </c>
      <c r="K976" s="8" t="s">
        <v>23</v>
      </c>
      <c r="L976" s="8" t="s">
        <v>45</v>
      </c>
      <c r="M976" s="10" t="s">
        <v>434</v>
      </c>
      <c r="N976" s="11" t="s">
        <v>2431</v>
      </c>
    </row>
    <row r="977" spans="1:14" ht="15.75" customHeight="1" x14ac:dyDescent="0.15">
      <c r="A977" s="12" t="s">
        <v>2432</v>
      </c>
      <c r="B977" s="12" t="s">
        <v>28</v>
      </c>
      <c r="C977" s="7" t="s">
        <v>2433</v>
      </c>
      <c r="D977" s="13" t="s">
        <v>17</v>
      </c>
      <c r="E977" s="17">
        <v>36505</v>
      </c>
      <c r="F977" s="13" t="s">
        <v>40</v>
      </c>
      <c r="G977" s="13" t="s">
        <v>243</v>
      </c>
      <c r="H977" s="13" t="s">
        <v>94</v>
      </c>
      <c r="I977" s="13" t="s">
        <v>414</v>
      </c>
      <c r="J977" s="13" t="s">
        <v>22</v>
      </c>
      <c r="K977" s="13" t="s">
        <v>44</v>
      </c>
      <c r="L977" s="13" t="s">
        <v>165</v>
      </c>
      <c r="M977" s="15" t="s">
        <v>199</v>
      </c>
      <c r="N977" s="11" t="s">
        <v>2431</v>
      </c>
    </row>
    <row r="978" spans="1:14" ht="15.75" customHeight="1" x14ac:dyDescent="0.15">
      <c r="A978" s="6" t="s">
        <v>2434</v>
      </c>
      <c r="B978" s="6" t="s">
        <v>14</v>
      </c>
      <c r="C978" s="7" t="s">
        <v>2435</v>
      </c>
      <c r="D978" s="8" t="s">
        <v>39</v>
      </c>
      <c r="E978" s="9">
        <v>36652</v>
      </c>
      <c r="F978" s="8" t="s">
        <v>40</v>
      </c>
      <c r="G978" s="8" t="s">
        <v>19</v>
      </c>
      <c r="H978" s="8" t="s">
        <v>32</v>
      </c>
      <c r="I978" s="8" t="s">
        <v>157</v>
      </c>
      <c r="J978" s="8" t="s">
        <v>76</v>
      </c>
      <c r="K978" s="8" t="s">
        <v>77</v>
      </c>
      <c r="L978" s="8" t="s">
        <v>35</v>
      </c>
      <c r="M978" s="10" t="s">
        <v>411</v>
      </c>
      <c r="N978" s="11" t="s">
        <v>2431</v>
      </c>
    </row>
    <row r="979" spans="1:14" ht="15.75" customHeight="1" x14ac:dyDescent="0.15">
      <c r="A979" s="12" t="s">
        <v>2436</v>
      </c>
      <c r="B979" s="12" t="s">
        <v>27</v>
      </c>
      <c r="C979" s="7" t="s">
        <v>2437</v>
      </c>
      <c r="D979" s="13" t="s">
        <v>49</v>
      </c>
      <c r="E979" s="17">
        <v>37914</v>
      </c>
      <c r="F979" s="13" t="s">
        <v>92</v>
      </c>
      <c r="G979" s="13" t="s">
        <v>243</v>
      </c>
      <c r="H979" s="13" t="s">
        <v>156</v>
      </c>
      <c r="I979" s="13" t="s">
        <v>438</v>
      </c>
      <c r="J979" s="13" t="s">
        <v>54</v>
      </c>
      <c r="K979" s="13" t="s">
        <v>44</v>
      </c>
      <c r="L979" s="13" t="s">
        <v>35</v>
      </c>
      <c r="M979" s="15" t="s">
        <v>956</v>
      </c>
      <c r="N979" s="11" t="s">
        <v>2431</v>
      </c>
    </row>
    <row r="980" spans="1:14" ht="15.75" customHeight="1" x14ac:dyDescent="0.15">
      <c r="A980" s="6" t="s">
        <v>2438</v>
      </c>
      <c r="B980" s="6" t="s">
        <v>37</v>
      </c>
      <c r="C980" s="7" t="s">
        <v>2439</v>
      </c>
      <c r="D980" s="8" t="s">
        <v>39</v>
      </c>
      <c r="E980" s="9">
        <v>31922</v>
      </c>
      <c r="F980" s="8" t="s">
        <v>2267</v>
      </c>
      <c r="G980" s="8" t="s">
        <v>608</v>
      </c>
      <c r="H980" s="8" t="s">
        <v>94</v>
      </c>
      <c r="I980" s="8" t="s">
        <v>385</v>
      </c>
      <c r="J980" s="8" t="s">
        <v>54</v>
      </c>
      <c r="K980" s="8" t="s">
        <v>23</v>
      </c>
      <c r="L980" s="8" t="s">
        <v>158</v>
      </c>
      <c r="M980" s="10" t="s">
        <v>305</v>
      </c>
      <c r="N980" s="11" t="s">
        <v>2431</v>
      </c>
    </row>
    <row r="981" spans="1:14" ht="15.75" customHeight="1" x14ac:dyDescent="0.15">
      <c r="A981" s="6" t="s">
        <v>2440</v>
      </c>
      <c r="B981" s="12" t="s">
        <v>47</v>
      </c>
      <c r="C981" s="7" t="s">
        <v>2441</v>
      </c>
      <c r="D981" s="13" t="s">
        <v>17</v>
      </c>
      <c r="E981" s="14">
        <v>36837</v>
      </c>
      <c r="F981" s="13" t="s">
        <v>203</v>
      </c>
      <c r="G981" s="13" t="s">
        <v>41</v>
      </c>
      <c r="H981" s="13" t="s">
        <v>74</v>
      </c>
      <c r="I981" s="13" t="s">
        <v>140</v>
      </c>
      <c r="J981" s="13" t="s">
        <v>54</v>
      </c>
      <c r="K981" s="13" t="s">
        <v>44</v>
      </c>
      <c r="L981" s="13" t="s">
        <v>35</v>
      </c>
      <c r="M981" s="15" t="s">
        <v>747</v>
      </c>
      <c r="N981" s="11" t="s">
        <v>2431</v>
      </c>
    </row>
    <row r="982" spans="1:14" ht="15.75" customHeight="1" x14ac:dyDescent="0.15">
      <c r="A982" s="12" t="s">
        <v>2442</v>
      </c>
      <c r="B982" s="6" t="s">
        <v>57</v>
      </c>
      <c r="C982" s="7" t="s">
        <v>2443</v>
      </c>
      <c r="D982" s="8" t="s">
        <v>17</v>
      </c>
      <c r="E982" s="9">
        <v>36265</v>
      </c>
      <c r="F982" s="8" t="s">
        <v>30</v>
      </c>
      <c r="G982" s="8" t="s">
        <v>67</v>
      </c>
      <c r="H982" s="8" t="s">
        <v>171</v>
      </c>
      <c r="I982" s="8" t="s">
        <v>651</v>
      </c>
      <c r="J982" s="8" t="s">
        <v>54</v>
      </c>
      <c r="K982" s="8" t="s">
        <v>23</v>
      </c>
      <c r="L982" s="8" t="s">
        <v>35</v>
      </c>
      <c r="M982" s="10" t="s">
        <v>1248</v>
      </c>
      <c r="N982" s="11" t="s">
        <v>2431</v>
      </c>
    </row>
    <row r="983" spans="1:14" ht="15.75" customHeight="1" x14ac:dyDescent="0.15">
      <c r="A983" s="6" t="s">
        <v>2444</v>
      </c>
      <c r="B983" s="12" t="s">
        <v>64</v>
      </c>
      <c r="C983" s="7" t="s">
        <v>2445</v>
      </c>
      <c r="D983" s="13" t="s">
        <v>39</v>
      </c>
      <c r="E983" s="14">
        <v>37705</v>
      </c>
      <c r="F983" s="13" t="s">
        <v>186</v>
      </c>
      <c r="G983" s="13" t="s">
        <v>131</v>
      </c>
      <c r="H983" s="13" t="s">
        <v>42</v>
      </c>
      <c r="I983" s="13" t="s">
        <v>149</v>
      </c>
      <c r="J983" s="13" t="s">
        <v>54</v>
      </c>
      <c r="K983" s="13" t="s">
        <v>44</v>
      </c>
      <c r="L983" s="13" t="s">
        <v>431</v>
      </c>
      <c r="M983" s="15" t="s">
        <v>1317</v>
      </c>
      <c r="N983" s="11" t="s">
        <v>2431</v>
      </c>
    </row>
    <row r="984" spans="1:14" ht="15.75" customHeight="1" x14ac:dyDescent="0.15">
      <c r="A984" s="12" t="s">
        <v>2446</v>
      </c>
      <c r="B984" s="6" t="s">
        <v>72</v>
      </c>
      <c r="C984" s="7" t="s">
        <v>2447</v>
      </c>
      <c r="D984" s="8" t="s">
        <v>17</v>
      </c>
      <c r="E984" s="9">
        <v>34189</v>
      </c>
      <c r="F984" s="8" t="s">
        <v>182</v>
      </c>
      <c r="G984" s="8" t="s">
        <v>67</v>
      </c>
      <c r="H984" s="8" t="s">
        <v>156</v>
      </c>
      <c r="I984" s="8" t="s">
        <v>115</v>
      </c>
      <c r="J984" s="8" t="s">
        <v>22</v>
      </c>
      <c r="K984" s="8" t="s">
        <v>23</v>
      </c>
      <c r="L984" s="8" t="s">
        <v>187</v>
      </c>
      <c r="M984" s="10" t="s">
        <v>619</v>
      </c>
      <c r="N984" s="11" t="s">
        <v>2431</v>
      </c>
    </row>
    <row r="985" spans="1:14" ht="15.75" customHeight="1" x14ac:dyDescent="0.15">
      <c r="A985" s="6" t="s">
        <v>2448</v>
      </c>
      <c r="B985" s="12" t="s">
        <v>80</v>
      </c>
      <c r="C985" s="7" t="s">
        <v>2449</v>
      </c>
      <c r="D985" s="13" t="s">
        <v>17</v>
      </c>
      <c r="E985" s="14">
        <v>33752</v>
      </c>
      <c r="F985" s="13" t="s">
        <v>430</v>
      </c>
      <c r="G985" s="13" t="s">
        <v>293</v>
      </c>
      <c r="H985" s="13" t="s">
        <v>94</v>
      </c>
      <c r="I985" s="13" t="s">
        <v>115</v>
      </c>
      <c r="J985" s="13" t="s">
        <v>54</v>
      </c>
      <c r="K985" s="13" t="s">
        <v>44</v>
      </c>
      <c r="L985" s="13" t="s">
        <v>78</v>
      </c>
      <c r="M985" s="15" t="s">
        <v>111</v>
      </c>
      <c r="N985" s="11" t="s">
        <v>2431</v>
      </c>
    </row>
    <row r="986" spans="1:14" ht="15.75" customHeight="1" x14ac:dyDescent="0.15">
      <c r="A986" s="6" t="s">
        <v>2450</v>
      </c>
      <c r="B986" s="6" t="s">
        <v>90</v>
      </c>
      <c r="C986" s="7" t="s">
        <v>2451</v>
      </c>
      <c r="D986" s="8" t="s">
        <v>17</v>
      </c>
      <c r="E986" s="9">
        <v>37115</v>
      </c>
      <c r="F986" s="8" t="s">
        <v>203</v>
      </c>
      <c r="G986" s="8" t="s">
        <v>138</v>
      </c>
      <c r="H986" s="8" t="s">
        <v>114</v>
      </c>
      <c r="I986" s="8" t="s">
        <v>61</v>
      </c>
      <c r="J986" s="8" t="s">
        <v>22</v>
      </c>
      <c r="K986" s="8" t="s">
        <v>23</v>
      </c>
      <c r="L986" s="8" t="s">
        <v>297</v>
      </c>
      <c r="M986" s="10" t="s">
        <v>199</v>
      </c>
      <c r="N986" s="11" t="s">
        <v>2431</v>
      </c>
    </row>
    <row r="987" spans="1:14" ht="15.75" customHeight="1" x14ac:dyDescent="0.15">
      <c r="A987" s="12" t="s">
        <v>2452</v>
      </c>
      <c r="B987" s="12" t="s">
        <v>98</v>
      </c>
      <c r="C987" s="7" t="s">
        <v>2453</v>
      </c>
      <c r="D987" s="13" t="s">
        <v>107</v>
      </c>
      <c r="E987" s="14">
        <v>35074</v>
      </c>
      <c r="F987" s="13" t="s">
        <v>66</v>
      </c>
      <c r="G987" s="13" t="s">
        <v>93</v>
      </c>
      <c r="H987" s="13" t="s">
        <v>1179</v>
      </c>
      <c r="I987" s="13" t="s">
        <v>2454</v>
      </c>
      <c r="J987" s="13" t="s">
        <v>150</v>
      </c>
      <c r="K987" s="13" t="s">
        <v>77</v>
      </c>
      <c r="L987" s="13" t="s">
        <v>490</v>
      </c>
      <c r="M987" s="15" t="s">
        <v>111</v>
      </c>
      <c r="N987" s="11" t="s">
        <v>2431</v>
      </c>
    </row>
    <row r="988" spans="1:14" ht="15.75" customHeight="1" x14ac:dyDescent="0.15">
      <c r="A988" s="6" t="s">
        <v>2455</v>
      </c>
      <c r="B988" s="6" t="s">
        <v>105</v>
      </c>
      <c r="C988" s="7" t="s">
        <v>2456</v>
      </c>
      <c r="D988" s="8" t="s">
        <v>107</v>
      </c>
      <c r="E988" s="9">
        <v>37878</v>
      </c>
      <c r="F988" s="8" t="s">
        <v>92</v>
      </c>
      <c r="G988" s="8" t="s">
        <v>93</v>
      </c>
      <c r="H988" s="8" t="s">
        <v>179</v>
      </c>
      <c r="I988" s="8" t="s">
        <v>273</v>
      </c>
      <c r="J988" s="8" t="s">
        <v>22</v>
      </c>
      <c r="K988" s="8" t="s">
        <v>77</v>
      </c>
      <c r="L988" s="8" t="s">
        <v>55</v>
      </c>
      <c r="M988" s="10" t="s">
        <v>36</v>
      </c>
      <c r="N988" s="11" t="s">
        <v>2431</v>
      </c>
    </row>
    <row r="989" spans="1:14" ht="15.75" customHeight="1" x14ac:dyDescent="0.15">
      <c r="A989" s="12" t="s">
        <v>2457</v>
      </c>
      <c r="B989" s="12" t="s">
        <v>112</v>
      </c>
      <c r="C989" s="7" t="s">
        <v>2458</v>
      </c>
      <c r="D989" s="13" t="s">
        <v>107</v>
      </c>
      <c r="E989" s="14">
        <v>35253</v>
      </c>
      <c r="F989" s="13" t="s">
        <v>66</v>
      </c>
      <c r="G989" s="13" t="s">
        <v>19</v>
      </c>
      <c r="H989" s="13" t="s">
        <v>156</v>
      </c>
      <c r="I989" s="13" t="s">
        <v>385</v>
      </c>
      <c r="J989" s="13" t="s">
        <v>22</v>
      </c>
      <c r="K989" s="13" t="s">
        <v>77</v>
      </c>
      <c r="L989" s="13" t="s">
        <v>244</v>
      </c>
      <c r="M989" s="15" t="s">
        <v>2459</v>
      </c>
      <c r="N989" s="11" t="s">
        <v>2431</v>
      </c>
    </row>
    <row r="990" spans="1:14" ht="15.75" customHeight="1" x14ac:dyDescent="0.15">
      <c r="A990" s="6" t="s">
        <v>2460</v>
      </c>
      <c r="B990" s="6" t="s">
        <v>122</v>
      </c>
      <c r="C990" s="7" t="s">
        <v>2461</v>
      </c>
      <c r="D990" s="8" t="s">
        <v>107</v>
      </c>
      <c r="E990" s="9">
        <v>37108</v>
      </c>
      <c r="F990" s="8" t="s">
        <v>203</v>
      </c>
      <c r="G990" s="8" t="s">
        <v>204</v>
      </c>
      <c r="H990" s="8" t="s">
        <v>94</v>
      </c>
      <c r="I990" s="8" t="s">
        <v>192</v>
      </c>
      <c r="J990" s="8" t="s">
        <v>22</v>
      </c>
      <c r="K990" s="8" t="s">
        <v>44</v>
      </c>
      <c r="L990" s="8" t="s">
        <v>218</v>
      </c>
      <c r="M990" s="10" t="s">
        <v>425</v>
      </c>
      <c r="N990" s="11" t="s">
        <v>2431</v>
      </c>
    </row>
    <row r="991" spans="1:14" ht="15.75" customHeight="1" x14ac:dyDescent="0.15">
      <c r="A991" s="6" t="s">
        <v>2462</v>
      </c>
      <c r="B991" s="12" t="s">
        <v>117</v>
      </c>
      <c r="C991" s="7" t="s">
        <v>2463</v>
      </c>
      <c r="D991" s="13" t="s">
        <v>107</v>
      </c>
      <c r="E991" s="14">
        <v>36045</v>
      </c>
      <c r="F991" s="13" t="s">
        <v>30</v>
      </c>
      <c r="G991" s="13" t="s">
        <v>60</v>
      </c>
      <c r="H991" s="13" t="s">
        <v>114</v>
      </c>
      <c r="I991" s="13" t="s">
        <v>149</v>
      </c>
      <c r="J991" s="13" t="s">
        <v>34</v>
      </c>
      <c r="K991" s="13" t="s">
        <v>44</v>
      </c>
      <c r="L991" s="13" t="s">
        <v>24</v>
      </c>
      <c r="M991" s="15" t="s">
        <v>145</v>
      </c>
      <c r="N991" s="11" t="s">
        <v>2431</v>
      </c>
    </row>
    <row r="992" spans="1:14" ht="15.75" customHeight="1" x14ac:dyDescent="0.15">
      <c r="A992" s="12" t="s">
        <v>2464</v>
      </c>
      <c r="B992" s="6" t="s">
        <v>129</v>
      </c>
      <c r="C992" s="7" t="s">
        <v>2465</v>
      </c>
      <c r="D992" s="8" t="s">
        <v>107</v>
      </c>
      <c r="E992" s="9">
        <v>39310</v>
      </c>
      <c r="F992" s="8" t="s">
        <v>232</v>
      </c>
      <c r="G992" s="8" t="s">
        <v>93</v>
      </c>
      <c r="H992" s="8" t="s">
        <v>94</v>
      </c>
      <c r="I992" s="8" t="s">
        <v>207</v>
      </c>
      <c r="J992" s="8" t="s">
        <v>76</v>
      </c>
      <c r="K992" s="8" t="s">
        <v>294</v>
      </c>
      <c r="L992" s="8" t="s">
        <v>128</v>
      </c>
      <c r="M992" s="10" t="s">
        <v>97</v>
      </c>
      <c r="N992" s="11" t="s">
        <v>2431</v>
      </c>
    </row>
    <row r="993" spans="1:14" ht="15.75" customHeight="1" x14ac:dyDescent="0.15">
      <c r="A993" s="6" t="s">
        <v>2466</v>
      </c>
      <c r="B993" s="12" t="s">
        <v>135</v>
      </c>
      <c r="C993" s="7" t="s">
        <v>2467</v>
      </c>
      <c r="D993" s="13" t="s">
        <v>107</v>
      </c>
      <c r="E993" s="14">
        <v>32694</v>
      </c>
      <c r="F993" s="13" t="s">
        <v>493</v>
      </c>
      <c r="G993" s="13" t="s">
        <v>611</v>
      </c>
      <c r="H993" s="13" t="s">
        <v>32</v>
      </c>
      <c r="I993" s="13" t="s">
        <v>192</v>
      </c>
      <c r="J993" s="13" t="s">
        <v>22</v>
      </c>
      <c r="K993" s="13" t="s">
        <v>44</v>
      </c>
      <c r="L993" s="13" t="s">
        <v>165</v>
      </c>
      <c r="M993" s="15" t="s">
        <v>421</v>
      </c>
      <c r="N993" s="11" t="s">
        <v>2431</v>
      </c>
    </row>
    <row r="994" spans="1:14" ht="15.75" customHeight="1" x14ac:dyDescent="0.15">
      <c r="A994" s="12" t="s">
        <v>2468</v>
      </c>
      <c r="B994" s="6" t="s">
        <v>142</v>
      </c>
      <c r="C994" s="7" t="s">
        <v>2469</v>
      </c>
      <c r="D994" s="8" t="s">
        <v>107</v>
      </c>
      <c r="E994" s="16">
        <v>33599</v>
      </c>
      <c r="F994" s="8" t="s">
        <v>430</v>
      </c>
      <c r="G994" s="8" t="s">
        <v>51</v>
      </c>
      <c r="H994" s="8" t="s">
        <v>108</v>
      </c>
      <c r="I994" s="8" t="s">
        <v>149</v>
      </c>
      <c r="J994" s="8" t="s">
        <v>22</v>
      </c>
      <c r="K994" s="8" t="s">
        <v>44</v>
      </c>
      <c r="L994" s="8" t="s">
        <v>218</v>
      </c>
      <c r="M994" s="10" t="s">
        <v>685</v>
      </c>
      <c r="N994" s="11" t="s">
        <v>2431</v>
      </c>
    </row>
    <row r="995" spans="1:14" ht="15.75" customHeight="1" x14ac:dyDescent="0.15">
      <c r="A995" s="6" t="s">
        <v>2470</v>
      </c>
      <c r="B995" s="12" t="s">
        <v>162</v>
      </c>
      <c r="C995" s="7" t="s">
        <v>2471</v>
      </c>
      <c r="D995" s="13" t="s">
        <v>39</v>
      </c>
      <c r="E995" s="14">
        <v>33495</v>
      </c>
      <c r="F995" s="13" t="s">
        <v>430</v>
      </c>
      <c r="G995" s="13" t="s">
        <v>243</v>
      </c>
      <c r="H995" s="13" t="s">
        <v>333</v>
      </c>
      <c r="I995" s="13" t="s">
        <v>1145</v>
      </c>
      <c r="J995" s="13" t="s">
        <v>150</v>
      </c>
      <c r="K995" s="13" t="s">
        <v>77</v>
      </c>
      <c r="L995" s="13" t="s">
        <v>324</v>
      </c>
      <c r="M995" s="15" t="s">
        <v>1459</v>
      </c>
      <c r="N995" s="11" t="s">
        <v>2431</v>
      </c>
    </row>
    <row r="996" spans="1:14" ht="15.75" customHeight="1" x14ac:dyDescent="0.15">
      <c r="A996" s="6" t="s">
        <v>2472</v>
      </c>
      <c r="B996" s="6" t="s">
        <v>167</v>
      </c>
      <c r="C996" s="7" t="s">
        <v>2473</v>
      </c>
      <c r="D996" s="8" t="s">
        <v>39</v>
      </c>
      <c r="E996" s="9">
        <v>34086</v>
      </c>
      <c r="F996" s="8" t="s">
        <v>182</v>
      </c>
      <c r="G996" s="8" t="s">
        <v>618</v>
      </c>
      <c r="H996" s="8" t="s">
        <v>156</v>
      </c>
      <c r="I996" s="8" t="s">
        <v>157</v>
      </c>
      <c r="J996" s="8" t="s">
        <v>22</v>
      </c>
      <c r="K996" s="8" t="s">
        <v>44</v>
      </c>
      <c r="L996" s="8" t="s">
        <v>35</v>
      </c>
      <c r="M996" s="10" t="s">
        <v>391</v>
      </c>
      <c r="N996" s="11" t="s">
        <v>2431</v>
      </c>
    </row>
    <row r="997" spans="1:14" ht="15.75" customHeight="1" x14ac:dyDescent="0.15">
      <c r="A997" s="6" t="s">
        <v>2474</v>
      </c>
      <c r="B997" s="12" t="s">
        <v>146</v>
      </c>
      <c r="C997" s="7" t="s">
        <v>2475</v>
      </c>
      <c r="D997" s="13" t="s">
        <v>107</v>
      </c>
      <c r="E997" s="14">
        <v>35159</v>
      </c>
      <c r="F997" s="13" t="s">
        <v>66</v>
      </c>
      <c r="G997" s="13" t="s">
        <v>19</v>
      </c>
      <c r="H997" s="13" t="s">
        <v>82</v>
      </c>
      <c r="I997" s="13" t="s">
        <v>157</v>
      </c>
      <c r="J997" s="13" t="s">
        <v>76</v>
      </c>
      <c r="K997" s="13" t="s">
        <v>44</v>
      </c>
      <c r="L997" s="13" t="s">
        <v>431</v>
      </c>
      <c r="M997" s="15" t="s">
        <v>1067</v>
      </c>
      <c r="N997" s="11" t="s">
        <v>2431</v>
      </c>
    </row>
    <row r="998" spans="1:14" ht="15.75" customHeight="1" x14ac:dyDescent="0.15">
      <c r="A998" s="12" t="s">
        <v>2476</v>
      </c>
      <c r="B998" s="6" t="s">
        <v>154</v>
      </c>
      <c r="C998" s="7" t="s">
        <v>2477</v>
      </c>
      <c r="D998" s="8" t="s">
        <v>39</v>
      </c>
      <c r="E998" s="9">
        <v>33434</v>
      </c>
      <c r="F998" s="8" t="s">
        <v>50</v>
      </c>
      <c r="G998" s="8" t="s">
        <v>51</v>
      </c>
      <c r="H998" s="8" t="s">
        <v>108</v>
      </c>
      <c r="I998" s="8" t="s">
        <v>157</v>
      </c>
      <c r="J998" s="8" t="s">
        <v>76</v>
      </c>
      <c r="K998" s="8" t="s">
        <v>44</v>
      </c>
      <c r="L998" s="8" t="s">
        <v>187</v>
      </c>
      <c r="M998" s="10" t="s">
        <v>704</v>
      </c>
      <c r="N998" s="11" t="s">
        <v>2431</v>
      </c>
    </row>
    <row r="999" spans="1:14" ht="15.75" customHeight="1" x14ac:dyDescent="0.15">
      <c r="A999" s="6" t="s">
        <v>2478</v>
      </c>
      <c r="B999" s="12" t="s">
        <v>163</v>
      </c>
      <c r="C999" s="7" t="s">
        <v>2479</v>
      </c>
      <c r="D999" s="13" t="s">
        <v>49</v>
      </c>
      <c r="E999" s="14">
        <v>34467</v>
      </c>
      <c r="F999" s="13" t="s">
        <v>18</v>
      </c>
      <c r="G999" s="13" t="s">
        <v>126</v>
      </c>
      <c r="H999" s="13" t="s">
        <v>82</v>
      </c>
      <c r="I999" s="13" t="s">
        <v>21</v>
      </c>
      <c r="J999" s="13" t="s">
        <v>54</v>
      </c>
      <c r="K999" s="13" t="s">
        <v>44</v>
      </c>
      <c r="L999" s="13" t="s">
        <v>35</v>
      </c>
      <c r="M999" s="15" t="s">
        <v>704</v>
      </c>
      <c r="N999" s="11" t="s">
        <v>2431</v>
      </c>
    </row>
    <row r="1000" spans="1:14" ht="15.75" customHeight="1" x14ac:dyDescent="0.15">
      <c r="A1000" s="12" t="s">
        <v>2480</v>
      </c>
      <c r="B1000" s="6" t="s">
        <v>168</v>
      </c>
      <c r="C1000" s="7" t="s">
        <v>2481</v>
      </c>
      <c r="D1000" s="8" t="s">
        <v>107</v>
      </c>
      <c r="E1000" s="9">
        <v>36690</v>
      </c>
      <c r="F1000" s="8" t="s">
        <v>40</v>
      </c>
      <c r="G1000" s="8" t="s">
        <v>41</v>
      </c>
      <c r="H1000" s="8" t="s">
        <v>114</v>
      </c>
      <c r="I1000" s="8" t="s">
        <v>43</v>
      </c>
      <c r="J1000" s="8" t="s">
        <v>54</v>
      </c>
      <c r="K1000" s="8" t="s">
        <v>23</v>
      </c>
      <c r="L1000" s="8" t="s">
        <v>128</v>
      </c>
      <c r="M1000" s="10" t="s">
        <v>199</v>
      </c>
      <c r="N1000" s="11" t="s">
        <v>2431</v>
      </c>
    </row>
    <row r="1001" spans="1:14" ht="15.75" customHeight="1" x14ac:dyDescent="0.15">
      <c r="A1001" s="6" t="s">
        <v>2482</v>
      </c>
      <c r="B1001" s="12" t="s">
        <v>173</v>
      </c>
      <c r="C1001" s="7" t="s">
        <v>2483</v>
      </c>
      <c r="D1001" s="13" t="s">
        <v>107</v>
      </c>
      <c r="E1001" s="14">
        <v>33303</v>
      </c>
      <c r="F1001" s="13" t="s">
        <v>50</v>
      </c>
      <c r="G1001" s="13" t="s">
        <v>119</v>
      </c>
      <c r="H1001" s="13" t="s">
        <v>114</v>
      </c>
      <c r="I1001" s="13" t="s">
        <v>192</v>
      </c>
      <c r="J1001" s="13" t="s">
        <v>54</v>
      </c>
      <c r="K1001" s="13" t="s">
        <v>44</v>
      </c>
      <c r="L1001" s="13" t="s">
        <v>353</v>
      </c>
      <c r="M1001" s="15" t="s">
        <v>716</v>
      </c>
      <c r="N1001" s="11" t="s">
        <v>2431</v>
      </c>
    </row>
    <row r="1002" spans="1:14" ht="15.75" customHeight="1" x14ac:dyDescent="0.15">
      <c r="A1002" s="6" t="s">
        <v>2484</v>
      </c>
      <c r="B1002" s="6" t="s">
        <v>175</v>
      </c>
      <c r="C1002" s="7" t="s">
        <v>2485</v>
      </c>
      <c r="D1002" s="8" t="s">
        <v>107</v>
      </c>
      <c r="E1002" s="9">
        <v>35767</v>
      </c>
      <c r="F1002" s="8" t="s">
        <v>212</v>
      </c>
      <c r="G1002" s="8" t="s">
        <v>243</v>
      </c>
      <c r="H1002" s="8" t="s">
        <v>68</v>
      </c>
      <c r="I1002" s="8" t="s">
        <v>120</v>
      </c>
      <c r="J1002" s="8" t="s">
        <v>54</v>
      </c>
      <c r="K1002" s="8" t="s">
        <v>44</v>
      </c>
      <c r="L1002" s="8" t="s">
        <v>187</v>
      </c>
      <c r="M1002" s="10" t="s">
        <v>727</v>
      </c>
      <c r="N1002" s="11" t="s">
        <v>2431</v>
      </c>
    </row>
    <row r="1003" spans="1:14" ht="15.75" customHeight="1" x14ac:dyDescent="0.15">
      <c r="A1003" s="6" t="s">
        <v>2486</v>
      </c>
      <c r="B1003" s="12" t="s">
        <v>200</v>
      </c>
      <c r="C1003" s="7" t="s">
        <v>2487</v>
      </c>
      <c r="D1003" s="13" t="s">
        <v>107</v>
      </c>
      <c r="E1003" s="14">
        <v>36718</v>
      </c>
      <c r="F1003" s="13" t="s">
        <v>40</v>
      </c>
      <c r="G1003" s="13" t="s">
        <v>138</v>
      </c>
      <c r="H1003" s="13" t="s">
        <v>94</v>
      </c>
      <c r="I1003" s="13" t="s">
        <v>21</v>
      </c>
      <c r="J1003" s="13" t="s">
        <v>54</v>
      </c>
      <c r="K1003" s="13" t="s">
        <v>44</v>
      </c>
      <c r="L1003" s="13" t="s">
        <v>158</v>
      </c>
      <c r="M1003" s="15" t="s">
        <v>2488</v>
      </c>
      <c r="N1003" s="11" t="s">
        <v>2431</v>
      </c>
    </row>
    <row r="1004" spans="1:14" ht="15.75" customHeight="1" x14ac:dyDescent="0.15">
      <c r="A1004" s="12" t="s">
        <v>2489</v>
      </c>
      <c r="B1004" s="6" t="s">
        <v>177</v>
      </c>
      <c r="C1004" s="7" t="s">
        <v>2490</v>
      </c>
      <c r="D1004" s="8" t="s">
        <v>49</v>
      </c>
      <c r="E1004" s="9">
        <v>35822</v>
      </c>
      <c r="F1004" s="8" t="s">
        <v>212</v>
      </c>
      <c r="G1004" s="8" t="s">
        <v>204</v>
      </c>
      <c r="H1004" s="8" t="s">
        <v>32</v>
      </c>
      <c r="I1004" s="8" t="s">
        <v>470</v>
      </c>
      <c r="J1004" s="8" t="s">
        <v>76</v>
      </c>
      <c r="K1004" s="8" t="s">
        <v>23</v>
      </c>
      <c r="L1004" s="8" t="s">
        <v>565</v>
      </c>
      <c r="M1004" s="10" t="s">
        <v>2491</v>
      </c>
      <c r="N1004" s="11" t="s">
        <v>2431</v>
      </c>
    </row>
    <row r="1005" spans="1:14" ht="15.75" customHeight="1" x14ac:dyDescent="0.15">
      <c r="A1005" s="6" t="s">
        <v>2492</v>
      </c>
      <c r="B1005" s="12" t="s">
        <v>180</v>
      </c>
      <c r="C1005" s="7" t="s">
        <v>2493</v>
      </c>
      <c r="D1005" s="13" t="s">
        <v>107</v>
      </c>
      <c r="E1005" s="14">
        <v>35576</v>
      </c>
      <c r="F1005" s="13" t="s">
        <v>148</v>
      </c>
      <c r="G1005" s="13" t="s">
        <v>243</v>
      </c>
      <c r="H1005" s="13" t="s">
        <v>94</v>
      </c>
      <c r="I1005" s="13" t="s">
        <v>197</v>
      </c>
      <c r="J1005" s="13" t="s">
        <v>54</v>
      </c>
      <c r="K1005" s="13" t="s">
        <v>44</v>
      </c>
      <c r="L1005" s="13" t="s">
        <v>431</v>
      </c>
      <c r="M1005" s="15" t="s">
        <v>1067</v>
      </c>
      <c r="N1005" s="11" t="s">
        <v>2431</v>
      </c>
    </row>
    <row r="1006" spans="1:14" ht="15.75" customHeight="1" x14ac:dyDescent="0.15">
      <c r="A1006" s="12" t="s">
        <v>2494</v>
      </c>
      <c r="B1006" s="6" t="s">
        <v>184</v>
      </c>
      <c r="C1006" s="7" t="s">
        <v>2495</v>
      </c>
      <c r="D1006" s="8" t="s">
        <v>107</v>
      </c>
      <c r="E1006" s="9">
        <v>36020</v>
      </c>
      <c r="F1006" s="8" t="s">
        <v>212</v>
      </c>
      <c r="G1006" s="8" t="s">
        <v>41</v>
      </c>
      <c r="H1006" s="8" t="s">
        <v>144</v>
      </c>
      <c r="I1006" s="8" t="s">
        <v>149</v>
      </c>
      <c r="J1006" s="8" t="s">
        <v>76</v>
      </c>
      <c r="K1006" s="8" t="s">
        <v>77</v>
      </c>
      <c r="L1006" s="8" t="s">
        <v>183</v>
      </c>
      <c r="M1006" s="10" t="s">
        <v>474</v>
      </c>
      <c r="N1006" s="11" t="s">
        <v>2431</v>
      </c>
    </row>
    <row r="1007" spans="1:14" ht="15.75" customHeight="1" x14ac:dyDescent="0.15">
      <c r="A1007" s="6" t="s">
        <v>2496</v>
      </c>
      <c r="B1007" s="12" t="s">
        <v>189</v>
      </c>
      <c r="C1007" s="7" t="s">
        <v>2497</v>
      </c>
      <c r="D1007" s="13" t="s">
        <v>107</v>
      </c>
      <c r="E1007" s="14">
        <v>38144</v>
      </c>
      <c r="F1007" s="13" t="s">
        <v>92</v>
      </c>
      <c r="G1007" s="13" t="s">
        <v>41</v>
      </c>
      <c r="H1007" s="13" t="s">
        <v>196</v>
      </c>
      <c r="I1007" s="13" t="s">
        <v>109</v>
      </c>
      <c r="J1007" s="13" t="s">
        <v>150</v>
      </c>
      <c r="K1007" s="13" t="s">
        <v>23</v>
      </c>
      <c r="L1007" s="13" t="s">
        <v>1006</v>
      </c>
      <c r="M1007" s="15" t="s">
        <v>391</v>
      </c>
      <c r="N1007" s="11" t="s">
        <v>2431</v>
      </c>
    </row>
    <row r="1008" spans="1:14" ht="15.75" customHeight="1" x14ac:dyDescent="0.15">
      <c r="A1008" s="6" t="s">
        <v>2498</v>
      </c>
      <c r="B1008" s="6" t="s">
        <v>194</v>
      </c>
      <c r="C1008" s="7" t="s">
        <v>2499</v>
      </c>
      <c r="D1008" s="8" t="s">
        <v>107</v>
      </c>
      <c r="E1008" s="9">
        <v>34586</v>
      </c>
      <c r="F1008" s="8" t="s">
        <v>59</v>
      </c>
      <c r="G1008" s="8" t="s">
        <v>19</v>
      </c>
      <c r="H1008" s="8" t="s">
        <v>20</v>
      </c>
      <c r="I1008" s="8" t="s">
        <v>157</v>
      </c>
      <c r="J1008" s="8" t="s">
        <v>76</v>
      </c>
      <c r="K1008" s="8" t="s">
        <v>77</v>
      </c>
      <c r="L1008" s="8" t="s">
        <v>198</v>
      </c>
      <c r="M1008" s="10" t="s">
        <v>947</v>
      </c>
      <c r="N1008" s="11" t="s">
        <v>2431</v>
      </c>
    </row>
    <row r="1009" spans="1:14" ht="15.75" customHeight="1" x14ac:dyDescent="0.15">
      <c r="A1009" s="6" t="s">
        <v>2500</v>
      </c>
      <c r="B1009" s="12" t="s">
        <v>201</v>
      </c>
      <c r="C1009" s="7" t="s">
        <v>2501</v>
      </c>
      <c r="D1009" s="13" t="s">
        <v>107</v>
      </c>
      <c r="E1009" s="17">
        <v>35361</v>
      </c>
      <c r="F1009" s="13" t="s">
        <v>148</v>
      </c>
      <c r="G1009" s="13" t="s">
        <v>293</v>
      </c>
      <c r="H1009" s="13" t="s">
        <v>68</v>
      </c>
      <c r="I1009" s="13" t="s">
        <v>207</v>
      </c>
      <c r="J1009" s="13" t="s">
        <v>34</v>
      </c>
      <c r="K1009" s="13" t="s">
        <v>44</v>
      </c>
      <c r="L1009" s="13" t="s">
        <v>55</v>
      </c>
      <c r="M1009" s="15" t="s">
        <v>1317</v>
      </c>
      <c r="N1009" s="11" t="s">
        <v>2431</v>
      </c>
    </row>
    <row r="1010" spans="1:14" ht="15.75" customHeight="1" x14ac:dyDescent="0.15">
      <c r="A1010" s="12" t="s">
        <v>2502</v>
      </c>
      <c r="B1010" s="6" t="s">
        <v>205</v>
      </c>
      <c r="C1010" s="7" t="s">
        <v>2503</v>
      </c>
      <c r="D1010" s="8" t="s">
        <v>17</v>
      </c>
      <c r="E1010" s="16">
        <v>35062</v>
      </c>
      <c r="F1010" s="8" t="s">
        <v>66</v>
      </c>
      <c r="G1010" s="8" t="s">
        <v>67</v>
      </c>
      <c r="H1010" s="8" t="s">
        <v>52</v>
      </c>
      <c r="I1010" s="8" t="s">
        <v>265</v>
      </c>
      <c r="J1010" s="8" t="s">
        <v>34</v>
      </c>
      <c r="K1010" s="8" t="s">
        <v>23</v>
      </c>
      <c r="L1010" s="8" t="s">
        <v>55</v>
      </c>
      <c r="M1010" s="10" t="s">
        <v>161</v>
      </c>
      <c r="N1010" s="11" t="s">
        <v>2431</v>
      </c>
    </row>
    <row r="1011" spans="1:14" ht="15.75" customHeight="1" x14ac:dyDescent="0.15">
      <c r="A1011" s="6" t="s">
        <v>2504</v>
      </c>
      <c r="B1011" s="12" t="s">
        <v>210</v>
      </c>
      <c r="C1011" s="7" t="s">
        <v>2505</v>
      </c>
      <c r="D1011" s="13" t="s">
        <v>39</v>
      </c>
      <c r="E1011" s="14">
        <v>37115</v>
      </c>
      <c r="F1011" s="13" t="s">
        <v>203</v>
      </c>
      <c r="G1011" s="13" t="s">
        <v>204</v>
      </c>
      <c r="H1011" s="13" t="s">
        <v>191</v>
      </c>
      <c r="I1011" s="13" t="s">
        <v>651</v>
      </c>
      <c r="J1011" s="13" t="s">
        <v>76</v>
      </c>
      <c r="K1011" s="13" t="s">
        <v>44</v>
      </c>
      <c r="L1011" s="13" t="s">
        <v>35</v>
      </c>
      <c r="M1011" s="15" t="s">
        <v>161</v>
      </c>
      <c r="N1011" s="11" t="s">
        <v>2431</v>
      </c>
    </row>
    <row r="1012" spans="1:14" ht="15.75" customHeight="1" x14ac:dyDescent="0.15">
      <c r="A1012" s="12" t="s">
        <v>2506</v>
      </c>
      <c r="B1012" s="6" t="s">
        <v>215</v>
      </c>
      <c r="C1012" s="7" t="s">
        <v>2507</v>
      </c>
      <c r="D1012" s="8" t="s">
        <v>107</v>
      </c>
      <c r="E1012" s="9">
        <v>39333</v>
      </c>
      <c r="F1012" s="8" t="s">
        <v>571</v>
      </c>
      <c r="G1012" s="8" t="s">
        <v>93</v>
      </c>
      <c r="H1012" s="8" t="s">
        <v>20</v>
      </c>
      <c r="I1012" s="8" t="s">
        <v>120</v>
      </c>
      <c r="J1012" s="8" t="s">
        <v>22</v>
      </c>
      <c r="K1012" s="8" t="s">
        <v>77</v>
      </c>
      <c r="L1012" s="8" t="s">
        <v>283</v>
      </c>
      <c r="M1012" s="10" t="s">
        <v>262</v>
      </c>
      <c r="N1012" s="11" t="s">
        <v>2431</v>
      </c>
    </row>
    <row r="1013" spans="1:14" ht="15.75" customHeight="1" x14ac:dyDescent="0.15">
      <c r="A1013" s="6" t="s">
        <v>2508</v>
      </c>
      <c r="B1013" s="12" t="s">
        <v>220</v>
      </c>
      <c r="C1013" s="7" t="s">
        <v>2509</v>
      </c>
      <c r="D1013" s="13" t="s">
        <v>107</v>
      </c>
      <c r="E1013" s="14">
        <v>37662</v>
      </c>
      <c r="F1013" s="13" t="s">
        <v>186</v>
      </c>
      <c r="G1013" s="13" t="s">
        <v>131</v>
      </c>
      <c r="H1013" s="13" t="s">
        <v>369</v>
      </c>
      <c r="I1013" s="13" t="s">
        <v>192</v>
      </c>
      <c r="J1013" s="13" t="s">
        <v>34</v>
      </c>
      <c r="K1013" s="13" t="s">
        <v>23</v>
      </c>
      <c r="L1013" s="13" t="s">
        <v>62</v>
      </c>
      <c r="M1013" s="15" t="s">
        <v>161</v>
      </c>
      <c r="N1013" s="11" t="s">
        <v>2431</v>
      </c>
    </row>
    <row r="1014" spans="1:14" ht="15.75" customHeight="1" x14ac:dyDescent="0.15">
      <c r="A1014" s="6" t="s">
        <v>2510</v>
      </c>
      <c r="B1014" s="6" t="s">
        <v>223</v>
      </c>
      <c r="C1014" s="7" t="s">
        <v>2511</v>
      </c>
      <c r="D1014" s="8" t="s">
        <v>107</v>
      </c>
      <c r="E1014" s="9">
        <v>35186</v>
      </c>
      <c r="F1014" s="8" t="s">
        <v>66</v>
      </c>
      <c r="G1014" s="8" t="s">
        <v>138</v>
      </c>
      <c r="H1014" s="8" t="s">
        <v>369</v>
      </c>
      <c r="I1014" s="8" t="s">
        <v>414</v>
      </c>
      <c r="J1014" s="8" t="s">
        <v>150</v>
      </c>
      <c r="K1014" s="8" t="s">
        <v>44</v>
      </c>
      <c r="L1014" s="8" t="s">
        <v>151</v>
      </c>
      <c r="M1014" s="10" t="s">
        <v>85</v>
      </c>
      <c r="N1014" s="11" t="s">
        <v>2431</v>
      </c>
    </row>
    <row r="1015" spans="1:14" ht="15.75" customHeight="1" x14ac:dyDescent="0.15">
      <c r="A1015" s="6" t="s">
        <v>2512</v>
      </c>
      <c r="B1015" s="12" t="s">
        <v>227</v>
      </c>
      <c r="C1015" s="7" t="s">
        <v>2513</v>
      </c>
      <c r="D1015" s="13" t="s">
        <v>17</v>
      </c>
      <c r="E1015" s="14">
        <v>36059</v>
      </c>
      <c r="F1015" s="13" t="s">
        <v>30</v>
      </c>
      <c r="G1015" s="13" t="s">
        <v>60</v>
      </c>
      <c r="H1015" s="13" t="s">
        <v>32</v>
      </c>
      <c r="I1015" s="13" t="s">
        <v>149</v>
      </c>
      <c r="J1015" s="13" t="s">
        <v>76</v>
      </c>
      <c r="K1015" s="13" t="s">
        <v>44</v>
      </c>
      <c r="L1015" s="13" t="s">
        <v>84</v>
      </c>
      <c r="M1015" s="15" t="s">
        <v>298</v>
      </c>
      <c r="N1015" s="11" t="s">
        <v>2431</v>
      </c>
    </row>
    <row r="1016" spans="1:14" ht="15.75" customHeight="1" x14ac:dyDescent="0.15">
      <c r="A1016" s="12" t="s">
        <v>2514</v>
      </c>
      <c r="B1016" s="6" t="s">
        <v>230</v>
      </c>
      <c r="C1016" s="7" t="s">
        <v>2515</v>
      </c>
      <c r="D1016" s="8" t="s">
        <v>17</v>
      </c>
      <c r="E1016" s="9">
        <v>36869</v>
      </c>
      <c r="F1016" s="8" t="s">
        <v>203</v>
      </c>
      <c r="G1016" s="8" t="s">
        <v>131</v>
      </c>
      <c r="H1016" s="8" t="s">
        <v>52</v>
      </c>
      <c r="I1016" s="8" t="s">
        <v>192</v>
      </c>
      <c r="J1016" s="8" t="s">
        <v>22</v>
      </c>
      <c r="K1016" s="8" t="s">
        <v>23</v>
      </c>
      <c r="L1016" s="8" t="s">
        <v>479</v>
      </c>
      <c r="M1016" s="10" t="s">
        <v>287</v>
      </c>
      <c r="N1016" s="11" t="s">
        <v>2431</v>
      </c>
    </row>
    <row r="1017" spans="1:14" ht="15.75" customHeight="1" x14ac:dyDescent="0.15">
      <c r="A1017" s="6" t="s">
        <v>2516</v>
      </c>
      <c r="B1017" s="12" t="s">
        <v>234</v>
      </c>
      <c r="C1017" s="7" t="s">
        <v>2517</v>
      </c>
      <c r="D1017" s="13" t="s">
        <v>49</v>
      </c>
      <c r="E1017" s="17">
        <v>35782</v>
      </c>
      <c r="F1017" s="13" t="s">
        <v>212</v>
      </c>
      <c r="G1017" s="13" t="s">
        <v>204</v>
      </c>
      <c r="H1017" s="13" t="s">
        <v>94</v>
      </c>
      <c r="I1017" s="13" t="s">
        <v>115</v>
      </c>
      <c r="J1017" s="13" t="s">
        <v>34</v>
      </c>
      <c r="K1017" s="13" t="s">
        <v>44</v>
      </c>
      <c r="L1017" s="13" t="s">
        <v>35</v>
      </c>
      <c r="M1017" s="15" t="s">
        <v>262</v>
      </c>
      <c r="N1017" s="11" t="s">
        <v>2431</v>
      </c>
    </row>
    <row r="1018" spans="1:14" ht="15.75" customHeight="1" x14ac:dyDescent="0.15">
      <c r="A1018" s="12" t="s">
        <v>2518</v>
      </c>
      <c r="B1018" s="6" t="s">
        <v>236</v>
      </c>
      <c r="C1018" s="7" t="s">
        <v>2519</v>
      </c>
      <c r="D1018" s="8" t="s">
        <v>107</v>
      </c>
      <c r="E1018" s="9">
        <v>37325</v>
      </c>
      <c r="F1018" s="8" t="s">
        <v>137</v>
      </c>
      <c r="G1018" s="8" t="s">
        <v>93</v>
      </c>
      <c r="H1018" s="8" t="s">
        <v>94</v>
      </c>
      <c r="I1018" s="8" t="s">
        <v>115</v>
      </c>
      <c r="J1018" s="8" t="s">
        <v>22</v>
      </c>
      <c r="K1018" s="8" t="s">
        <v>44</v>
      </c>
      <c r="L1018" s="8" t="s">
        <v>244</v>
      </c>
      <c r="M1018" s="10" t="s">
        <v>161</v>
      </c>
      <c r="N1018" s="11" t="s">
        <v>2431</v>
      </c>
    </row>
    <row r="1019" spans="1:14" ht="15.75" customHeight="1" x14ac:dyDescent="0.15">
      <c r="A1019" s="6" t="s">
        <v>2520</v>
      </c>
      <c r="B1019" s="12" t="s">
        <v>241</v>
      </c>
      <c r="C1019" s="7" t="s">
        <v>2521</v>
      </c>
      <c r="D1019" s="13" t="s">
        <v>107</v>
      </c>
      <c r="E1019" s="14">
        <v>36045</v>
      </c>
      <c r="F1019" s="13" t="s">
        <v>30</v>
      </c>
      <c r="G1019" s="13" t="s">
        <v>31</v>
      </c>
      <c r="H1019" s="13" t="s">
        <v>68</v>
      </c>
      <c r="I1019" s="13" t="s">
        <v>157</v>
      </c>
      <c r="J1019" s="13" t="s">
        <v>54</v>
      </c>
      <c r="K1019" s="13" t="s">
        <v>77</v>
      </c>
      <c r="L1019" s="13" t="s">
        <v>62</v>
      </c>
      <c r="M1019" s="15" t="s">
        <v>2522</v>
      </c>
      <c r="N1019" s="11" t="s">
        <v>2431</v>
      </c>
    </row>
    <row r="1020" spans="1:14" ht="15.75" customHeight="1" x14ac:dyDescent="0.15">
      <c r="A1020" s="6" t="s">
        <v>2523</v>
      </c>
      <c r="B1020" s="6" t="s">
        <v>246</v>
      </c>
      <c r="C1020" s="7" t="s">
        <v>2524</v>
      </c>
      <c r="D1020" s="8" t="s">
        <v>107</v>
      </c>
      <c r="E1020" s="9">
        <v>34126</v>
      </c>
      <c r="F1020" s="8" t="s">
        <v>182</v>
      </c>
      <c r="G1020" s="8" t="s">
        <v>93</v>
      </c>
      <c r="H1020" s="8" t="s">
        <v>1179</v>
      </c>
      <c r="I1020" s="8" t="s">
        <v>804</v>
      </c>
      <c r="J1020" s="8" t="s">
        <v>150</v>
      </c>
      <c r="K1020" s="8" t="s">
        <v>77</v>
      </c>
      <c r="L1020" s="8" t="s">
        <v>151</v>
      </c>
      <c r="M1020" s="10" t="s">
        <v>329</v>
      </c>
      <c r="N1020" s="11" t="s">
        <v>2431</v>
      </c>
    </row>
    <row r="1021" spans="1:14" ht="15.75" customHeight="1" x14ac:dyDescent="0.15">
      <c r="A1021" s="6" t="s">
        <v>2525</v>
      </c>
      <c r="B1021" s="12" t="s">
        <v>249</v>
      </c>
      <c r="C1021" s="7" t="s">
        <v>2526</v>
      </c>
      <c r="D1021" s="13" t="s">
        <v>17</v>
      </c>
      <c r="E1021" s="14">
        <v>36196</v>
      </c>
      <c r="F1021" s="13" t="s">
        <v>30</v>
      </c>
      <c r="G1021" s="13" t="s">
        <v>131</v>
      </c>
      <c r="H1021" s="13" t="s">
        <v>179</v>
      </c>
      <c r="I1021" s="13" t="s">
        <v>33</v>
      </c>
      <c r="J1021" s="13" t="s">
        <v>76</v>
      </c>
      <c r="K1021" s="13" t="s">
        <v>23</v>
      </c>
      <c r="L1021" s="13" t="s">
        <v>165</v>
      </c>
      <c r="M1021" s="15" t="s">
        <v>161</v>
      </c>
      <c r="N1021" s="11" t="s">
        <v>2431</v>
      </c>
    </row>
    <row r="1022" spans="1:14" ht="15.75" customHeight="1" x14ac:dyDescent="0.15">
      <c r="A1022" s="12" t="s">
        <v>2527</v>
      </c>
      <c r="B1022" s="6" t="s">
        <v>253</v>
      </c>
      <c r="C1022" s="7" t="s">
        <v>2528</v>
      </c>
      <c r="D1022" s="8" t="s">
        <v>39</v>
      </c>
      <c r="E1022" s="9">
        <v>35526</v>
      </c>
      <c r="F1022" s="8" t="s">
        <v>148</v>
      </c>
      <c r="G1022" s="8" t="s">
        <v>101</v>
      </c>
      <c r="H1022" s="8" t="s">
        <v>179</v>
      </c>
      <c r="I1022" s="8" t="s">
        <v>109</v>
      </c>
      <c r="J1022" s="8" t="s">
        <v>22</v>
      </c>
      <c r="K1022" s="8" t="s">
        <v>44</v>
      </c>
      <c r="L1022" s="8" t="s">
        <v>35</v>
      </c>
      <c r="M1022" s="10" t="s">
        <v>1528</v>
      </c>
      <c r="N1022" s="11" t="s">
        <v>2431</v>
      </c>
    </row>
    <row r="1023" spans="1:14" ht="15.75" customHeight="1" x14ac:dyDescent="0.15">
      <c r="A1023" s="6" t="s">
        <v>2529</v>
      </c>
      <c r="B1023" s="12" t="s">
        <v>257</v>
      </c>
      <c r="C1023" s="7" t="s">
        <v>2530</v>
      </c>
      <c r="D1023" s="13" t="s">
        <v>39</v>
      </c>
      <c r="E1023" s="14">
        <v>36756</v>
      </c>
      <c r="F1023" s="13" t="s">
        <v>40</v>
      </c>
      <c r="G1023" s="13" t="s">
        <v>19</v>
      </c>
      <c r="H1023" s="13" t="s">
        <v>114</v>
      </c>
      <c r="I1023" s="13" t="s">
        <v>651</v>
      </c>
      <c r="J1023" s="13" t="s">
        <v>54</v>
      </c>
      <c r="K1023" s="13" t="s">
        <v>44</v>
      </c>
      <c r="L1023" s="13" t="s">
        <v>35</v>
      </c>
      <c r="M1023" s="15" t="s">
        <v>71</v>
      </c>
      <c r="N1023" s="11" t="s">
        <v>2431</v>
      </c>
    </row>
    <row r="1024" spans="1:14" ht="15.75" customHeight="1" x14ac:dyDescent="0.15">
      <c r="A1024" s="12" t="s">
        <v>2531</v>
      </c>
      <c r="B1024" s="6" t="s">
        <v>259</v>
      </c>
      <c r="C1024" s="7" t="s">
        <v>2532</v>
      </c>
      <c r="D1024" s="8" t="s">
        <v>107</v>
      </c>
      <c r="E1024" s="16">
        <v>32806</v>
      </c>
      <c r="F1024" s="8" t="s">
        <v>125</v>
      </c>
      <c r="G1024" s="8" t="s">
        <v>618</v>
      </c>
      <c r="H1024" s="8" t="s">
        <v>20</v>
      </c>
      <c r="I1024" s="8" t="s">
        <v>157</v>
      </c>
      <c r="J1024" s="8" t="s">
        <v>76</v>
      </c>
      <c r="K1024" s="8" t="s">
        <v>44</v>
      </c>
      <c r="L1024" s="8" t="s">
        <v>431</v>
      </c>
      <c r="M1024" s="10" t="s">
        <v>56</v>
      </c>
      <c r="N1024" s="11" t="s">
        <v>2431</v>
      </c>
    </row>
    <row r="1025" spans="1:14" ht="15.75" customHeight="1" x14ac:dyDescent="0.15">
      <c r="A1025" s="6" t="s">
        <v>2533</v>
      </c>
      <c r="B1025" s="12" t="s">
        <v>263</v>
      </c>
      <c r="C1025" s="7" t="s">
        <v>2534</v>
      </c>
      <c r="D1025" s="13" t="s">
        <v>107</v>
      </c>
      <c r="E1025" s="14">
        <v>38504</v>
      </c>
      <c r="F1025" s="13" t="s">
        <v>217</v>
      </c>
      <c r="G1025" s="13" t="s">
        <v>138</v>
      </c>
      <c r="H1025" s="13" t="s">
        <v>144</v>
      </c>
      <c r="I1025" s="13" t="s">
        <v>109</v>
      </c>
      <c r="J1025" s="13" t="s">
        <v>76</v>
      </c>
      <c r="K1025" s="13" t="s">
        <v>23</v>
      </c>
      <c r="L1025" s="13" t="s">
        <v>62</v>
      </c>
      <c r="M1025" s="15" t="s">
        <v>199</v>
      </c>
      <c r="N1025" s="11" t="s">
        <v>2431</v>
      </c>
    </row>
    <row r="1026" spans="1:14" ht="15.75" customHeight="1" x14ac:dyDescent="0.15">
      <c r="A1026" s="6" t="s">
        <v>2535</v>
      </c>
      <c r="B1026" s="6" t="s">
        <v>266</v>
      </c>
      <c r="C1026" s="7" t="s">
        <v>2536</v>
      </c>
      <c r="D1026" s="8" t="s">
        <v>107</v>
      </c>
      <c r="E1026" s="9">
        <v>34451</v>
      </c>
      <c r="F1026" s="8" t="s">
        <v>18</v>
      </c>
      <c r="G1026" s="8" t="s">
        <v>60</v>
      </c>
      <c r="H1026" s="8" t="s">
        <v>156</v>
      </c>
      <c r="I1026" s="8" t="s">
        <v>61</v>
      </c>
      <c r="J1026" s="8" t="s">
        <v>76</v>
      </c>
      <c r="K1026" s="8" t="s">
        <v>23</v>
      </c>
      <c r="L1026" s="8" t="s">
        <v>561</v>
      </c>
      <c r="M1026" s="10" t="s">
        <v>2537</v>
      </c>
      <c r="N1026" s="11" t="s">
        <v>2431</v>
      </c>
    </row>
    <row r="1027" spans="1:14" ht="15.75" customHeight="1" x14ac:dyDescent="0.15">
      <c r="A1027" s="6" t="s">
        <v>2538</v>
      </c>
      <c r="B1027" s="12" t="s">
        <v>268</v>
      </c>
      <c r="C1027" s="7" t="s">
        <v>2539</v>
      </c>
      <c r="D1027" s="13" t="s">
        <v>17</v>
      </c>
      <c r="E1027" s="14">
        <v>39263</v>
      </c>
      <c r="F1027" s="13" t="s">
        <v>232</v>
      </c>
      <c r="G1027" s="13" t="s">
        <v>93</v>
      </c>
      <c r="H1027" s="13" t="s">
        <v>94</v>
      </c>
      <c r="I1027" s="13" t="s">
        <v>192</v>
      </c>
      <c r="J1027" s="13" t="s">
        <v>22</v>
      </c>
      <c r="K1027" s="13" t="s">
        <v>44</v>
      </c>
      <c r="L1027" s="13" t="s">
        <v>424</v>
      </c>
      <c r="M1027" s="15" t="s">
        <v>449</v>
      </c>
      <c r="N1027" s="11" t="s">
        <v>2431</v>
      </c>
    </row>
    <row r="1028" spans="1:14" ht="15.75" customHeight="1" x14ac:dyDescent="0.15">
      <c r="A1028" s="12" t="s">
        <v>2540</v>
      </c>
      <c r="B1028" s="6" t="s">
        <v>271</v>
      </c>
      <c r="C1028" s="7" t="s">
        <v>2541</v>
      </c>
      <c r="D1028" s="8" t="s">
        <v>107</v>
      </c>
      <c r="E1028" s="9">
        <v>37405</v>
      </c>
      <c r="F1028" s="8" t="s">
        <v>137</v>
      </c>
      <c r="G1028" s="8" t="s">
        <v>31</v>
      </c>
      <c r="H1028" s="8" t="s">
        <v>114</v>
      </c>
      <c r="I1028" s="8" t="s">
        <v>192</v>
      </c>
      <c r="J1028" s="8" t="s">
        <v>34</v>
      </c>
      <c r="K1028" s="8" t="s">
        <v>23</v>
      </c>
      <c r="L1028" s="8" t="s">
        <v>78</v>
      </c>
      <c r="M1028" s="10" t="s">
        <v>506</v>
      </c>
      <c r="N1028" s="11" t="s">
        <v>2431</v>
      </c>
    </row>
    <row r="1029" spans="1:14" ht="15.75" customHeight="1" x14ac:dyDescent="0.15">
      <c r="A1029" s="6" t="s">
        <v>2542</v>
      </c>
      <c r="B1029" s="12" t="s">
        <v>275</v>
      </c>
      <c r="C1029" s="7" t="s">
        <v>2543</v>
      </c>
      <c r="D1029" s="13" t="s">
        <v>17</v>
      </c>
      <c r="E1029" s="14">
        <v>35890</v>
      </c>
      <c r="F1029" s="13" t="s">
        <v>212</v>
      </c>
      <c r="G1029" s="13" t="s">
        <v>31</v>
      </c>
      <c r="H1029" s="13" t="s">
        <v>74</v>
      </c>
      <c r="I1029" s="13" t="s">
        <v>265</v>
      </c>
      <c r="J1029" s="13" t="s">
        <v>22</v>
      </c>
      <c r="K1029" s="13" t="s">
        <v>23</v>
      </c>
      <c r="L1029" s="13" t="s">
        <v>277</v>
      </c>
      <c r="M1029" s="15" t="s">
        <v>458</v>
      </c>
      <c r="N1029" s="11" t="s">
        <v>2431</v>
      </c>
    </row>
    <row r="1030" spans="1:14" ht="15.75" customHeight="1" x14ac:dyDescent="0.15">
      <c r="A1030" s="12" t="s">
        <v>2544</v>
      </c>
      <c r="B1030" s="6" t="s">
        <v>278</v>
      </c>
      <c r="C1030" s="7" t="s">
        <v>2545</v>
      </c>
      <c r="D1030" s="8" t="s">
        <v>107</v>
      </c>
      <c r="E1030" s="9">
        <v>35599</v>
      </c>
      <c r="F1030" s="8" t="s">
        <v>148</v>
      </c>
      <c r="G1030" s="8" t="s">
        <v>31</v>
      </c>
      <c r="H1030" s="8" t="s">
        <v>579</v>
      </c>
      <c r="I1030" s="8" t="s">
        <v>95</v>
      </c>
      <c r="J1030" s="8" t="s">
        <v>22</v>
      </c>
      <c r="K1030" s="8" t="s">
        <v>44</v>
      </c>
      <c r="L1030" s="8" t="s">
        <v>128</v>
      </c>
      <c r="M1030" s="10" t="s">
        <v>36</v>
      </c>
      <c r="N1030" s="11" t="s">
        <v>2431</v>
      </c>
    </row>
    <row r="1031" spans="1:14" ht="15.75" customHeight="1" x14ac:dyDescent="0.15">
      <c r="A1031" s="6" t="s">
        <v>2546</v>
      </c>
      <c r="B1031" s="12" t="s">
        <v>281</v>
      </c>
      <c r="C1031" s="7" t="s">
        <v>2547</v>
      </c>
      <c r="D1031" s="13" t="s">
        <v>107</v>
      </c>
      <c r="E1031" s="14">
        <v>38559</v>
      </c>
      <c r="F1031" s="13" t="s">
        <v>217</v>
      </c>
      <c r="G1031" s="13" t="s">
        <v>138</v>
      </c>
      <c r="H1031" s="13" t="s">
        <v>102</v>
      </c>
      <c r="I1031" s="13" t="s">
        <v>140</v>
      </c>
      <c r="J1031" s="13" t="s">
        <v>54</v>
      </c>
      <c r="K1031" s="13" t="s">
        <v>44</v>
      </c>
      <c r="L1031" s="13" t="s">
        <v>165</v>
      </c>
      <c r="M1031" s="15" t="s">
        <v>2548</v>
      </c>
      <c r="N1031" s="11" t="s">
        <v>2431</v>
      </c>
    </row>
    <row r="1032" spans="1:14" ht="15.75" customHeight="1" x14ac:dyDescent="0.15">
      <c r="A1032" s="6" t="s">
        <v>2549</v>
      </c>
      <c r="B1032" s="6" t="s">
        <v>285</v>
      </c>
      <c r="C1032" s="7" t="s">
        <v>2550</v>
      </c>
      <c r="D1032" s="8" t="s">
        <v>107</v>
      </c>
      <c r="E1032" s="9">
        <v>37285</v>
      </c>
      <c r="F1032" s="8" t="s">
        <v>137</v>
      </c>
      <c r="G1032" s="8" t="s">
        <v>93</v>
      </c>
      <c r="H1032" s="8" t="s">
        <v>156</v>
      </c>
      <c r="I1032" s="8" t="s">
        <v>438</v>
      </c>
      <c r="J1032" s="8" t="s">
        <v>54</v>
      </c>
      <c r="K1032" s="8" t="s">
        <v>23</v>
      </c>
      <c r="L1032" s="8" t="s">
        <v>35</v>
      </c>
      <c r="M1032" s="10" t="s">
        <v>467</v>
      </c>
      <c r="N1032" s="11" t="s">
        <v>2431</v>
      </c>
    </row>
    <row r="1033" spans="1:14" ht="15.75" customHeight="1" x14ac:dyDescent="0.15">
      <c r="A1033" s="6" t="s">
        <v>2551</v>
      </c>
      <c r="B1033" s="12" t="s">
        <v>288</v>
      </c>
      <c r="C1033" s="7" t="s">
        <v>2552</v>
      </c>
      <c r="D1033" s="13" t="s">
        <v>39</v>
      </c>
      <c r="E1033" s="14">
        <v>37477</v>
      </c>
      <c r="F1033" s="13" t="s">
        <v>137</v>
      </c>
      <c r="G1033" s="13" t="s">
        <v>31</v>
      </c>
      <c r="H1033" s="13" t="s">
        <v>94</v>
      </c>
      <c r="I1033" s="13" t="s">
        <v>149</v>
      </c>
      <c r="J1033" s="13" t="s">
        <v>54</v>
      </c>
      <c r="K1033" s="13" t="s">
        <v>44</v>
      </c>
      <c r="L1033" s="13" t="s">
        <v>733</v>
      </c>
      <c r="M1033" s="15" t="s">
        <v>1067</v>
      </c>
      <c r="N1033" s="11" t="s">
        <v>2431</v>
      </c>
    </row>
    <row r="1034" spans="1:14" ht="15.75" customHeight="1" x14ac:dyDescent="0.15">
      <c r="A1034" s="12" t="s">
        <v>2553</v>
      </c>
      <c r="B1034" s="6" t="s">
        <v>291</v>
      </c>
      <c r="C1034" s="7" t="s">
        <v>2554</v>
      </c>
      <c r="D1034" s="8" t="s">
        <v>107</v>
      </c>
      <c r="E1034" s="9">
        <v>38845</v>
      </c>
      <c r="F1034" s="8" t="s">
        <v>170</v>
      </c>
      <c r="G1034" s="8" t="s">
        <v>131</v>
      </c>
      <c r="H1034" s="8" t="s">
        <v>156</v>
      </c>
      <c r="I1034" s="8" t="s">
        <v>207</v>
      </c>
      <c r="J1034" s="8" t="s">
        <v>22</v>
      </c>
      <c r="K1034" s="8" t="s">
        <v>44</v>
      </c>
      <c r="L1034" s="8" t="s">
        <v>165</v>
      </c>
      <c r="M1034" s="10" t="s">
        <v>262</v>
      </c>
      <c r="N1034" s="11" t="s">
        <v>2431</v>
      </c>
    </row>
    <row r="1035" spans="1:14" ht="15.75" customHeight="1" x14ac:dyDescent="0.15">
      <c r="A1035" s="6" t="s">
        <v>2555</v>
      </c>
      <c r="B1035" s="12" t="s">
        <v>295</v>
      </c>
      <c r="C1035" s="7" t="s">
        <v>2556</v>
      </c>
      <c r="D1035" s="13" t="s">
        <v>39</v>
      </c>
      <c r="E1035" s="14">
        <v>36174</v>
      </c>
      <c r="F1035" s="13" t="s">
        <v>30</v>
      </c>
      <c r="G1035" s="13" t="s">
        <v>67</v>
      </c>
      <c r="H1035" s="13" t="s">
        <v>108</v>
      </c>
      <c r="I1035" s="13" t="s">
        <v>273</v>
      </c>
      <c r="J1035" s="13" t="s">
        <v>76</v>
      </c>
      <c r="K1035" s="13" t="s">
        <v>77</v>
      </c>
      <c r="L1035" s="13" t="s">
        <v>244</v>
      </c>
      <c r="M1035" s="15" t="s">
        <v>199</v>
      </c>
      <c r="N1035" s="11" t="s">
        <v>2431</v>
      </c>
    </row>
    <row r="1036" spans="1:14" ht="15.75" customHeight="1" x14ac:dyDescent="0.15">
      <c r="A1036" s="12" t="s">
        <v>2557</v>
      </c>
      <c r="B1036" s="6" t="s">
        <v>299</v>
      </c>
      <c r="C1036" s="7" t="s">
        <v>2558</v>
      </c>
      <c r="D1036" s="8" t="s">
        <v>107</v>
      </c>
      <c r="E1036" s="9">
        <v>37515</v>
      </c>
      <c r="F1036" s="8" t="s">
        <v>186</v>
      </c>
      <c r="G1036" s="8" t="s">
        <v>131</v>
      </c>
      <c r="H1036" s="8" t="s">
        <v>108</v>
      </c>
      <c r="I1036" s="8" t="s">
        <v>385</v>
      </c>
      <c r="J1036" s="8" t="s">
        <v>22</v>
      </c>
      <c r="K1036" s="8" t="s">
        <v>23</v>
      </c>
      <c r="L1036" s="8" t="s">
        <v>663</v>
      </c>
      <c r="M1036" s="10" t="s">
        <v>727</v>
      </c>
      <c r="N1036" s="11" t="s">
        <v>2431</v>
      </c>
    </row>
    <row r="1037" spans="1:14" ht="15.75" customHeight="1" x14ac:dyDescent="0.15">
      <c r="A1037" s="6" t="s">
        <v>2559</v>
      </c>
      <c r="B1037" s="12" t="s">
        <v>303</v>
      </c>
      <c r="C1037" s="7" t="s">
        <v>2560</v>
      </c>
      <c r="D1037" s="13" t="s">
        <v>49</v>
      </c>
      <c r="E1037" s="14">
        <v>38583</v>
      </c>
      <c r="F1037" s="13" t="s">
        <v>217</v>
      </c>
      <c r="G1037" s="13" t="s">
        <v>138</v>
      </c>
      <c r="H1037" s="13" t="s">
        <v>179</v>
      </c>
      <c r="I1037" s="13" t="s">
        <v>33</v>
      </c>
      <c r="J1037" s="13" t="s">
        <v>22</v>
      </c>
      <c r="K1037" s="13" t="s">
        <v>23</v>
      </c>
      <c r="L1037" s="13" t="s">
        <v>218</v>
      </c>
      <c r="M1037" s="15" t="s">
        <v>950</v>
      </c>
      <c r="N1037" s="11" t="s">
        <v>2431</v>
      </c>
    </row>
    <row r="1038" spans="1:14" ht="15.75" customHeight="1" x14ac:dyDescent="0.15">
      <c r="A1038" s="6" t="s">
        <v>2561</v>
      </c>
      <c r="B1038" s="6" t="s">
        <v>306</v>
      </c>
      <c r="C1038" s="7" t="s">
        <v>2562</v>
      </c>
      <c r="D1038" s="8" t="s">
        <v>107</v>
      </c>
      <c r="E1038" s="9">
        <v>36691</v>
      </c>
      <c r="F1038" s="8" t="s">
        <v>40</v>
      </c>
      <c r="G1038" s="8" t="s">
        <v>41</v>
      </c>
      <c r="H1038" s="8" t="s">
        <v>94</v>
      </c>
      <c r="I1038" s="8" t="s">
        <v>43</v>
      </c>
      <c r="J1038" s="8" t="s">
        <v>54</v>
      </c>
      <c r="K1038" s="8" t="s">
        <v>77</v>
      </c>
      <c r="L1038" s="8" t="s">
        <v>244</v>
      </c>
      <c r="M1038" s="10" t="s">
        <v>219</v>
      </c>
      <c r="N1038" s="11" t="s">
        <v>2431</v>
      </c>
    </row>
    <row r="1039" spans="1:14" ht="15.75" customHeight="1" x14ac:dyDescent="0.15">
      <c r="A1039" s="6" t="s">
        <v>2563</v>
      </c>
      <c r="B1039" s="12" t="s">
        <v>308</v>
      </c>
      <c r="C1039" s="7" t="s">
        <v>2564</v>
      </c>
      <c r="D1039" s="13" t="s">
        <v>17</v>
      </c>
      <c r="E1039" s="14">
        <v>35811</v>
      </c>
      <c r="F1039" s="13" t="s">
        <v>212</v>
      </c>
      <c r="G1039" s="13" t="s">
        <v>101</v>
      </c>
      <c r="H1039" s="13" t="s">
        <v>196</v>
      </c>
      <c r="I1039" s="13" t="s">
        <v>149</v>
      </c>
      <c r="J1039" s="13" t="s">
        <v>22</v>
      </c>
      <c r="K1039" s="13" t="s">
        <v>44</v>
      </c>
      <c r="L1039" s="13" t="s">
        <v>45</v>
      </c>
      <c r="M1039" s="15" t="s">
        <v>1067</v>
      </c>
      <c r="N1039" s="11" t="s">
        <v>2431</v>
      </c>
    </row>
    <row r="1040" spans="1:14" ht="15.75" customHeight="1" x14ac:dyDescent="0.15">
      <c r="A1040" s="12" t="s">
        <v>2565</v>
      </c>
      <c r="B1040" s="6" t="s">
        <v>314</v>
      </c>
      <c r="C1040" s="7" t="s">
        <v>2566</v>
      </c>
      <c r="D1040" s="8" t="s">
        <v>49</v>
      </c>
      <c r="E1040" s="9">
        <v>39205</v>
      </c>
      <c r="F1040" s="8" t="s">
        <v>232</v>
      </c>
      <c r="G1040" s="8" t="s">
        <v>93</v>
      </c>
      <c r="H1040" s="8" t="s">
        <v>82</v>
      </c>
      <c r="I1040" s="8" t="s">
        <v>273</v>
      </c>
      <c r="J1040" s="8" t="s">
        <v>22</v>
      </c>
      <c r="K1040" s="8" t="s">
        <v>44</v>
      </c>
      <c r="L1040" s="8" t="s">
        <v>663</v>
      </c>
      <c r="M1040" s="10" t="s">
        <v>562</v>
      </c>
      <c r="N1040" s="11" t="s">
        <v>2431</v>
      </c>
    </row>
    <row r="1041" spans="1:14" ht="15.75" customHeight="1" x14ac:dyDescent="0.15">
      <c r="A1041" s="6" t="s">
        <v>2567</v>
      </c>
      <c r="B1041" s="12" t="s">
        <v>346</v>
      </c>
      <c r="C1041" s="7" t="s">
        <v>2568</v>
      </c>
      <c r="D1041" s="13" t="s">
        <v>107</v>
      </c>
      <c r="E1041" s="14">
        <v>34888</v>
      </c>
      <c r="F1041" s="13" t="s">
        <v>59</v>
      </c>
      <c r="G1041" s="13" t="s">
        <v>93</v>
      </c>
      <c r="H1041" s="13" t="s">
        <v>108</v>
      </c>
      <c r="I1041" s="13" t="s">
        <v>120</v>
      </c>
      <c r="J1041" s="13" t="s">
        <v>150</v>
      </c>
      <c r="K1041" s="13" t="s">
        <v>77</v>
      </c>
      <c r="L1041" s="13" t="s">
        <v>151</v>
      </c>
      <c r="M1041" s="15" t="s">
        <v>111</v>
      </c>
      <c r="N1041" s="11" t="s">
        <v>2431</v>
      </c>
    </row>
    <row r="1042" spans="1:14" ht="15.75" customHeight="1" x14ac:dyDescent="0.15">
      <c r="A1042" s="12" t="s">
        <v>2569</v>
      </c>
      <c r="B1042" s="6" t="s">
        <v>402</v>
      </c>
      <c r="C1042" s="7" t="s">
        <v>2570</v>
      </c>
      <c r="D1042" s="8" t="s">
        <v>107</v>
      </c>
      <c r="E1042" s="9">
        <v>38425</v>
      </c>
      <c r="F1042" s="8" t="s">
        <v>217</v>
      </c>
      <c r="G1042" s="8" t="s">
        <v>41</v>
      </c>
      <c r="H1042" s="8" t="s">
        <v>108</v>
      </c>
      <c r="I1042" s="8" t="s">
        <v>109</v>
      </c>
      <c r="J1042" s="8" t="s">
        <v>54</v>
      </c>
      <c r="K1042" s="8" t="s">
        <v>77</v>
      </c>
      <c r="L1042" s="8" t="s">
        <v>244</v>
      </c>
      <c r="M1042" s="10" t="s">
        <v>274</v>
      </c>
      <c r="N1042" s="11" t="s">
        <v>2431</v>
      </c>
    </row>
    <row r="1043" spans="1:14" ht="15.75" customHeight="1" x14ac:dyDescent="0.15">
      <c r="A1043" s="6" t="s">
        <v>2571</v>
      </c>
      <c r="B1043" s="12" t="s">
        <v>319</v>
      </c>
      <c r="C1043" s="7" t="s">
        <v>2572</v>
      </c>
      <c r="D1043" s="13" t="s">
        <v>107</v>
      </c>
      <c r="E1043" s="14">
        <v>36272</v>
      </c>
      <c r="F1043" s="13" t="s">
        <v>30</v>
      </c>
      <c r="G1043" s="13" t="s">
        <v>67</v>
      </c>
      <c r="H1043" s="13" t="s">
        <v>94</v>
      </c>
      <c r="I1043" s="13" t="s">
        <v>95</v>
      </c>
      <c r="J1043" s="13" t="s">
        <v>54</v>
      </c>
      <c r="K1043" s="13" t="s">
        <v>23</v>
      </c>
      <c r="L1043" s="13" t="s">
        <v>663</v>
      </c>
      <c r="M1043" s="15" t="s">
        <v>248</v>
      </c>
      <c r="N1043" s="11" t="s">
        <v>2431</v>
      </c>
    </row>
    <row r="1044" spans="1:14" ht="15.75" customHeight="1" x14ac:dyDescent="0.15">
      <c r="A1044" s="6" t="s">
        <v>2573</v>
      </c>
      <c r="B1044" s="6" t="s">
        <v>407</v>
      </c>
      <c r="C1044" s="7" t="s">
        <v>2574</v>
      </c>
      <c r="D1044" s="8" t="s">
        <v>107</v>
      </c>
      <c r="E1044" s="16">
        <v>38707</v>
      </c>
      <c r="F1044" s="8" t="s">
        <v>170</v>
      </c>
      <c r="G1044" s="8" t="s">
        <v>93</v>
      </c>
      <c r="H1044" s="8" t="s">
        <v>156</v>
      </c>
      <c r="I1044" s="8" t="s">
        <v>33</v>
      </c>
      <c r="J1044" s="8" t="s">
        <v>54</v>
      </c>
      <c r="K1044" s="8" t="s">
        <v>44</v>
      </c>
      <c r="L1044" s="8" t="s">
        <v>511</v>
      </c>
      <c r="M1044" s="10" t="s">
        <v>2346</v>
      </c>
      <c r="N1044" s="11" t="s">
        <v>2431</v>
      </c>
    </row>
    <row r="1045" spans="1:14" ht="15.75" customHeight="1" x14ac:dyDescent="0.15">
      <c r="A1045" s="6" t="s">
        <v>2575</v>
      </c>
      <c r="B1045" s="12" t="s">
        <v>335</v>
      </c>
      <c r="C1045" s="7" t="s">
        <v>2576</v>
      </c>
      <c r="D1045" s="13" t="s">
        <v>17</v>
      </c>
      <c r="E1045" s="14">
        <v>32567</v>
      </c>
      <c r="F1045" s="13" t="s">
        <v>493</v>
      </c>
      <c r="G1045" s="13" t="s">
        <v>67</v>
      </c>
      <c r="H1045" s="13" t="s">
        <v>108</v>
      </c>
      <c r="I1045" s="13" t="s">
        <v>382</v>
      </c>
      <c r="J1045" s="13" t="s">
        <v>150</v>
      </c>
      <c r="K1045" s="13" t="s">
        <v>44</v>
      </c>
      <c r="L1045" s="13" t="s">
        <v>2577</v>
      </c>
      <c r="M1045" s="15" t="s">
        <v>85</v>
      </c>
      <c r="N1045" s="11" t="s">
        <v>2431</v>
      </c>
    </row>
    <row r="1046" spans="1:14" ht="15.75" customHeight="1" x14ac:dyDescent="0.15">
      <c r="A1046" s="12" t="s">
        <v>2578</v>
      </c>
      <c r="B1046" s="6" t="s">
        <v>340</v>
      </c>
      <c r="C1046" s="7" t="s">
        <v>2579</v>
      </c>
      <c r="D1046" s="8" t="s">
        <v>17</v>
      </c>
      <c r="E1046" s="9">
        <v>38395</v>
      </c>
      <c r="F1046" s="8" t="s">
        <v>217</v>
      </c>
      <c r="G1046" s="8" t="s">
        <v>41</v>
      </c>
      <c r="H1046" s="8" t="s">
        <v>114</v>
      </c>
      <c r="I1046" s="8" t="s">
        <v>120</v>
      </c>
      <c r="J1046" s="8" t="s">
        <v>22</v>
      </c>
      <c r="K1046" s="8" t="s">
        <v>23</v>
      </c>
      <c r="L1046" s="8" t="s">
        <v>244</v>
      </c>
      <c r="M1046" s="10" t="s">
        <v>274</v>
      </c>
      <c r="N1046" s="11" t="s">
        <v>2431</v>
      </c>
    </row>
    <row r="1047" spans="1:14" ht="15.75" customHeight="1" x14ac:dyDescent="0.15">
      <c r="A1047" s="6" t="s">
        <v>2580</v>
      </c>
      <c r="B1047" s="12" t="s">
        <v>344</v>
      </c>
      <c r="C1047" s="7" t="s">
        <v>2581</v>
      </c>
      <c r="D1047" s="13" t="s">
        <v>107</v>
      </c>
      <c r="E1047" s="14">
        <v>35705</v>
      </c>
      <c r="F1047" s="13" t="s">
        <v>212</v>
      </c>
      <c r="G1047" s="13" t="s">
        <v>204</v>
      </c>
      <c r="H1047" s="13" t="s">
        <v>102</v>
      </c>
      <c r="I1047" s="13" t="s">
        <v>33</v>
      </c>
      <c r="J1047" s="13" t="s">
        <v>54</v>
      </c>
      <c r="K1047" s="13" t="s">
        <v>77</v>
      </c>
      <c r="L1047" s="13" t="s">
        <v>128</v>
      </c>
      <c r="M1047" s="15" t="s">
        <v>161</v>
      </c>
      <c r="N1047" s="11" t="s">
        <v>2431</v>
      </c>
    </row>
    <row r="1048" spans="1:14" ht="15.75" customHeight="1" x14ac:dyDescent="0.15">
      <c r="A1048" s="12" t="s">
        <v>2582</v>
      </c>
      <c r="B1048" s="6" t="s">
        <v>351</v>
      </c>
      <c r="C1048" s="7" t="s">
        <v>2583</v>
      </c>
      <c r="D1048" s="8" t="s">
        <v>107</v>
      </c>
      <c r="E1048" s="9">
        <v>37740</v>
      </c>
      <c r="F1048" s="8" t="s">
        <v>186</v>
      </c>
      <c r="G1048" s="8" t="s">
        <v>243</v>
      </c>
      <c r="H1048" s="8" t="s">
        <v>139</v>
      </c>
      <c r="I1048" s="8" t="s">
        <v>157</v>
      </c>
      <c r="J1048" s="8" t="s">
        <v>76</v>
      </c>
      <c r="K1048" s="8" t="s">
        <v>77</v>
      </c>
      <c r="L1048" s="8" t="s">
        <v>165</v>
      </c>
      <c r="M1048" s="10" t="s">
        <v>274</v>
      </c>
      <c r="N1048" s="11" t="s">
        <v>2431</v>
      </c>
    </row>
    <row r="1049" spans="1:14" ht="15.75" customHeight="1" x14ac:dyDescent="0.15">
      <c r="A1049" s="6" t="s">
        <v>2584</v>
      </c>
      <c r="B1049" s="12" t="s">
        <v>481</v>
      </c>
      <c r="C1049" s="7" t="s">
        <v>2585</v>
      </c>
      <c r="D1049" s="13" t="s">
        <v>107</v>
      </c>
      <c r="E1049" s="14">
        <v>35933</v>
      </c>
      <c r="F1049" s="13" t="s">
        <v>212</v>
      </c>
      <c r="G1049" s="13" t="s">
        <v>31</v>
      </c>
      <c r="H1049" s="13" t="s">
        <v>114</v>
      </c>
      <c r="I1049" s="13" t="s">
        <v>385</v>
      </c>
      <c r="J1049" s="13" t="s">
        <v>22</v>
      </c>
      <c r="K1049" s="13" t="s">
        <v>44</v>
      </c>
      <c r="L1049" s="13" t="s">
        <v>165</v>
      </c>
      <c r="M1049" s="15" t="s">
        <v>274</v>
      </c>
      <c r="N1049" s="11" t="s">
        <v>2431</v>
      </c>
    </row>
    <row r="1050" spans="1:14" ht="15.75" customHeight="1" x14ac:dyDescent="0.15">
      <c r="A1050" s="6" t="s">
        <v>2586</v>
      </c>
      <c r="B1050" s="6" t="s">
        <v>355</v>
      </c>
      <c r="C1050" s="7" t="s">
        <v>2587</v>
      </c>
      <c r="D1050" s="8" t="s">
        <v>107</v>
      </c>
      <c r="E1050" s="16">
        <v>37955</v>
      </c>
      <c r="F1050" s="8" t="s">
        <v>92</v>
      </c>
      <c r="G1050" s="8" t="s">
        <v>243</v>
      </c>
      <c r="H1050" s="8" t="s">
        <v>42</v>
      </c>
      <c r="I1050" s="8" t="s">
        <v>192</v>
      </c>
      <c r="J1050" s="8" t="s">
        <v>54</v>
      </c>
      <c r="K1050" s="8" t="s">
        <v>44</v>
      </c>
      <c r="L1050" s="8" t="s">
        <v>45</v>
      </c>
      <c r="M1050" s="10" t="s">
        <v>318</v>
      </c>
      <c r="N1050" s="11" t="s">
        <v>2431</v>
      </c>
    </row>
    <row r="1051" spans="1:14" ht="15.75" customHeight="1" x14ac:dyDescent="0.15">
      <c r="A1051" s="6" t="s">
        <v>2588</v>
      </c>
      <c r="B1051" s="12" t="s">
        <v>484</v>
      </c>
      <c r="C1051" s="7" t="s">
        <v>2589</v>
      </c>
      <c r="D1051" s="13" t="s">
        <v>107</v>
      </c>
      <c r="E1051" s="14">
        <v>39190</v>
      </c>
      <c r="F1051" s="13" t="s">
        <v>232</v>
      </c>
      <c r="G1051" s="13" t="s">
        <v>93</v>
      </c>
      <c r="H1051" s="13" t="s">
        <v>42</v>
      </c>
      <c r="I1051" s="13" t="s">
        <v>2335</v>
      </c>
      <c r="J1051" s="13" t="s">
        <v>54</v>
      </c>
      <c r="K1051" s="13" t="s">
        <v>23</v>
      </c>
      <c r="L1051" s="13" t="s">
        <v>62</v>
      </c>
      <c r="M1051" s="15" t="s">
        <v>1803</v>
      </c>
      <c r="N1051" s="11" t="s">
        <v>2431</v>
      </c>
    </row>
    <row r="1052" spans="1:14" ht="15.75" customHeight="1" x14ac:dyDescent="0.15">
      <c r="A1052" s="12" t="s">
        <v>2590</v>
      </c>
      <c r="B1052" s="6" t="s">
        <v>491</v>
      </c>
      <c r="C1052" s="7" t="s">
        <v>2591</v>
      </c>
      <c r="D1052" s="8" t="s">
        <v>39</v>
      </c>
      <c r="E1052" s="16">
        <v>37947</v>
      </c>
      <c r="F1052" s="8" t="s">
        <v>92</v>
      </c>
      <c r="G1052" s="8" t="s">
        <v>93</v>
      </c>
      <c r="H1052" s="8" t="s">
        <v>74</v>
      </c>
      <c r="I1052" s="8" t="s">
        <v>2335</v>
      </c>
      <c r="J1052" s="8" t="s">
        <v>22</v>
      </c>
      <c r="K1052" s="8" t="s">
        <v>77</v>
      </c>
      <c r="L1052" s="8" t="s">
        <v>297</v>
      </c>
      <c r="M1052" s="10" t="s">
        <v>318</v>
      </c>
      <c r="N1052" s="11" t="s">
        <v>2431</v>
      </c>
    </row>
    <row r="1053" spans="1:14" ht="15.75" customHeight="1" x14ac:dyDescent="0.15">
      <c r="A1053" s="6" t="s">
        <v>2592</v>
      </c>
      <c r="B1053" s="12" t="s">
        <v>359</v>
      </c>
      <c r="C1053" s="7" t="s">
        <v>2593</v>
      </c>
      <c r="D1053" s="13" t="s">
        <v>17</v>
      </c>
      <c r="E1053" s="14">
        <v>38267</v>
      </c>
      <c r="F1053" s="13" t="s">
        <v>217</v>
      </c>
      <c r="G1053" s="13" t="s">
        <v>41</v>
      </c>
      <c r="H1053" s="13" t="s">
        <v>171</v>
      </c>
      <c r="I1053" s="13" t="s">
        <v>207</v>
      </c>
      <c r="J1053" s="13" t="s">
        <v>54</v>
      </c>
      <c r="K1053" s="13" t="s">
        <v>44</v>
      </c>
      <c r="L1053" s="13" t="s">
        <v>110</v>
      </c>
      <c r="M1053" s="15" t="s">
        <v>1265</v>
      </c>
      <c r="N1053" s="11" t="s">
        <v>2431</v>
      </c>
    </row>
    <row r="1054" spans="1:14" ht="15.75" customHeight="1" x14ac:dyDescent="0.15">
      <c r="A1054" s="12" t="s">
        <v>2594</v>
      </c>
      <c r="B1054" s="6" t="s">
        <v>364</v>
      </c>
      <c r="C1054" s="7" t="s">
        <v>2595</v>
      </c>
      <c r="D1054" s="8" t="s">
        <v>17</v>
      </c>
      <c r="E1054" s="9">
        <v>38975</v>
      </c>
      <c r="F1054" s="8" t="s">
        <v>232</v>
      </c>
      <c r="G1054" s="8" t="s">
        <v>131</v>
      </c>
      <c r="H1054" s="8" t="s">
        <v>179</v>
      </c>
      <c r="I1054" s="8" t="s">
        <v>385</v>
      </c>
      <c r="J1054" s="8" t="s">
        <v>54</v>
      </c>
      <c r="K1054" s="8" t="s">
        <v>23</v>
      </c>
      <c r="L1054" s="8" t="s">
        <v>431</v>
      </c>
      <c r="M1054" s="10" t="s">
        <v>2596</v>
      </c>
      <c r="N1054" s="11" t="s">
        <v>2431</v>
      </c>
    </row>
    <row r="1055" spans="1:14" ht="15.75" customHeight="1" x14ac:dyDescent="0.15">
      <c r="A1055" s="6" t="s">
        <v>2597</v>
      </c>
      <c r="B1055" s="12" t="s">
        <v>498</v>
      </c>
      <c r="C1055" s="7" t="s">
        <v>2598</v>
      </c>
      <c r="D1055" s="13" t="s">
        <v>107</v>
      </c>
      <c r="E1055" s="14">
        <v>38846</v>
      </c>
      <c r="F1055" s="13" t="s">
        <v>170</v>
      </c>
      <c r="G1055" s="13" t="s">
        <v>131</v>
      </c>
      <c r="H1055" s="13" t="s">
        <v>88</v>
      </c>
      <c r="I1055" s="13" t="s">
        <v>43</v>
      </c>
      <c r="J1055" s="13" t="s">
        <v>54</v>
      </c>
      <c r="K1055" s="13" t="s">
        <v>44</v>
      </c>
      <c r="L1055" s="13" t="s">
        <v>128</v>
      </c>
      <c r="M1055" s="15" t="s">
        <v>2596</v>
      </c>
      <c r="N1055" s="11" t="s">
        <v>2431</v>
      </c>
    </row>
    <row r="1056" spans="1:14" ht="15.75" customHeight="1" x14ac:dyDescent="0.15">
      <c r="A1056" s="6" t="s">
        <v>2599</v>
      </c>
      <c r="B1056" s="6" t="s">
        <v>367</v>
      </c>
      <c r="C1056" s="7" t="s">
        <v>2600</v>
      </c>
      <c r="D1056" s="8" t="s">
        <v>107</v>
      </c>
      <c r="E1056" s="9">
        <v>37442</v>
      </c>
      <c r="F1056" s="8" t="s">
        <v>137</v>
      </c>
      <c r="G1056" s="8" t="s">
        <v>131</v>
      </c>
      <c r="H1056" s="8" t="s">
        <v>88</v>
      </c>
      <c r="I1056" s="8" t="s">
        <v>109</v>
      </c>
      <c r="J1056" s="8" t="s">
        <v>54</v>
      </c>
      <c r="K1056" s="8" t="s">
        <v>44</v>
      </c>
      <c r="L1056" s="8" t="s">
        <v>424</v>
      </c>
      <c r="M1056" s="10" t="s">
        <v>2601</v>
      </c>
      <c r="N1056" s="11" t="s">
        <v>2431</v>
      </c>
    </row>
    <row r="1057" spans="1:14" ht="15.75" customHeight="1" x14ac:dyDescent="0.15">
      <c r="A1057" s="6" t="s">
        <v>2602</v>
      </c>
      <c r="B1057" s="12" t="s">
        <v>371</v>
      </c>
      <c r="C1057" s="7" t="s">
        <v>2603</v>
      </c>
      <c r="D1057" s="13" t="s">
        <v>107</v>
      </c>
      <c r="E1057" s="17">
        <v>38650</v>
      </c>
      <c r="F1057" s="13" t="s">
        <v>170</v>
      </c>
      <c r="G1057" s="13" t="s">
        <v>138</v>
      </c>
      <c r="H1057" s="13" t="s">
        <v>144</v>
      </c>
      <c r="I1057" s="13" t="s">
        <v>213</v>
      </c>
      <c r="J1057" s="13" t="s">
        <v>22</v>
      </c>
      <c r="K1057" s="13" t="s">
        <v>44</v>
      </c>
      <c r="L1057" s="13" t="s">
        <v>208</v>
      </c>
      <c r="M1057" s="15" t="s">
        <v>2346</v>
      </c>
      <c r="N1057" s="11" t="s">
        <v>2431</v>
      </c>
    </row>
    <row r="1058" spans="1:14" ht="15.75" customHeight="1" x14ac:dyDescent="0.15">
      <c r="A1058" s="12" t="s">
        <v>2604</v>
      </c>
      <c r="B1058" s="6" t="s">
        <v>375</v>
      </c>
      <c r="C1058" s="7" t="s">
        <v>2605</v>
      </c>
      <c r="D1058" s="8" t="s">
        <v>17</v>
      </c>
      <c r="E1058" s="16">
        <v>38704</v>
      </c>
      <c r="F1058" s="8" t="s">
        <v>170</v>
      </c>
      <c r="G1058" s="8" t="s">
        <v>138</v>
      </c>
      <c r="H1058" s="8" t="s">
        <v>68</v>
      </c>
      <c r="I1058" s="8" t="s">
        <v>157</v>
      </c>
      <c r="J1058" s="8" t="s">
        <v>22</v>
      </c>
      <c r="K1058" s="8" t="s">
        <v>44</v>
      </c>
      <c r="L1058" s="8" t="s">
        <v>494</v>
      </c>
      <c r="M1058" s="10" t="s">
        <v>2346</v>
      </c>
      <c r="N1058" s="11" t="s">
        <v>2431</v>
      </c>
    </row>
    <row r="1059" spans="1:14" ht="15.75" customHeight="1" x14ac:dyDescent="0.15">
      <c r="A1059" s="6" t="s">
        <v>2606</v>
      </c>
      <c r="B1059" s="12" t="s">
        <v>504</v>
      </c>
      <c r="C1059" s="7" t="s">
        <v>2607</v>
      </c>
      <c r="D1059" s="13" t="s">
        <v>39</v>
      </c>
      <c r="E1059" s="14">
        <v>38155</v>
      </c>
      <c r="F1059" s="13" t="s">
        <v>92</v>
      </c>
      <c r="G1059" s="13" t="s">
        <v>138</v>
      </c>
      <c r="H1059" s="13" t="s">
        <v>88</v>
      </c>
      <c r="I1059" s="13" t="s">
        <v>414</v>
      </c>
      <c r="J1059" s="13" t="s">
        <v>22</v>
      </c>
      <c r="K1059" s="13" t="s">
        <v>44</v>
      </c>
      <c r="L1059" s="13" t="s">
        <v>78</v>
      </c>
      <c r="M1059" s="15" t="s">
        <v>1265</v>
      </c>
      <c r="N1059" s="11" t="s">
        <v>2431</v>
      </c>
    </row>
    <row r="1060" spans="1:14" ht="15.75" customHeight="1" x14ac:dyDescent="0.15">
      <c r="A1060" s="12" t="s">
        <v>2608</v>
      </c>
      <c r="B1060" s="6" t="s">
        <v>507</v>
      </c>
      <c r="C1060" s="7" t="s">
        <v>2609</v>
      </c>
      <c r="D1060" s="8" t="s">
        <v>39</v>
      </c>
      <c r="E1060" s="9">
        <v>38660</v>
      </c>
      <c r="F1060" s="8" t="s">
        <v>170</v>
      </c>
      <c r="G1060" s="8" t="s">
        <v>138</v>
      </c>
      <c r="H1060" s="8" t="s">
        <v>108</v>
      </c>
      <c r="I1060" s="8" t="s">
        <v>33</v>
      </c>
      <c r="J1060" s="8" t="s">
        <v>54</v>
      </c>
      <c r="K1060" s="8" t="s">
        <v>23</v>
      </c>
      <c r="L1060" s="8" t="s">
        <v>96</v>
      </c>
      <c r="M1060" s="10" t="s">
        <v>2346</v>
      </c>
      <c r="N1060" s="11" t="s">
        <v>2431</v>
      </c>
    </row>
    <row r="1061" spans="1:14" ht="15.75" customHeight="1" x14ac:dyDescent="0.15">
      <c r="A1061" s="6" t="s">
        <v>2610</v>
      </c>
      <c r="B1061" s="12" t="s">
        <v>509</v>
      </c>
      <c r="C1061" s="7" t="s">
        <v>2611</v>
      </c>
      <c r="D1061" s="13" t="s">
        <v>49</v>
      </c>
      <c r="E1061" s="14">
        <v>38613</v>
      </c>
      <c r="F1061" s="13" t="s">
        <v>170</v>
      </c>
      <c r="G1061" s="13" t="s">
        <v>138</v>
      </c>
      <c r="H1061" s="13" t="s">
        <v>32</v>
      </c>
      <c r="I1061" s="13" t="s">
        <v>140</v>
      </c>
      <c r="J1061" s="13" t="s">
        <v>22</v>
      </c>
      <c r="K1061" s="13" t="s">
        <v>44</v>
      </c>
      <c r="L1061" s="13" t="s">
        <v>35</v>
      </c>
      <c r="M1061" s="15" t="s">
        <v>2346</v>
      </c>
      <c r="N1061" s="11" t="s">
        <v>2431</v>
      </c>
    </row>
    <row r="1062" spans="1:14" ht="15.75" customHeight="1" x14ac:dyDescent="0.15">
      <c r="A1062" s="6" t="s">
        <v>2612</v>
      </c>
      <c r="B1062" s="6" t="s">
        <v>515</v>
      </c>
      <c r="C1062" s="7" t="s">
        <v>2613</v>
      </c>
      <c r="D1062" s="8" t="s">
        <v>107</v>
      </c>
      <c r="E1062" s="9">
        <v>38438</v>
      </c>
      <c r="F1062" s="8" t="s">
        <v>217</v>
      </c>
      <c r="G1062" s="8" t="s">
        <v>93</v>
      </c>
      <c r="H1062" s="8" t="s">
        <v>114</v>
      </c>
      <c r="I1062" s="8" t="s">
        <v>192</v>
      </c>
      <c r="J1062" s="8" t="s">
        <v>150</v>
      </c>
      <c r="K1062" s="8" t="s">
        <v>77</v>
      </c>
      <c r="L1062" s="8" t="s">
        <v>324</v>
      </c>
      <c r="M1062" s="10" t="s">
        <v>1946</v>
      </c>
      <c r="N1062" s="11" t="s">
        <v>2431</v>
      </c>
    </row>
    <row r="1063" spans="1:14" ht="15.75" customHeight="1" x14ac:dyDescent="0.15">
      <c r="A1063" s="6" t="s">
        <v>2614</v>
      </c>
      <c r="B1063" s="12" t="s">
        <v>518</v>
      </c>
      <c r="C1063" s="7" t="s">
        <v>2615</v>
      </c>
      <c r="D1063" s="13" t="s">
        <v>39</v>
      </c>
      <c r="E1063" s="14">
        <v>37470</v>
      </c>
      <c r="F1063" s="13" t="s">
        <v>137</v>
      </c>
      <c r="G1063" s="13" t="s">
        <v>131</v>
      </c>
      <c r="H1063" s="13" t="s">
        <v>1300</v>
      </c>
      <c r="I1063" s="13" t="s">
        <v>1021</v>
      </c>
      <c r="J1063" s="13" t="s">
        <v>150</v>
      </c>
      <c r="K1063" s="13" t="s">
        <v>44</v>
      </c>
      <c r="L1063" s="13" t="s">
        <v>324</v>
      </c>
      <c r="M1063" s="15" t="s">
        <v>274</v>
      </c>
      <c r="N1063" s="11" t="s">
        <v>2431</v>
      </c>
    </row>
    <row r="1064" spans="1:14" ht="15.75" customHeight="1" x14ac:dyDescent="0.2">
      <c r="A1064" s="6"/>
      <c r="B1064" s="18"/>
      <c r="G1064" s="11"/>
      <c r="N1064" s="1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  <hyperlink ref="C657" r:id="rId656" xr:uid="{00000000-0004-0000-0000-00008F020000}"/>
    <hyperlink ref="C658" r:id="rId657" xr:uid="{00000000-0004-0000-0000-000090020000}"/>
    <hyperlink ref="C659" r:id="rId658" xr:uid="{00000000-0004-0000-0000-000091020000}"/>
    <hyperlink ref="C660" r:id="rId659" xr:uid="{00000000-0004-0000-0000-000092020000}"/>
    <hyperlink ref="C661" r:id="rId660" xr:uid="{00000000-0004-0000-0000-000093020000}"/>
    <hyperlink ref="C662" r:id="rId661" xr:uid="{00000000-0004-0000-0000-000094020000}"/>
    <hyperlink ref="C663" r:id="rId662" xr:uid="{00000000-0004-0000-0000-000095020000}"/>
    <hyperlink ref="C664" r:id="rId663" xr:uid="{00000000-0004-0000-0000-000096020000}"/>
    <hyperlink ref="C665" r:id="rId664" xr:uid="{00000000-0004-0000-0000-000097020000}"/>
    <hyperlink ref="C666" r:id="rId665" xr:uid="{00000000-0004-0000-0000-000098020000}"/>
    <hyperlink ref="C667" r:id="rId666" xr:uid="{00000000-0004-0000-0000-000099020000}"/>
    <hyperlink ref="C668" r:id="rId667" xr:uid="{00000000-0004-0000-0000-00009A020000}"/>
    <hyperlink ref="C669" r:id="rId668" xr:uid="{00000000-0004-0000-0000-00009B020000}"/>
    <hyperlink ref="C670" r:id="rId669" xr:uid="{00000000-0004-0000-0000-00009C020000}"/>
    <hyperlink ref="C671" r:id="rId670" xr:uid="{00000000-0004-0000-0000-00009D020000}"/>
    <hyperlink ref="C672" r:id="rId671" xr:uid="{00000000-0004-0000-0000-00009E020000}"/>
    <hyperlink ref="C673" r:id="rId672" xr:uid="{00000000-0004-0000-0000-00009F020000}"/>
    <hyperlink ref="C674" r:id="rId673" xr:uid="{00000000-0004-0000-0000-0000A0020000}"/>
    <hyperlink ref="C675" r:id="rId674" xr:uid="{00000000-0004-0000-0000-0000A1020000}"/>
    <hyperlink ref="C676" r:id="rId675" xr:uid="{00000000-0004-0000-0000-0000A2020000}"/>
    <hyperlink ref="C677" r:id="rId676" xr:uid="{00000000-0004-0000-0000-0000A3020000}"/>
    <hyperlink ref="C678" r:id="rId677" xr:uid="{00000000-0004-0000-0000-0000A4020000}"/>
    <hyperlink ref="C679" r:id="rId678" xr:uid="{00000000-0004-0000-0000-0000A5020000}"/>
    <hyperlink ref="C680" r:id="rId679" xr:uid="{00000000-0004-0000-0000-0000A6020000}"/>
    <hyperlink ref="C681" r:id="rId680" xr:uid="{00000000-0004-0000-0000-0000A7020000}"/>
    <hyperlink ref="C682" r:id="rId681" xr:uid="{00000000-0004-0000-0000-0000A8020000}"/>
    <hyperlink ref="C683" r:id="rId682" xr:uid="{00000000-0004-0000-0000-0000A9020000}"/>
    <hyperlink ref="C684" r:id="rId683" xr:uid="{00000000-0004-0000-0000-0000AA020000}"/>
    <hyperlink ref="C685" r:id="rId684" xr:uid="{00000000-0004-0000-0000-0000AB020000}"/>
    <hyperlink ref="C686" r:id="rId685" xr:uid="{00000000-0004-0000-0000-0000AC020000}"/>
    <hyperlink ref="C687" r:id="rId686" xr:uid="{00000000-0004-0000-0000-0000AD020000}"/>
    <hyperlink ref="C688" r:id="rId687" xr:uid="{00000000-0004-0000-0000-0000AE020000}"/>
    <hyperlink ref="C689" r:id="rId688" xr:uid="{00000000-0004-0000-0000-0000AF020000}"/>
    <hyperlink ref="C690" r:id="rId689" xr:uid="{00000000-0004-0000-0000-0000B0020000}"/>
    <hyperlink ref="C691" r:id="rId690" xr:uid="{00000000-0004-0000-0000-0000B1020000}"/>
    <hyperlink ref="C692" r:id="rId691" xr:uid="{00000000-0004-0000-0000-0000B2020000}"/>
    <hyperlink ref="C693" r:id="rId692" xr:uid="{00000000-0004-0000-0000-0000B3020000}"/>
    <hyperlink ref="C694" r:id="rId693" xr:uid="{00000000-0004-0000-0000-0000B4020000}"/>
    <hyperlink ref="C695" r:id="rId694" xr:uid="{00000000-0004-0000-0000-0000B5020000}"/>
    <hyperlink ref="C696" r:id="rId695" xr:uid="{00000000-0004-0000-0000-0000B6020000}"/>
    <hyperlink ref="C697" r:id="rId696" xr:uid="{00000000-0004-0000-0000-0000B7020000}"/>
    <hyperlink ref="C698" r:id="rId697" xr:uid="{00000000-0004-0000-0000-0000B8020000}"/>
    <hyperlink ref="C699" r:id="rId698" xr:uid="{00000000-0004-0000-0000-0000B9020000}"/>
    <hyperlink ref="C700" r:id="rId699" xr:uid="{00000000-0004-0000-0000-0000BA020000}"/>
    <hyperlink ref="C701" r:id="rId700" xr:uid="{00000000-0004-0000-0000-0000BB020000}"/>
    <hyperlink ref="C702" r:id="rId701" xr:uid="{00000000-0004-0000-0000-0000BC020000}"/>
    <hyperlink ref="C703" r:id="rId702" xr:uid="{00000000-0004-0000-0000-0000BD020000}"/>
    <hyperlink ref="C704" r:id="rId703" xr:uid="{00000000-0004-0000-0000-0000BE020000}"/>
    <hyperlink ref="C705" r:id="rId704" xr:uid="{00000000-0004-0000-0000-0000BF020000}"/>
    <hyperlink ref="C706" r:id="rId705" xr:uid="{00000000-0004-0000-0000-0000C0020000}"/>
    <hyperlink ref="C707" r:id="rId706" xr:uid="{00000000-0004-0000-0000-0000C1020000}"/>
    <hyperlink ref="C708" r:id="rId707" xr:uid="{00000000-0004-0000-0000-0000C2020000}"/>
    <hyperlink ref="C709" r:id="rId708" xr:uid="{00000000-0004-0000-0000-0000C3020000}"/>
    <hyperlink ref="C710" r:id="rId709" xr:uid="{00000000-0004-0000-0000-0000C4020000}"/>
    <hyperlink ref="C711" r:id="rId710" xr:uid="{00000000-0004-0000-0000-0000C5020000}"/>
    <hyperlink ref="C712" r:id="rId711" xr:uid="{00000000-0004-0000-0000-0000C6020000}"/>
    <hyperlink ref="C713" r:id="rId712" xr:uid="{00000000-0004-0000-0000-0000C7020000}"/>
    <hyperlink ref="C714" r:id="rId713" xr:uid="{00000000-0004-0000-0000-0000C8020000}"/>
    <hyperlink ref="C715" r:id="rId714" xr:uid="{00000000-0004-0000-0000-0000C9020000}"/>
    <hyperlink ref="C716" r:id="rId715" xr:uid="{00000000-0004-0000-0000-0000CA020000}"/>
    <hyperlink ref="C717" r:id="rId716" xr:uid="{00000000-0004-0000-0000-0000CB020000}"/>
    <hyperlink ref="C718" r:id="rId717" xr:uid="{00000000-0004-0000-0000-0000CC020000}"/>
    <hyperlink ref="C719" r:id="rId718" xr:uid="{00000000-0004-0000-0000-0000CD020000}"/>
    <hyperlink ref="C720" r:id="rId719" xr:uid="{00000000-0004-0000-0000-0000CE020000}"/>
    <hyperlink ref="C721" r:id="rId720" xr:uid="{00000000-0004-0000-0000-0000CF020000}"/>
    <hyperlink ref="C722" r:id="rId721" xr:uid="{00000000-0004-0000-0000-0000D0020000}"/>
    <hyperlink ref="C723" r:id="rId722" xr:uid="{00000000-0004-0000-0000-0000D1020000}"/>
    <hyperlink ref="C724" r:id="rId723" xr:uid="{00000000-0004-0000-0000-0000D2020000}"/>
    <hyperlink ref="C725" r:id="rId724" xr:uid="{00000000-0004-0000-0000-0000D3020000}"/>
    <hyperlink ref="C726" r:id="rId725" xr:uid="{00000000-0004-0000-0000-0000D4020000}"/>
    <hyperlink ref="C727" r:id="rId726" xr:uid="{00000000-0004-0000-0000-0000D5020000}"/>
    <hyperlink ref="C728" r:id="rId727" xr:uid="{00000000-0004-0000-0000-0000D6020000}"/>
    <hyperlink ref="C729" r:id="rId728" xr:uid="{00000000-0004-0000-0000-0000D7020000}"/>
    <hyperlink ref="C730" r:id="rId729" xr:uid="{00000000-0004-0000-0000-0000D8020000}"/>
    <hyperlink ref="C731" r:id="rId730" xr:uid="{00000000-0004-0000-0000-0000D9020000}"/>
    <hyperlink ref="C732" r:id="rId731" xr:uid="{00000000-0004-0000-0000-0000DA020000}"/>
    <hyperlink ref="C733" r:id="rId732" xr:uid="{00000000-0004-0000-0000-0000DB020000}"/>
    <hyperlink ref="C734" r:id="rId733" xr:uid="{00000000-0004-0000-0000-0000DC020000}"/>
    <hyperlink ref="C735" r:id="rId734" xr:uid="{00000000-0004-0000-0000-0000DD020000}"/>
    <hyperlink ref="C736" r:id="rId735" xr:uid="{00000000-0004-0000-0000-0000DE020000}"/>
    <hyperlink ref="C737" r:id="rId736" xr:uid="{00000000-0004-0000-0000-0000DF020000}"/>
    <hyperlink ref="C738" r:id="rId737" xr:uid="{00000000-0004-0000-0000-0000E0020000}"/>
    <hyperlink ref="C739" r:id="rId738" xr:uid="{00000000-0004-0000-0000-0000E1020000}"/>
    <hyperlink ref="C740" r:id="rId739" xr:uid="{00000000-0004-0000-0000-0000E2020000}"/>
    <hyperlink ref="C741" r:id="rId740" xr:uid="{00000000-0004-0000-0000-0000E3020000}"/>
    <hyperlink ref="C742" r:id="rId741" xr:uid="{00000000-0004-0000-0000-0000E4020000}"/>
    <hyperlink ref="C743" r:id="rId742" xr:uid="{00000000-0004-0000-0000-0000E5020000}"/>
    <hyperlink ref="C744" r:id="rId743" xr:uid="{00000000-0004-0000-0000-0000E6020000}"/>
    <hyperlink ref="C745" r:id="rId744" xr:uid="{00000000-0004-0000-0000-0000E7020000}"/>
    <hyperlink ref="C746" r:id="rId745" xr:uid="{00000000-0004-0000-0000-0000E8020000}"/>
    <hyperlink ref="C747" r:id="rId746" xr:uid="{00000000-0004-0000-0000-0000E9020000}"/>
    <hyperlink ref="C748" r:id="rId747" xr:uid="{00000000-0004-0000-0000-0000EA020000}"/>
    <hyperlink ref="C749" r:id="rId748" xr:uid="{00000000-0004-0000-0000-0000EB020000}"/>
    <hyperlink ref="C750" r:id="rId749" xr:uid="{00000000-0004-0000-0000-0000EC020000}"/>
    <hyperlink ref="C751" r:id="rId750" xr:uid="{00000000-0004-0000-0000-0000ED020000}"/>
    <hyperlink ref="C752" r:id="rId751" xr:uid="{00000000-0004-0000-0000-0000EE020000}"/>
    <hyperlink ref="C753" r:id="rId752" xr:uid="{00000000-0004-0000-0000-0000EF020000}"/>
    <hyperlink ref="C754" r:id="rId753" xr:uid="{00000000-0004-0000-0000-0000F0020000}"/>
    <hyperlink ref="C755" r:id="rId754" xr:uid="{00000000-0004-0000-0000-0000F1020000}"/>
    <hyperlink ref="C756" r:id="rId755" xr:uid="{00000000-0004-0000-0000-0000F2020000}"/>
    <hyperlink ref="C757" r:id="rId756" xr:uid="{00000000-0004-0000-0000-0000F3020000}"/>
    <hyperlink ref="C758" r:id="rId757" xr:uid="{00000000-0004-0000-0000-0000F4020000}"/>
    <hyperlink ref="C759" r:id="rId758" xr:uid="{00000000-0004-0000-0000-0000F5020000}"/>
    <hyperlink ref="C760" r:id="rId759" xr:uid="{00000000-0004-0000-0000-0000F6020000}"/>
    <hyperlink ref="C761" r:id="rId760" xr:uid="{00000000-0004-0000-0000-0000F7020000}"/>
    <hyperlink ref="C762" r:id="rId761" xr:uid="{00000000-0004-0000-0000-0000F8020000}"/>
    <hyperlink ref="C763" r:id="rId762" xr:uid="{00000000-0004-0000-0000-0000F9020000}"/>
    <hyperlink ref="C764" r:id="rId763" xr:uid="{00000000-0004-0000-0000-0000FA020000}"/>
    <hyperlink ref="C765" r:id="rId764" xr:uid="{00000000-0004-0000-0000-0000FB020000}"/>
    <hyperlink ref="C766" r:id="rId765" xr:uid="{00000000-0004-0000-0000-0000FC020000}"/>
    <hyperlink ref="C767" r:id="rId766" xr:uid="{00000000-0004-0000-0000-0000FD020000}"/>
    <hyperlink ref="C768" r:id="rId767" xr:uid="{00000000-0004-0000-0000-0000FE020000}"/>
    <hyperlink ref="C769" r:id="rId768" xr:uid="{00000000-0004-0000-0000-0000FF020000}"/>
    <hyperlink ref="C770" r:id="rId769" xr:uid="{00000000-0004-0000-0000-000000030000}"/>
    <hyperlink ref="C771" r:id="rId770" xr:uid="{00000000-0004-0000-0000-000001030000}"/>
    <hyperlink ref="C772" r:id="rId771" xr:uid="{00000000-0004-0000-0000-000002030000}"/>
    <hyperlink ref="C773" r:id="rId772" xr:uid="{00000000-0004-0000-0000-000003030000}"/>
    <hyperlink ref="C774" r:id="rId773" xr:uid="{00000000-0004-0000-0000-000004030000}"/>
    <hyperlink ref="C775" r:id="rId774" xr:uid="{00000000-0004-0000-0000-000005030000}"/>
    <hyperlink ref="C776" r:id="rId775" xr:uid="{00000000-0004-0000-0000-000006030000}"/>
    <hyperlink ref="C777" r:id="rId776" xr:uid="{00000000-0004-0000-0000-000007030000}"/>
    <hyperlink ref="C778" r:id="rId777" xr:uid="{00000000-0004-0000-0000-000008030000}"/>
    <hyperlink ref="C779" r:id="rId778" xr:uid="{00000000-0004-0000-0000-000009030000}"/>
    <hyperlink ref="C780" r:id="rId779" xr:uid="{00000000-0004-0000-0000-00000A030000}"/>
    <hyperlink ref="C781" r:id="rId780" xr:uid="{00000000-0004-0000-0000-00000B030000}"/>
    <hyperlink ref="C782" r:id="rId781" xr:uid="{00000000-0004-0000-0000-00000C030000}"/>
    <hyperlink ref="C783" r:id="rId782" xr:uid="{00000000-0004-0000-0000-00000D030000}"/>
    <hyperlink ref="C784" r:id="rId783" xr:uid="{00000000-0004-0000-0000-00000E030000}"/>
    <hyperlink ref="C785" r:id="rId784" xr:uid="{00000000-0004-0000-0000-00000F030000}"/>
    <hyperlink ref="C786" r:id="rId785" xr:uid="{00000000-0004-0000-0000-000010030000}"/>
    <hyperlink ref="C787" r:id="rId786" xr:uid="{00000000-0004-0000-0000-000011030000}"/>
    <hyperlink ref="C788" r:id="rId787" xr:uid="{00000000-0004-0000-0000-000012030000}"/>
    <hyperlink ref="C789" r:id="rId788" xr:uid="{00000000-0004-0000-0000-000013030000}"/>
    <hyperlink ref="C790" r:id="rId789" xr:uid="{00000000-0004-0000-0000-000014030000}"/>
    <hyperlink ref="C791" r:id="rId790" xr:uid="{00000000-0004-0000-0000-000015030000}"/>
    <hyperlink ref="C792" r:id="rId791" xr:uid="{00000000-0004-0000-0000-000016030000}"/>
    <hyperlink ref="C793" r:id="rId792" xr:uid="{00000000-0004-0000-0000-000017030000}"/>
    <hyperlink ref="C794" r:id="rId793" xr:uid="{00000000-0004-0000-0000-000018030000}"/>
    <hyperlink ref="C795" r:id="rId794" xr:uid="{00000000-0004-0000-0000-000019030000}"/>
    <hyperlink ref="C796" r:id="rId795" xr:uid="{00000000-0004-0000-0000-00001A030000}"/>
    <hyperlink ref="C797" r:id="rId796" xr:uid="{00000000-0004-0000-0000-00001B030000}"/>
    <hyperlink ref="C798" r:id="rId797" xr:uid="{00000000-0004-0000-0000-00001C030000}"/>
    <hyperlink ref="C799" r:id="rId798" xr:uid="{00000000-0004-0000-0000-00001D030000}"/>
    <hyperlink ref="C800" r:id="rId799" xr:uid="{00000000-0004-0000-0000-00001E030000}"/>
    <hyperlink ref="C801" r:id="rId800" xr:uid="{00000000-0004-0000-0000-00001F030000}"/>
    <hyperlink ref="C802" r:id="rId801" xr:uid="{00000000-0004-0000-0000-000020030000}"/>
    <hyperlink ref="C803" r:id="rId802" xr:uid="{00000000-0004-0000-0000-000021030000}"/>
    <hyperlink ref="C804" r:id="rId803" xr:uid="{00000000-0004-0000-0000-000022030000}"/>
    <hyperlink ref="C805" r:id="rId804" xr:uid="{00000000-0004-0000-0000-000023030000}"/>
    <hyperlink ref="C806" r:id="rId805" xr:uid="{00000000-0004-0000-0000-000024030000}"/>
    <hyperlink ref="C807" r:id="rId806" xr:uid="{00000000-0004-0000-0000-000025030000}"/>
    <hyperlink ref="C808" r:id="rId807" xr:uid="{00000000-0004-0000-0000-000026030000}"/>
    <hyperlink ref="C809" r:id="rId808" xr:uid="{00000000-0004-0000-0000-000027030000}"/>
    <hyperlink ref="C810" r:id="rId809" xr:uid="{00000000-0004-0000-0000-000028030000}"/>
    <hyperlink ref="C811" r:id="rId810" xr:uid="{00000000-0004-0000-0000-000029030000}"/>
    <hyperlink ref="C812" r:id="rId811" xr:uid="{00000000-0004-0000-0000-00002A030000}"/>
    <hyperlink ref="C813" r:id="rId812" xr:uid="{00000000-0004-0000-0000-00002B030000}"/>
    <hyperlink ref="C814" r:id="rId813" xr:uid="{00000000-0004-0000-0000-00002C030000}"/>
    <hyperlink ref="C815" r:id="rId814" xr:uid="{00000000-0004-0000-0000-00002D030000}"/>
    <hyperlink ref="C816" r:id="rId815" xr:uid="{00000000-0004-0000-0000-00002E030000}"/>
    <hyperlink ref="C817" r:id="rId816" xr:uid="{00000000-0004-0000-0000-00002F030000}"/>
    <hyperlink ref="C818" r:id="rId817" xr:uid="{00000000-0004-0000-0000-000030030000}"/>
    <hyperlink ref="C819" r:id="rId818" xr:uid="{00000000-0004-0000-0000-000031030000}"/>
    <hyperlink ref="C820" r:id="rId819" xr:uid="{00000000-0004-0000-0000-000032030000}"/>
    <hyperlink ref="C821" r:id="rId820" xr:uid="{00000000-0004-0000-0000-000033030000}"/>
    <hyperlink ref="C822" r:id="rId821" xr:uid="{00000000-0004-0000-0000-000034030000}"/>
    <hyperlink ref="C823" r:id="rId822" xr:uid="{00000000-0004-0000-0000-000035030000}"/>
    <hyperlink ref="C824" r:id="rId823" xr:uid="{00000000-0004-0000-0000-000036030000}"/>
    <hyperlink ref="C825" r:id="rId824" xr:uid="{00000000-0004-0000-0000-000037030000}"/>
    <hyperlink ref="C826" r:id="rId825" xr:uid="{00000000-0004-0000-0000-000038030000}"/>
    <hyperlink ref="C827" r:id="rId826" xr:uid="{00000000-0004-0000-0000-000039030000}"/>
    <hyperlink ref="C828" r:id="rId827" xr:uid="{00000000-0004-0000-0000-00003A030000}"/>
    <hyperlink ref="C829" r:id="rId828" xr:uid="{00000000-0004-0000-0000-00003B030000}"/>
    <hyperlink ref="C830" r:id="rId829" xr:uid="{00000000-0004-0000-0000-00003C030000}"/>
    <hyperlink ref="C831" r:id="rId830" xr:uid="{00000000-0004-0000-0000-00003D030000}"/>
    <hyperlink ref="C832" r:id="rId831" xr:uid="{00000000-0004-0000-0000-00003E030000}"/>
    <hyperlink ref="C833" r:id="rId832" xr:uid="{00000000-0004-0000-0000-00003F030000}"/>
    <hyperlink ref="C834" r:id="rId833" xr:uid="{00000000-0004-0000-0000-000040030000}"/>
    <hyperlink ref="C835" r:id="rId834" xr:uid="{00000000-0004-0000-0000-000041030000}"/>
    <hyperlink ref="C836" r:id="rId835" xr:uid="{00000000-0004-0000-0000-000042030000}"/>
    <hyperlink ref="C837" r:id="rId836" xr:uid="{00000000-0004-0000-0000-000043030000}"/>
    <hyperlink ref="C838" r:id="rId837" xr:uid="{00000000-0004-0000-0000-000044030000}"/>
    <hyperlink ref="C839" r:id="rId838" xr:uid="{00000000-0004-0000-0000-000045030000}"/>
    <hyperlink ref="C840" r:id="rId839" xr:uid="{00000000-0004-0000-0000-000046030000}"/>
    <hyperlink ref="C841" r:id="rId840" xr:uid="{00000000-0004-0000-0000-000047030000}"/>
    <hyperlink ref="C842" r:id="rId841" xr:uid="{00000000-0004-0000-0000-000048030000}"/>
    <hyperlink ref="C843" r:id="rId842" xr:uid="{00000000-0004-0000-0000-000049030000}"/>
    <hyperlink ref="C844" r:id="rId843" xr:uid="{00000000-0004-0000-0000-00004A030000}"/>
    <hyperlink ref="C845" r:id="rId844" xr:uid="{00000000-0004-0000-0000-00004B030000}"/>
    <hyperlink ref="C846" r:id="rId845" xr:uid="{00000000-0004-0000-0000-00004C030000}"/>
    <hyperlink ref="C847" r:id="rId846" xr:uid="{00000000-0004-0000-0000-00004D030000}"/>
    <hyperlink ref="C848" r:id="rId847" xr:uid="{00000000-0004-0000-0000-00004E030000}"/>
    <hyperlink ref="C849" r:id="rId848" xr:uid="{00000000-0004-0000-0000-00004F030000}"/>
    <hyperlink ref="C850" r:id="rId849" xr:uid="{00000000-0004-0000-0000-000050030000}"/>
    <hyperlink ref="C851" r:id="rId850" xr:uid="{00000000-0004-0000-0000-000051030000}"/>
    <hyperlink ref="C852" r:id="rId851" xr:uid="{00000000-0004-0000-0000-000052030000}"/>
    <hyperlink ref="C853" r:id="rId852" xr:uid="{00000000-0004-0000-0000-000053030000}"/>
    <hyperlink ref="C854" r:id="rId853" xr:uid="{00000000-0004-0000-0000-000054030000}"/>
    <hyperlink ref="C855" r:id="rId854" xr:uid="{00000000-0004-0000-0000-000055030000}"/>
    <hyperlink ref="C856" r:id="rId855" xr:uid="{00000000-0004-0000-0000-000056030000}"/>
    <hyperlink ref="C857" r:id="rId856" xr:uid="{00000000-0004-0000-0000-000057030000}"/>
    <hyperlink ref="C858" r:id="rId857" xr:uid="{00000000-0004-0000-0000-000058030000}"/>
    <hyperlink ref="C859" r:id="rId858" xr:uid="{00000000-0004-0000-0000-000059030000}"/>
    <hyperlink ref="C860" r:id="rId859" xr:uid="{00000000-0004-0000-0000-00005A030000}"/>
    <hyperlink ref="C861" r:id="rId860" xr:uid="{00000000-0004-0000-0000-00005B030000}"/>
    <hyperlink ref="C862" r:id="rId861" xr:uid="{00000000-0004-0000-0000-00005C030000}"/>
    <hyperlink ref="C863" r:id="rId862" xr:uid="{00000000-0004-0000-0000-00005D030000}"/>
    <hyperlink ref="C864" r:id="rId863" xr:uid="{00000000-0004-0000-0000-00005E030000}"/>
    <hyperlink ref="C865" r:id="rId864" xr:uid="{00000000-0004-0000-0000-00005F030000}"/>
    <hyperlink ref="C866" r:id="rId865" xr:uid="{00000000-0004-0000-0000-000060030000}"/>
    <hyperlink ref="C867" r:id="rId866" xr:uid="{00000000-0004-0000-0000-000061030000}"/>
    <hyperlink ref="C868" r:id="rId867" xr:uid="{00000000-0004-0000-0000-000062030000}"/>
    <hyperlink ref="C869" r:id="rId868" xr:uid="{00000000-0004-0000-0000-000063030000}"/>
    <hyperlink ref="C870" r:id="rId869" xr:uid="{00000000-0004-0000-0000-000064030000}"/>
    <hyperlink ref="C871" r:id="rId870" xr:uid="{00000000-0004-0000-0000-000065030000}"/>
    <hyperlink ref="C872" r:id="rId871" xr:uid="{00000000-0004-0000-0000-000066030000}"/>
    <hyperlink ref="C873" r:id="rId872" xr:uid="{00000000-0004-0000-0000-000067030000}"/>
    <hyperlink ref="C874" r:id="rId873" xr:uid="{00000000-0004-0000-0000-000068030000}"/>
    <hyperlink ref="C875" r:id="rId874" xr:uid="{00000000-0004-0000-0000-000069030000}"/>
    <hyperlink ref="C876" r:id="rId875" xr:uid="{00000000-0004-0000-0000-00006A030000}"/>
    <hyperlink ref="C877" r:id="rId876" xr:uid="{00000000-0004-0000-0000-00006B030000}"/>
    <hyperlink ref="C878" r:id="rId877" xr:uid="{00000000-0004-0000-0000-00006C030000}"/>
    <hyperlink ref="C879" r:id="rId878" xr:uid="{00000000-0004-0000-0000-00006D030000}"/>
    <hyperlink ref="C880" r:id="rId879" xr:uid="{00000000-0004-0000-0000-00006E030000}"/>
    <hyperlink ref="C881" r:id="rId880" xr:uid="{00000000-0004-0000-0000-00006F030000}"/>
    <hyperlink ref="C882" r:id="rId881" xr:uid="{00000000-0004-0000-0000-000070030000}"/>
    <hyperlink ref="C883" r:id="rId882" xr:uid="{00000000-0004-0000-0000-000071030000}"/>
    <hyperlink ref="C884" r:id="rId883" xr:uid="{00000000-0004-0000-0000-000072030000}"/>
    <hyperlink ref="C885" r:id="rId884" xr:uid="{00000000-0004-0000-0000-000073030000}"/>
    <hyperlink ref="C886" r:id="rId885" xr:uid="{00000000-0004-0000-0000-000074030000}"/>
    <hyperlink ref="C887" r:id="rId886" xr:uid="{00000000-0004-0000-0000-000075030000}"/>
    <hyperlink ref="C888" r:id="rId887" xr:uid="{00000000-0004-0000-0000-000076030000}"/>
    <hyperlink ref="C889" r:id="rId888" xr:uid="{00000000-0004-0000-0000-000077030000}"/>
    <hyperlink ref="C890" r:id="rId889" xr:uid="{00000000-0004-0000-0000-000078030000}"/>
    <hyperlink ref="C891" r:id="rId890" xr:uid="{00000000-0004-0000-0000-000079030000}"/>
    <hyperlink ref="C892" r:id="rId891" xr:uid="{00000000-0004-0000-0000-00007A030000}"/>
    <hyperlink ref="C893" r:id="rId892" xr:uid="{00000000-0004-0000-0000-00007B030000}"/>
    <hyperlink ref="C894" r:id="rId893" xr:uid="{00000000-0004-0000-0000-00007C030000}"/>
    <hyperlink ref="C895" r:id="rId894" xr:uid="{00000000-0004-0000-0000-00007D030000}"/>
    <hyperlink ref="C896" r:id="rId895" xr:uid="{00000000-0004-0000-0000-00007E030000}"/>
    <hyperlink ref="C897" r:id="rId896" xr:uid="{00000000-0004-0000-0000-00007F030000}"/>
    <hyperlink ref="C898" r:id="rId897" xr:uid="{00000000-0004-0000-0000-000080030000}"/>
    <hyperlink ref="C899" r:id="rId898" xr:uid="{00000000-0004-0000-0000-000081030000}"/>
    <hyperlink ref="C900" r:id="rId899" xr:uid="{00000000-0004-0000-0000-000082030000}"/>
    <hyperlink ref="C901" r:id="rId900" xr:uid="{00000000-0004-0000-0000-000083030000}"/>
    <hyperlink ref="C902" r:id="rId901" xr:uid="{00000000-0004-0000-0000-000084030000}"/>
    <hyperlink ref="C903" r:id="rId902" xr:uid="{00000000-0004-0000-0000-000085030000}"/>
    <hyperlink ref="C904" r:id="rId903" xr:uid="{00000000-0004-0000-0000-000086030000}"/>
    <hyperlink ref="C905" r:id="rId904" xr:uid="{00000000-0004-0000-0000-000087030000}"/>
    <hyperlink ref="C906" r:id="rId905" xr:uid="{00000000-0004-0000-0000-000088030000}"/>
    <hyperlink ref="C907" r:id="rId906" xr:uid="{00000000-0004-0000-0000-000089030000}"/>
    <hyperlink ref="C908" r:id="rId907" xr:uid="{00000000-0004-0000-0000-00008A030000}"/>
    <hyperlink ref="C909" r:id="rId908" xr:uid="{00000000-0004-0000-0000-00008B030000}"/>
    <hyperlink ref="C910" r:id="rId909" xr:uid="{00000000-0004-0000-0000-00008C030000}"/>
    <hyperlink ref="C911" r:id="rId910" xr:uid="{00000000-0004-0000-0000-00008D030000}"/>
    <hyperlink ref="C912" r:id="rId911" xr:uid="{00000000-0004-0000-0000-00008E030000}"/>
    <hyperlink ref="C913" r:id="rId912" xr:uid="{00000000-0004-0000-0000-00008F030000}"/>
    <hyperlink ref="C914" r:id="rId913" xr:uid="{00000000-0004-0000-0000-000090030000}"/>
    <hyperlink ref="C915" r:id="rId914" xr:uid="{00000000-0004-0000-0000-000091030000}"/>
    <hyperlink ref="C916" r:id="rId915" xr:uid="{00000000-0004-0000-0000-000092030000}"/>
    <hyperlink ref="C917" r:id="rId916" xr:uid="{00000000-0004-0000-0000-000093030000}"/>
    <hyperlink ref="C918" r:id="rId917" xr:uid="{00000000-0004-0000-0000-000094030000}"/>
    <hyperlink ref="C919" r:id="rId918" xr:uid="{00000000-0004-0000-0000-000095030000}"/>
    <hyperlink ref="C920" r:id="rId919" xr:uid="{00000000-0004-0000-0000-000096030000}"/>
    <hyperlink ref="C921" r:id="rId920" xr:uid="{00000000-0004-0000-0000-000097030000}"/>
    <hyperlink ref="C922" r:id="rId921" xr:uid="{00000000-0004-0000-0000-000098030000}"/>
    <hyperlink ref="C923" r:id="rId922" xr:uid="{00000000-0004-0000-0000-000099030000}"/>
    <hyperlink ref="C924" r:id="rId923" xr:uid="{00000000-0004-0000-0000-00009A030000}"/>
    <hyperlink ref="C925" r:id="rId924" xr:uid="{00000000-0004-0000-0000-00009B030000}"/>
    <hyperlink ref="C926" r:id="rId925" xr:uid="{00000000-0004-0000-0000-00009C030000}"/>
    <hyperlink ref="C927" r:id="rId926" xr:uid="{00000000-0004-0000-0000-00009D030000}"/>
    <hyperlink ref="C928" r:id="rId927" xr:uid="{00000000-0004-0000-0000-00009E030000}"/>
    <hyperlink ref="C929" r:id="rId928" xr:uid="{00000000-0004-0000-0000-00009F030000}"/>
    <hyperlink ref="C930" r:id="rId929" xr:uid="{00000000-0004-0000-0000-0000A0030000}"/>
    <hyperlink ref="C931" r:id="rId930" xr:uid="{00000000-0004-0000-0000-0000A1030000}"/>
    <hyperlink ref="C932" r:id="rId931" xr:uid="{00000000-0004-0000-0000-0000A2030000}"/>
    <hyperlink ref="C933" r:id="rId932" xr:uid="{00000000-0004-0000-0000-0000A3030000}"/>
    <hyperlink ref="C934" r:id="rId933" xr:uid="{00000000-0004-0000-0000-0000A4030000}"/>
    <hyperlink ref="C935" r:id="rId934" xr:uid="{00000000-0004-0000-0000-0000A5030000}"/>
    <hyperlink ref="C936" r:id="rId935" xr:uid="{00000000-0004-0000-0000-0000A6030000}"/>
    <hyperlink ref="C937" r:id="rId936" xr:uid="{00000000-0004-0000-0000-0000A7030000}"/>
    <hyperlink ref="C938" r:id="rId937" xr:uid="{00000000-0004-0000-0000-0000A8030000}"/>
    <hyperlink ref="C939" r:id="rId938" xr:uid="{00000000-0004-0000-0000-0000A9030000}"/>
    <hyperlink ref="C940" r:id="rId939" xr:uid="{00000000-0004-0000-0000-0000AA030000}"/>
    <hyperlink ref="C941" r:id="rId940" xr:uid="{00000000-0004-0000-0000-0000AB030000}"/>
    <hyperlink ref="C942" r:id="rId941" xr:uid="{00000000-0004-0000-0000-0000AC030000}"/>
    <hyperlink ref="C943" r:id="rId942" xr:uid="{00000000-0004-0000-0000-0000AD030000}"/>
    <hyperlink ref="C944" r:id="rId943" xr:uid="{00000000-0004-0000-0000-0000AE030000}"/>
    <hyperlink ref="C945" r:id="rId944" xr:uid="{00000000-0004-0000-0000-0000AF030000}"/>
    <hyperlink ref="C946" r:id="rId945" xr:uid="{00000000-0004-0000-0000-0000B0030000}"/>
    <hyperlink ref="C947" r:id="rId946" xr:uid="{00000000-0004-0000-0000-0000B1030000}"/>
    <hyperlink ref="C948" r:id="rId947" xr:uid="{00000000-0004-0000-0000-0000B2030000}"/>
    <hyperlink ref="C949" r:id="rId948" xr:uid="{00000000-0004-0000-0000-0000B3030000}"/>
    <hyperlink ref="C950" r:id="rId949" xr:uid="{00000000-0004-0000-0000-0000B4030000}"/>
    <hyperlink ref="C951" r:id="rId950" xr:uid="{00000000-0004-0000-0000-0000B5030000}"/>
    <hyperlink ref="C952" r:id="rId951" xr:uid="{00000000-0004-0000-0000-0000B6030000}"/>
    <hyperlink ref="C953" r:id="rId952" xr:uid="{00000000-0004-0000-0000-0000B7030000}"/>
    <hyperlink ref="C954" r:id="rId953" xr:uid="{00000000-0004-0000-0000-0000B8030000}"/>
    <hyperlink ref="C955" r:id="rId954" xr:uid="{00000000-0004-0000-0000-0000B9030000}"/>
    <hyperlink ref="C956" r:id="rId955" xr:uid="{00000000-0004-0000-0000-0000BA030000}"/>
    <hyperlink ref="C957" r:id="rId956" xr:uid="{00000000-0004-0000-0000-0000BB030000}"/>
    <hyperlink ref="C958" r:id="rId957" xr:uid="{00000000-0004-0000-0000-0000BC030000}"/>
    <hyperlink ref="C959" r:id="rId958" xr:uid="{00000000-0004-0000-0000-0000BD030000}"/>
    <hyperlink ref="C960" r:id="rId959" xr:uid="{00000000-0004-0000-0000-0000BE030000}"/>
    <hyperlink ref="C961" r:id="rId960" xr:uid="{00000000-0004-0000-0000-0000BF030000}"/>
    <hyperlink ref="C962" r:id="rId961" xr:uid="{00000000-0004-0000-0000-0000C0030000}"/>
    <hyperlink ref="C963" r:id="rId962" xr:uid="{00000000-0004-0000-0000-0000C1030000}"/>
    <hyperlink ref="C964" r:id="rId963" xr:uid="{00000000-0004-0000-0000-0000C2030000}"/>
    <hyperlink ref="C965" r:id="rId964" xr:uid="{00000000-0004-0000-0000-0000C3030000}"/>
    <hyperlink ref="C966" r:id="rId965" xr:uid="{00000000-0004-0000-0000-0000C4030000}"/>
    <hyperlink ref="C967" r:id="rId966" xr:uid="{00000000-0004-0000-0000-0000C5030000}"/>
    <hyperlink ref="C968" r:id="rId967" xr:uid="{00000000-0004-0000-0000-0000C6030000}"/>
    <hyperlink ref="C969" r:id="rId968" xr:uid="{00000000-0004-0000-0000-0000C7030000}"/>
    <hyperlink ref="C970" r:id="rId969" xr:uid="{00000000-0004-0000-0000-0000C8030000}"/>
    <hyperlink ref="C971" r:id="rId970" xr:uid="{00000000-0004-0000-0000-0000C9030000}"/>
    <hyperlink ref="C972" r:id="rId971" xr:uid="{00000000-0004-0000-0000-0000CA030000}"/>
    <hyperlink ref="C973" r:id="rId972" xr:uid="{00000000-0004-0000-0000-0000CB030000}"/>
    <hyperlink ref="C974" r:id="rId973" xr:uid="{00000000-0004-0000-0000-0000CC030000}"/>
    <hyperlink ref="C975" r:id="rId974" xr:uid="{00000000-0004-0000-0000-0000CD030000}"/>
    <hyperlink ref="C976" r:id="rId975" xr:uid="{00000000-0004-0000-0000-0000CE030000}"/>
    <hyperlink ref="C977" r:id="rId976" xr:uid="{00000000-0004-0000-0000-0000CF030000}"/>
    <hyperlink ref="C978" r:id="rId977" xr:uid="{00000000-0004-0000-0000-0000D0030000}"/>
    <hyperlink ref="C979" r:id="rId978" xr:uid="{00000000-0004-0000-0000-0000D1030000}"/>
    <hyperlink ref="C980" r:id="rId979" xr:uid="{00000000-0004-0000-0000-0000D2030000}"/>
    <hyperlink ref="C981" r:id="rId980" xr:uid="{00000000-0004-0000-0000-0000D3030000}"/>
    <hyperlink ref="C982" r:id="rId981" xr:uid="{00000000-0004-0000-0000-0000D4030000}"/>
    <hyperlink ref="C983" r:id="rId982" xr:uid="{00000000-0004-0000-0000-0000D5030000}"/>
    <hyperlink ref="C984" r:id="rId983" xr:uid="{00000000-0004-0000-0000-0000D6030000}"/>
    <hyperlink ref="C985" r:id="rId984" xr:uid="{00000000-0004-0000-0000-0000D7030000}"/>
    <hyperlink ref="C986" r:id="rId985" xr:uid="{00000000-0004-0000-0000-0000D8030000}"/>
    <hyperlink ref="C987" r:id="rId986" xr:uid="{00000000-0004-0000-0000-0000D9030000}"/>
    <hyperlink ref="C988" r:id="rId987" xr:uid="{00000000-0004-0000-0000-0000DA030000}"/>
    <hyperlink ref="C989" r:id="rId988" xr:uid="{00000000-0004-0000-0000-0000DB030000}"/>
    <hyperlink ref="C990" r:id="rId989" xr:uid="{00000000-0004-0000-0000-0000DC030000}"/>
    <hyperlink ref="C991" r:id="rId990" xr:uid="{00000000-0004-0000-0000-0000DD030000}"/>
    <hyperlink ref="C992" r:id="rId991" xr:uid="{00000000-0004-0000-0000-0000DE030000}"/>
    <hyperlink ref="C993" r:id="rId992" xr:uid="{00000000-0004-0000-0000-0000DF030000}"/>
    <hyperlink ref="C994" r:id="rId993" xr:uid="{00000000-0004-0000-0000-0000E0030000}"/>
    <hyperlink ref="C995" r:id="rId994" xr:uid="{00000000-0004-0000-0000-0000E1030000}"/>
    <hyperlink ref="C996" r:id="rId995" xr:uid="{00000000-0004-0000-0000-0000E2030000}"/>
    <hyperlink ref="C997" r:id="rId996" xr:uid="{00000000-0004-0000-0000-0000E3030000}"/>
    <hyperlink ref="C998" r:id="rId997" xr:uid="{00000000-0004-0000-0000-0000E4030000}"/>
    <hyperlink ref="C999" r:id="rId998" xr:uid="{00000000-0004-0000-0000-0000E5030000}"/>
    <hyperlink ref="C1000" r:id="rId999" xr:uid="{00000000-0004-0000-0000-0000E6030000}"/>
    <hyperlink ref="C1001" r:id="rId1000" xr:uid="{00000000-0004-0000-0000-0000E7030000}"/>
    <hyperlink ref="C1002" r:id="rId1001" xr:uid="{00000000-0004-0000-0000-0000E8030000}"/>
    <hyperlink ref="C1003" r:id="rId1002" xr:uid="{00000000-0004-0000-0000-0000E9030000}"/>
    <hyperlink ref="C1004" r:id="rId1003" xr:uid="{00000000-0004-0000-0000-0000EA030000}"/>
    <hyperlink ref="C1005" r:id="rId1004" xr:uid="{00000000-0004-0000-0000-0000EB030000}"/>
    <hyperlink ref="C1006" r:id="rId1005" xr:uid="{00000000-0004-0000-0000-0000EC030000}"/>
    <hyperlink ref="C1007" r:id="rId1006" xr:uid="{00000000-0004-0000-0000-0000ED030000}"/>
    <hyperlink ref="C1008" r:id="rId1007" xr:uid="{00000000-0004-0000-0000-0000EE030000}"/>
    <hyperlink ref="C1009" r:id="rId1008" xr:uid="{00000000-0004-0000-0000-0000EF030000}"/>
    <hyperlink ref="C1010" r:id="rId1009" xr:uid="{00000000-0004-0000-0000-0000F0030000}"/>
    <hyperlink ref="C1011" r:id="rId1010" xr:uid="{00000000-0004-0000-0000-0000F1030000}"/>
    <hyperlink ref="C1012" r:id="rId1011" xr:uid="{00000000-0004-0000-0000-0000F2030000}"/>
    <hyperlink ref="C1013" r:id="rId1012" xr:uid="{00000000-0004-0000-0000-0000F3030000}"/>
    <hyperlink ref="C1014" r:id="rId1013" xr:uid="{00000000-0004-0000-0000-0000F4030000}"/>
    <hyperlink ref="C1015" r:id="rId1014" xr:uid="{00000000-0004-0000-0000-0000F5030000}"/>
    <hyperlink ref="C1016" r:id="rId1015" xr:uid="{00000000-0004-0000-0000-0000F6030000}"/>
    <hyperlink ref="C1017" r:id="rId1016" xr:uid="{00000000-0004-0000-0000-0000F7030000}"/>
    <hyperlink ref="C1018" r:id="rId1017" xr:uid="{00000000-0004-0000-0000-0000F8030000}"/>
    <hyperlink ref="C1019" r:id="rId1018" xr:uid="{00000000-0004-0000-0000-0000F9030000}"/>
    <hyperlink ref="C1020" r:id="rId1019" xr:uid="{00000000-0004-0000-0000-0000FA030000}"/>
    <hyperlink ref="C1021" r:id="rId1020" xr:uid="{00000000-0004-0000-0000-0000FB030000}"/>
    <hyperlink ref="C1022" r:id="rId1021" xr:uid="{00000000-0004-0000-0000-0000FC030000}"/>
    <hyperlink ref="C1023" r:id="rId1022" xr:uid="{00000000-0004-0000-0000-0000FD030000}"/>
    <hyperlink ref="C1024" r:id="rId1023" xr:uid="{00000000-0004-0000-0000-0000FE030000}"/>
    <hyperlink ref="C1025" r:id="rId1024" xr:uid="{00000000-0004-0000-0000-0000FF030000}"/>
    <hyperlink ref="C1026" r:id="rId1025" xr:uid="{00000000-0004-0000-0000-000000040000}"/>
    <hyperlink ref="C1027" r:id="rId1026" xr:uid="{00000000-0004-0000-0000-000001040000}"/>
    <hyperlink ref="C1028" r:id="rId1027" xr:uid="{00000000-0004-0000-0000-000002040000}"/>
    <hyperlink ref="C1029" r:id="rId1028" xr:uid="{00000000-0004-0000-0000-000003040000}"/>
    <hyperlink ref="C1030" r:id="rId1029" xr:uid="{00000000-0004-0000-0000-000004040000}"/>
    <hyperlink ref="C1031" r:id="rId1030" xr:uid="{00000000-0004-0000-0000-000005040000}"/>
    <hyperlink ref="C1032" r:id="rId1031" xr:uid="{00000000-0004-0000-0000-000006040000}"/>
    <hyperlink ref="C1033" r:id="rId1032" xr:uid="{00000000-0004-0000-0000-000007040000}"/>
    <hyperlink ref="C1034" r:id="rId1033" xr:uid="{00000000-0004-0000-0000-000008040000}"/>
    <hyperlink ref="C1035" r:id="rId1034" xr:uid="{00000000-0004-0000-0000-000009040000}"/>
    <hyperlink ref="C1036" r:id="rId1035" xr:uid="{00000000-0004-0000-0000-00000A040000}"/>
    <hyperlink ref="C1037" r:id="rId1036" xr:uid="{00000000-0004-0000-0000-00000B040000}"/>
    <hyperlink ref="C1038" r:id="rId1037" xr:uid="{00000000-0004-0000-0000-00000C040000}"/>
    <hyperlink ref="C1039" r:id="rId1038" xr:uid="{00000000-0004-0000-0000-00000D040000}"/>
    <hyperlink ref="C1040" r:id="rId1039" xr:uid="{00000000-0004-0000-0000-00000E040000}"/>
    <hyperlink ref="C1041" r:id="rId1040" xr:uid="{00000000-0004-0000-0000-00000F040000}"/>
    <hyperlink ref="C1042" r:id="rId1041" xr:uid="{00000000-0004-0000-0000-000010040000}"/>
    <hyperlink ref="C1043" r:id="rId1042" xr:uid="{00000000-0004-0000-0000-000011040000}"/>
    <hyperlink ref="C1044" r:id="rId1043" xr:uid="{00000000-0004-0000-0000-000012040000}"/>
    <hyperlink ref="C1045" r:id="rId1044" xr:uid="{00000000-0004-0000-0000-000013040000}"/>
    <hyperlink ref="C1046" r:id="rId1045" xr:uid="{00000000-0004-0000-0000-000014040000}"/>
    <hyperlink ref="C1047" r:id="rId1046" xr:uid="{00000000-0004-0000-0000-000015040000}"/>
    <hyperlink ref="C1048" r:id="rId1047" xr:uid="{00000000-0004-0000-0000-000016040000}"/>
    <hyperlink ref="C1049" r:id="rId1048" xr:uid="{00000000-0004-0000-0000-000017040000}"/>
    <hyperlink ref="C1050" r:id="rId1049" xr:uid="{00000000-0004-0000-0000-000018040000}"/>
    <hyperlink ref="C1051" r:id="rId1050" xr:uid="{00000000-0004-0000-0000-000019040000}"/>
    <hyperlink ref="C1052" r:id="rId1051" xr:uid="{00000000-0004-0000-0000-00001A040000}"/>
    <hyperlink ref="C1053" r:id="rId1052" xr:uid="{00000000-0004-0000-0000-00001B040000}"/>
    <hyperlink ref="C1054" r:id="rId1053" xr:uid="{00000000-0004-0000-0000-00001C040000}"/>
    <hyperlink ref="C1055" r:id="rId1054" xr:uid="{00000000-0004-0000-0000-00001D040000}"/>
    <hyperlink ref="C1056" r:id="rId1055" xr:uid="{00000000-0004-0000-0000-00001E040000}"/>
    <hyperlink ref="C1057" r:id="rId1056" xr:uid="{00000000-0004-0000-0000-00001F040000}"/>
    <hyperlink ref="C1058" r:id="rId1057" xr:uid="{00000000-0004-0000-0000-000020040000}"/>
    <hyperlink ref="C1059" r:id="rId1058" xr:uid="{00000000-0004-0000-0000-000021040000}"/>
    <hyperlink ref="C1060" r:id="rId1059" xr:uid="{00000000-0004-0000-0000-000022040000}"/>
    <hyperlink ref="C1061" r:id="rId1060" xr:uid="{00000000-0004-0000-0000-000023040000}"/>
    <hyperlink ref="C1062" r:id="rId1061" xr:uid="{00000000-0004-0000-0000-000024040000}"/>
    <hyperlink ref="C1063" r:id="rId1062" xr:uid="{00000000-0004-0000-0000-0000250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586"/>
  <sheetViews>
    <sheetView tabSelected="1" workbookViewId="0">
      <selection activeCell="E15" sqref="E15"/>
    </sheetView>
  </sheetViews>
  <sheetFormatPr defaultColWidth="14.42578125" defaultRowHeight="15" customHeight="1" x14ac:dyDescent="0.15"/>
  <cols>
    <col min="1" max="1" width="6.06640625" customWidth="1"/>
    <col min="2" max="2" width="21.7109375" customWidth="1"/>
    <col min="3" max="3" width="12.26953125" customWidth="1"/>
    <col min="4" max="32" width="6.06640625" customWidth="1"/>
  </cols>
  <sheetData>
    <row r="1" spans="1:32" ht="15.75" customHeight="1" x14ac:dyDescent="0.2">
      <c r="A1" s="19" t="s">
        <v>0</v>
      </c>
      <c r="B1" s="19" t="s">
        <v>2</v>
      </c>
      <c r="C1" s="19" t="s">
        <v>2681</v>
      </c>
      <c r="D1" s="19" t="s">
        <v>2616</v>
      </c>
      <c r="E1" s="19" t="s">
        <v>2683</v>
      </c>
      <c r="F1" s="19" t="s">
        <v>2618</v>
      </c>
      <c r="G1" s="19" t="s">
        <v>2619</v>
      </c>
      <c r="H1" s="19" t="s">
        <v>2620</v>
      </c>
      <c r="I1" s="19" t="s">
        <v>2621</v>
      </c>
      <c r="J1" s="19" t="s">
        <v>2622</v>
      </c>
      <c r="K1" s="19" t="s">
        <v>2623</v>
      </c>
      <c r="L1" s="19" t="s">
        <v>2624</v>
      </c>
      <c r="M1" s="19" t="s">
        <v>2625</v>
      </c>
      <c r="N1" s="19" t="s">
        <v>2626</v>
      </c>
      <c r="O1" s="19" t="s">
        <v>2627</v>
      </c>
      <c r="P1" s="19" t="s">
        <v>2628</v>
      </c>
      <c r="Q1" s="19" t="s">
        <v>2629</v>
      </c>
      <c r="R1" s="19" t="s">
        <v>2630</v>
      </c>
      <c r="S1" s="19" t="s">
        <v>2631</v>
      </c>
      <c r="T1" s="19" t="s">
        <v>2632</v>
      </c>
      <c r="U1" s="19" t="s">
        <v>2633</v>
      </c>
      <c r="V1" s="19" t="s">
        <v>2634</v>
      </c>
      <c r="W1" s="19" t="s">
        <v>2635</v>
      </c>
      <c r="X1" s="19" t="s">
        <v>2636</v>
      </c>
      <c r="Y1" s="19" t="s">
        <v>2637</v>
      </c>
      <c r="Z1" s="19" t="s">
        <v>2638</v>
      </c>
      <c r="AA1" s="19" t="s">
        <v>2639</v>
      </c>
      <c r="AB1" s="19" t="s">
        <v>2640</v>
      </c>
      <c r="AC1" s="19" t="s">
        <v>2641</v>
      </c>
      <c r="AD1" s="20" t="s">
        <v>2642</v>
      </c>
      <c r="AE1" s="20" t="s">
        <v>2643</v>
      </c>
      <c r="AF1" s="21" t="s">
        <v>2644</v>
      </c>
    </row>
    <row r="2" spans="1:32" ht="15.75" customHeight="1" x14ac:dyDescent="0.15">
      <c r="A2" s="30">
        <v>1</v>
      </c>
      <c r="B2" s="31" t="s">
        <v>2684</v>
      </c>
      <c r="C2" s="32" t="s">
        <v>2645</v>
      </c>
      <c r="D2" s="30">
        <v>1.85</v>
      </c>
      <c r="E2" s="30">
        <v>27</v>
      </c>
      <c r="F2" s="30">
        <v>10</v>
      </c>
      <c r="G2" s="30">
        <v>9</v>
      </c>
      <c r="H2" s="30">
        <v>0</v>
      </c>
      <c r="I2" s="30">
        <v>0</v>
      </c>
      <c r="J2" s="30">
        <v>0</v>
      </c>
      <c r="K2" s="30">
        <v>2</v>
      </c>
      <c r="L2" s="30">
        <v>2</v>
      </c>
      <c r="M2" s="30">
        <v>1</v>
      </c>
      <c r="N2" s="30">
        <v>0.52600000000000002</v>
      </c>
      <c r="O2" s="30">
        <v>708</v>
      </c>
      <c r="P2" s="33">
        <v>180.1</v>
      </c>
      <c r="Q2" s="30">
        <v>140</v>
      </c>
      <c r="R2" s="30">
        <v>14</v>
      </c>
      <c r="S2" s="30">
        <v>35</v>
      </c>
      <c r="T2" s="30">
        <v>1</v>
      </c>
      <c r="U2" s="30">
        <v>4</v>
      </c>
      <c r="V2" s="30">
        <v>155</v>
      </c>
      <c r="W2" s="30">
        <v>1</v>
      </c>
      <c r="X2" s="30">
        <v>0</v>
      </c>
      <c r="Y2" s="30">
        <v>42</v>
      </c>
      <c r="Z2" s="30">
        <v>37</v>
      </c>
      <c r="AA2" s="23" t="s">
        <v>15</v>
      </c>
      <c r="AB2" s="23" t="s">
        <v>205</v>
      </c>
      <c r="AC2" s="23" t="s">
        <v>184</v>
      </c>
      <c r="AD2" s="23">
        <f t="shared" ref="AD2:AD373" si="0">(Q2+S2)/P2</f>
        <v>0.97168239866740702</v>
      </c>
      <c r="AE2" s="23">
        <f t="shared" ref="AE2:AE373" si="1">(13*R2+3*(S2-T2+U2)-2*V2)/P2+3.12</f>
        <v>3.0422654081066076</v>
      </c>
      <c r="AF2" s="23">
        <f t="shared" ref="AF2:AF373" si="2">(Q2-R2)/(O2-S2-T2-U2-V2-R2)</f>
        <v>0.25250501002004005</v>
      </c>
    </row>
    <row r="3" spans="1:32" ht="15.75" customHeight="1" x14ac:dyDescent="0.15">
      <c r="A3" s="34">
        <v>2</v>
      </c>
      <c r="B3" s="35" t="s">
        <v>2685</v>
      </c>
      <c r="C3" s="36" t="s">
        <v>2646</v>
      </c>
      <c r="D3" s="34">
        <v>3.18</v>
      </c>
      <c r="E3" s="34">
        <v>26</v>
      </c>
      <c r="F3" s="34">
        <v>10</v>
      </c>
      <c r="G3" s="34">
        <v>10</v>
      </c>
      <c r="H3" s="34">
        <v>0</v>
      </c>
      <c r="I3" s="34">
        <v>0</v>
      </c>
      <c r="J3" s="34">
        <v>0</v>
      </c>
      <c r="K3" s="34">
        <v>3</v>
      </c>
      <c r="L3" s="34">
        <v>1</v>
      </c>
      <c r="M3" s="34">
        <v>2</v>
      </c>
      <c r="N3" s="34">
        <v>0.5</v>
      </c>
      <c r="O3" s="34">
        <v>731</v>
      </c>
      <c r="P3" s="33">
        <v>172.2</v>
      </c>
      <c r="Q3" s="34">
        <v>184</v>
      </c>
      <c r="R3" s="34">
        <v>16</v>
      </c>
      <c r="S3" s="34">
        <v>34</v>
      </c>
      <c r="T3" s="34">
        <v>0</v>
      </c>
      <c r="U3" s="34">
        <v>4</v>
      </c>
      <c r="V3" s="34">
        <v>159</v>
      </c>
      <c r="W3" s="34">
        <v>0</v>
      </c>
      <c r="X3" s="34">
        <v>1</v>
      </c>
      <c r="Y3" s="34">
        <v>66</v>
      </c>
      <c r="Z3" s="34">
        <v>61</v>
      </c>
      <c r="AA3" s="24" t="s">
        <v>14</v>
      </c>
      <c r="AB3" s="24" t="s">
        <v>234</v>
      </c>
      <c r="AC3" s="24" t="s">
        <v>201</v>
      </c>
      <c r="AD3" s="23">
        <f t="shared" si="0"/>
        <v>1.2659698025551684</v>
      </c>
      <c r="AE3" s="23">
        <f t="shared" si="1"/>
        <v>3.1432288037166085</v>
      </c>
      <c r="AF3" s="23">
        <f t="shared" si="2"/>
        <v>0.32432432432432434</v>
      </c>
    </row>
    <row r="4" spans="1:32" ht="15.75" customHeight="1" x14ac:dyDescent="0.15">
      <c r="A4" s="30">
        <v>3</v>
      </c>
      <c r="B4" s="31" t="s">
        <v>2686</v>
      </c>
      <c r="C4" s="37" t="s">
        <v>2647</v>
      </c>
      <c r="D4" s="30">
        <v>2.27</v>
      </c>
      <c r="E4" s="30">
        <v>24</v>
      </c>
      <c r="F4" s="30">
        <v>10</v>
      </c>
      <c r="G4" s="30">
        <v>8</v>
      </c>
      <c r="H4" s="30">
        <v>0</v>
      </c>
      <c r="I4" s="30">
        <v>0</v>
      </c>
      <c r="J4" s="30">
        <v>0</v>
      </c>
      <c r="K4" s="30">
        <v>4</v>
      </c>
      <c r="L4" s="30">
        <v>3</v>
      </c>
      <c r="M4" s="30">
        <v>1</v>
      </c>
      <c r="N4" s="30">
        <v>0.55600000000000005</v>
      </c>
      <c r="O4" s="30">
        <v>639</v>
      </c>
      <c r="P4" s="33">
        <v>166.1</v>
      </c>
      <c r="Q4" s="30">
        <v>137</v>
      </c>
      <c r="R4" s="30">
        <v>11</v>
      </c>
      <c r="S4" s="30">
        <v>21</v>
      </c>
      <c r="T4" s="30">
        <v>1</v>
      </c>
      <c r="U4" s="30">
        <v>1</v>
      </c>
      <c r="V4" s="30">
        <v>148</v>
      </c>
      <c r="W4" s="30">
        <v>2</v>
      </c>
      <c r="X4" s="30">
        <v>1</v>
      </c>
      <c r="Y4" s="30">
        <v>51</v>
      </c>
      <c r="Z4" s="30">
        <v>42</v>
      </c>
      <c r="AA4" s="23" t="s">
        <v>14</v>
      </c>
      <c r="AB4" s="23" t="s">
        <v>275</v>
      </c>
      <c r="AC4" s="23" t="s">
        <v>259</v>
      </c>
      <c r="AD4" s="23">
        <f t="shared" si="0"/>
        <v>0.95123419626730887</v>
      </c>
      <c r="AE4" s="23">
        <f t="shared" si="1"/>
        <v>2.5781577363034316</v>
      </c>
      <c r="AF4" s="23">
        <f t="shared" si="2"/>
        <v>0.27571115973741794</v>
      </c>
    </row>
    <row r="5" spans="1:32" ht="15.75" customHeight="1" x14ac:dyDescent="0.15">
      <c r="A5" s="34">
        <v>4</v>
      </c>
      <c r="B5" s="35" t="s">
        <v>2687</v>
      </c>
      <c r="C5" s="38" t="s">
        <v>2648</v>
      </c>
      <c r="D5" s="34">
        <v>3.19</v>
      </c>
      <c r="E5" s="34">
        <v>27</v>
      </c>
      <c r="F5" s="34">
        <v>9</v>
      </c>
      <c r="G5" s="34">
        <v>12</v>
      </c>
      <c r="H5" s="34">
        <v>0</v>
      </c>
      <c r="I5" s="34">
        <v>0</v>
      </c>
      <c r="J5" s="34">
        <v>0</v>
      </c>
      <c r="K5" s="34">
        <v>1</v>
      </c>
      <c r="L5" s="34">
        <v>1</v>
      </c>
      <c r="M5" s="34">
        <v>0</v>
      </c>
      <c r="N5" s="34">
        <v>0.42899999999999999</v>
      </c>
      <c r="O5" s="34">
        <v>688</v>
      </c>
      <c r="P5" s="33">
        <v>163.19999999999999</v>
      </c>
      <c r="Q5" s="34">
        <v>138</v>
      </c>
      <c r="R5" s="34">
        <v>14</v>
      </c>
      <c r="S5" s="34">
        <v>65</v>
      </c>
      <c r="T5" s="34">
        <v>2</v>
      </c>
      <c r="U5" s="34">
        <v>11</v>
      </c>
      <c r="V5" s="34">
        <v>150</v>
      </c>
      <c r="W5" s="34">
        <v>2</v>
      </c>
      <c r="X5" s="34">
        <v>0</v>
      </c>
      <c r="Y5" s="34">
        <v>67</v>
      </c>
      <c r="Z5" s="34">
        <v>58</v>
      </c>
      <c r="AA5" s="24" t="s">
        <v>15</v>
      </c>
      <c r="AB5" s="24" t="s">
        <v>236</v>
      </c>
      <c r="AC5" s="24" t="s">
        <v>223</v>
      </c>
      <c r="AD5" s="23">
        <f t="shared" si="0"/>
        <v>1.2438725490196079</v>
      </c>
      <c r="AE5" s="23">
        <f t="shared" si="1"/>
        <v>3.7572549019607844</v>
      </c>
      <c r="AF5" s="23">
        <f t="shared" si="2"/>
        <v>0.27802690582959644</v>
      </c>
    </row>
    <row r="6" spans="1:32" ht="15.75" customHeight="1" x14ac:dyDescent="0.15">
      <c r="A6" s="30">
        <v>5</v>
      </c>
      <c r="B6" s="31" t="s">
        <v>2688</v>
      </c>
      <c r="C6" s="39" t="s">
        <v>2649</v>
      </c>
      <c r="D6" s="30">
        <v>2.33</v>
      </c>
      <c r="E6" s="30">
        <v>25</v>
      </c>
      <c r="F6" s="30">
        <v>12</v>
      </c>
      <c r="G6" s="30">
        <v>4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0.75</v>
      </c>
      <c r="O6" s="30">
        <v>647</v>
      </c>
      <c r="P6" s="33">
        <v>162.1</v>
      </c>
      <c r="Q6" s="30">
        <v>122</v>
      </c>
      <c r="R6" s="30">
        <v>14</v>
      </c>
      <c r="S6" s="30">
        <v>32</v>
      </c>
      <c r="T6" s="30">
        <v>0</v>
      </c>
      <c r="U6" s="30">
        <v>10</v>
      </c>
      <c r="V6" s="30">
        <v>152</v>
      </c>
      <c r="W6" s="30">
        <v>2</v>
      </c>
      <c r="X6" s="30">
        <v>0</v>
      </c>
      <c r="Y6" s="30">
        <v>50</v>
      </c>
      <c r="Z6" s="30">
        <v>42</v>
      </c>
      <c r="AA6" s="23" t="s">
        <v>15</v>
      </c>
      <c r="AB6" s="23" t="s">
        <v>281</v>
      </c>
      <c r="AC6" s="23" t="s">
        <v>253</v>
      </c>
      <c r="AD6" s="23">
        <f t="shared" si="0"/>
        <v>0.95003084515731029</v>
      </c>
      <c r="AE6" s="23">
        <f t="shared" si="1"/>
        <v>3.1446761258482421</v>
      </c>
      <c r="AF6" s="23">
        <f t="shared" si="2"/>
        <v>0.24601366742596811</v>
      </c>
    </row>
    <row r="7" spans="1:32" ht="15.75" customHeight="1" x14ac:dyDescent="0.15">
      <c r="A7" s="34">
        <v>6</v>
      </c>
      <c r="B7" s="35" t="s">
        <v>2689</v>
      </c>
      <c r="C7" s="40" t="s">
        <v>2650</v>
      </c>
      <c r="D7" s="34">
        <v>2.4</v>
      </c>
      <c r="E7" s="34">
        <v>25</v>
      </c>
      <c r="F7" s="34">
        <v>12</v>
      </c>
      <c r="G7" s="34">
        <v>6</v>
      </c>
      <c r="H7" s="34">
        <v>0</v>
      </c>
      <c r="I7" s="34">
        <v>0</v>
      </c>
      <c r="J7" s="34">
        <v>0</v>
      </c>
      <c r="K7" s="34">
        <v>1</v>
      </c>
      <c r="L7" s="34">
        <v>0</v>
      </c>
      <c r="M7" s="34">
        <v>1</v>
      </c>
      <c r="N7" s="34">
        <v>0.66700000000000004</v>
      </c>
      <c r="O7" s="34">
        <v>642</v>
      </c>
      <c r="P7" s="33">
        <v>161.1</v>
      </c>
      <c r="Q7" s="34">
        <v>136</v>
      </c>
      <c r="R7" s="34">
        <v>12</v>
      </c>
      <c r="S7" s="34">
        <v>28</v>
      </c>
      <c r="T7" s="34">
        <v>1</v>
      </c>
      <c r="U7" s="34">
        <v>4</v>
      </c>
      <c r="V7" s="34">
        <v>120</v>
      </c>
      <c r="W7" s="34">
        <v>1</v>
      </c>
      <c r="X7" s="34">
        <v>0</v>
      </c>
      <c r="Y7" s="34">
        <v>50</v>
      </c>
      <c r="Z7" s="34">
        <v>43</v>
      </c>
      <c r="AA7" s="24" t="s">
        <v>14</v>
      </c>
      <c r="AB7" s="24" t="s">
        <v>275</v>
      </c>
      <c r="AC7" s="24" t="s">
        <v>263</v>
      </c>
      <c r="AD7" s="23">
        <f t="shared" si="0"/>
        <v>1.0180012414649287</v>
      </c>
      <c r="AE7" s="23">
        <f t="shared" si="1"/>
        <v>3.1758659217877097</v>
      </c>
      <c r="AF7" s="23">
        <f t="shared" si="2"/>
        <v>0.25995807127882598</v>
      </c>
    </row>
    <row r="8" spans="1:32" ht="15.75" customHeight="1" x14ac:dyDescent="0.15">
      <c r="A8" s="30">
        <v>7</v>
      </c>
      <c r="B8" s="31" t="s">
        <v>2690</v>
      </c>
      <c r="C8" s="41" t="s">
        <v>2651</v>
      </c>
      <c r="D8" s="30">
        <v>2.91</v>
      </c>
      <c r="E8" s="30">
        <v>25</v>
      </c>
      <c r="F8" s="30">
        <v>5</v>
      </c>
      <c r="G8" s="30">
        <v>12</v>
      </c>
      <c r="H8" s="30">
        <v>0</v>
      </c>
      <c r="I8" s="30">
        <v>0</v>
      </c>
      <c r="J8" s="30">
        <v>0</v>
      </c>
      <c r="K8" s="30">
        <v>1</v>
      </c>
      <c r="L8" s="30">
        <v>0</v>
      </c>
      <c r="M8" s="30">
        <v>0</v>
      </c>
      <c r="N8" s="30">
        <v>0.29399999999999998</v>
      </c>
      <c r="O8" s="30">
        <v>663</v>
      </c>
      <c r="P8" s="33">
        <v>160.19999999999999</v>
      </c>
      <c r="Q8" s="30">
        <v>159</v>
      </c>
      <c r="R8" s="30">
        <v>16</v>
      </c>
      <c r="S8" s="30">
        <v>34</v>
      </c>
      <c r="T8" s="30">
        <v>3</v>
      </c>
      <c r="U8" s="30">
        <v>3</v>
      </c>
      <c r="V8" s="30">
        <v>146</v>
      </c>
      <c r="W8" s="30">
        <v>1</v>
      </c>
      <c r="X8" s="30">
        <v>0</v>
      </c>
      <c r="Y8" s="30">
        <v>56</v>
      </c>
      <c r="Z8" s="30">
        <v>52</v>
      </c>
      <c r="AA8" s="23" t="s">
        <v>15</v>
      </c>
      <c r="AB8" s="23" t="s">
        <v>210</v>
      </c>
      <c r="AC8" s="23" t="s">
        <v>205</v>
      </c>
      <c r="AD8" s="23">
        <f t="shared" si="0"/>
        <v>1.2047440699126093</v>
      </c>
      <c r="AE8" s="23">
        <f t="shared" si="1"/>
        <v>3.2323595505617977</v>
      </c>
      <c r="AF8" s="23">
        <f t="shared" si="2"/>
        <v>0.31019522776572667</v>
      </c>
    </row>
    <row r="9" spans="1:32" ht="15.75" customHeight="1" x14ac:dyDescent="0.15">
      <c r="A9" s="34">
        <v>8</v>
      </c>
      <c r="B9" s="35" t="s">
        <v>2691</v>
      </c>
      <c r="C9" s="42" t="s">
        <v>2652</v>
      </c>
      <c r="D9" s="34">
        <v>3.45</v>
      </c>
      <c r="E9" s="34">
        <v>25</v>
      </c>
      <c r="F9" s="34">
        <v>9</v>
      </c>
      <c r="G9" s="34">
        <v>9</v>
      </c>
      <c r="H9" s="34">
        <v>0</v>
      </c>
      <c r="I9" s="34">
        <v>0</v>
      </c>
      <c r="J9" s="34">
        <v>0</v>
      </c>
      <c r="K9" s="34">
        <v>1</v>
      </c>
      <c r="L9" s="34">
        <v>1</v>
      </c>
      <c r="M9" s="34">
        <v>1</v>
      </c>
      <c r="N9" s="34">
        <v>0.5</v>
      </c>
      <c r="O9" s="34">
        <v>647</v>
      </c>
      <c r="P9" s="33">
        <v>159</v>
      </c>
      <c r="Q9" s="34">
        <v>146</v>
      </c>
      <c r="R9" s="34">
        <v>20</v>
      </c>
      <c r="S9" s="34">
        <v>38</v>
      </c>
      <c r="T9" s="34">
        <v>0</v>
      </c>
      <c r="U9" s="34">
        <v>3</v>
      </c>
      <c r="V9" s="34">
        <v>171</v>
      </c>
      <c r="W9" s="34">
        <v>2</v>
      </c>
      <c r="X9" s="34">
        <v>0</v>
      </c>
      <c r="Y9" s="34">
        <v>63</v>
      </c>
      <c r="Z9" s="34">
        <v>61</v>
      </c>
      <c r="AA9" s="24" t="s">
        <v>15</v>
      </c>
      <c r="AB9" s="24" t="s">
        <v>223</v>
      </c>
      <c r="AC9" s="24" t="s">
        <v>189</v>
      </c>
      <c r="AD9" s="23">
        <f t="shared" si="0"/>
        <v>1.1572327044025157</v>
      </c>
      <c r="AE9" s="23">
        <f t="shared" si="1"/>
        <v>3.3778616352201261</v>
      </c>
      <c r="AF9" s="23">
        <f t="shared" si="2"/>
        <v>0.30361445783132529</v>
      </c>
    </row>
    <row r="10" spans="1:32" ht="15.75" customHeight="1" x14ac:dyDescent="0.15">
      <c r="A10" s="30">
        <v>8</v>
      </c>
      <c r="B10" s="31" t="s">
        <v>2692</v>
      </c>
      <c r="C10" s="32" t="s">
        <v>2645</v>
      </c>
      <c r="D10" s="30">
        <v>1.87</v>
      </c>
      <c r="E10" s="30">
        <v>23</v>
      </c>
      <c r="F10" s="30">
        <v>16</v>
      </c>
      <c r="G10" s="30">
        <v>3</v>
      </c>
      <c r="H10" s="30">
        <v>0</v>
      </c>
      <c r="I10" s="30">
        <v>0</v>
      </c>
      <c r="J10" s="30">
        <v>0</v>
      </c>
      <c r="K10" s="30">
        <v>5</v>
      </c>
      <c r="L10" s="30">
        <v>4</v>
      </c>
      <c r="M10" s="30">
        <v>2</v>
      </c>
      <c r="N10" s="30">
        <v>0.84199999999999997</v>
      </c>
      <c r="O10" s="30">
        <v>615</v>
      </c>
      <c r="P10" s="33">
        <v>159</v>
      </c>
      <c r="Q10" s="30">
        <v>123</v>
      </c>
      <c r="R10" s="30">
        <v>9</v>
      </c>
      <c r="S10" s="30">
        <v>17</v>
      </c>
      <c r="T10" s="30">
        <v>2</v>
      </c>
      <c r="U10" s="30">
        <v>2</v>
      </c>
      <c r="V10" s="30">
        <v>150</v>
      </c>
      <c r="W10" s="30">
        <v>2</v>
      </c>
      <c r="X10" s="30">
        <v>1</v>
      </c>
      <c r="Y10" s="30">
        <v>37</v>
      </c>
      <c r="Z10" s="30">
        <v>33</v>
      </c>
      <c r="AA10" s="23" t="s">
        <v>15</v>
      </c>
      <c r="AB10" s="23" t="s">
        <v>205</v>
      </c>
      <c r="AC10" s="23" t="s">
        <v>177</v>
      </c>
      <c r="AD10" s="23">
        <f t="shared" si="0"/>
        <v>0.88050314465408808</v>
      </c>
      <c r="AE10" s="23">
        <f t="shared" si="1"/>
        <v>2.2898113207547173</v>
      </c>
      <c r="AF10" s="23">
        <f t="shared" si="2"/>
        <v>0.2620689655172414</v>
      </c>
    </row>
    <row r="11" spans="1:32" ht="15.75" customHeight="1" x14ac:dyDescent="0.15">
      <c r="A11" s="34">
        <v>10</v>
      </c>
      <c r="B11" s="35" t="s">
        <v>2693</v>
      </c>
      <c r="C11" s="43" t="s">
        <v>2649</v>
      </c>
      <c r="D11" s="34">
        <v>2.88</v>
      </c>
      <c r="E11" s="34">
        <v>23</v>
      </c>
      <c r="F11" s="34">
        <v>7</v>
      </c>
      <c r="G11" s="34">
        <v>11</v>
      </c>
      <c r="H11" s="34">
        <v>0</v>
      </c>
      <c r="I11" s="34">
        <v>0</v>
      </c>
      <c r="J11" s="34">
        <v>0</v>
      </c>
      <c r="K11" s="34">
        <v>3</v>
      </c>
      <c r="L11" s="34">
        <v>2</v>
      </c>
      <c r="M11" s="34">
        <v>1</v>
      </c>
      <c r="N11" s="34">
        <v>0.38900000000000001</v>
      </c>
      <c r="O11" s="34">
        <v>614</v>
      </c>
      <c r="P11" s="33">
        <v>156</v>
      </c>
      <c r="Q11" s="34">
        <v>129</v>
      </c>
      <c r="R11" s="34">
        <v>16</v>
      </c>
      <c r="S11" s="34">
        <v>34</v>
      </c>
      <c r="T11" s="34">
        <v>2</v>
      </c>
      <c r="U11" s="34">
        <v>1</v>
      </c>
      <c r="V11" s="34">
        <v>119</v>
      </c>
      <c r="W11" s="34">
        <v>1</v>
      </c>
      <c r="X11" s="34">
        <v>0</v>
      </c>
      <c r="Y11" s="34">
        <v>53</v>
      </c>
      <c r="Z11" s="34">
        <v>50</v>
      </c>
      <c r="AA11" s="24" t="s">
        <v>14</v>
      </c>
      <c r="AB11" s="24" t="s">
        <v>220</v>
      </c>
      <c r="AC11" s="24" t="s">
        <v>189</v>
      </c>
      <c r="AD11" s="23">
        <f t="shared" si="0"/>
        <v>1.0448717948717949</v>
      </c>
      <c r="AE11" s="23">
        <f t="shared" si="1"/>
        <v>3.5623076923076926</v>
      </c>
      <c r="AF11" s="23">
        <f t="shared" si="2"/>
        <v>0.25565610859728505</v>
      </c>
    </row>
    <row r="12" spans="1:32" ht="15.75" customHeight="1" x14ac:dyDescent="0.15">
      <c r="A12" s="30">
        <v>11</v>
      </c>
      <c r="B12" s="31" t="s">
        <v>2694</v>
      </c>
      <c r="C12" s="32" t="s">
        <v>2645</v>
      </c>
      <c r="D12" s="30">
        <v>2.5099999999999998</v>
      </c>
      <c r="E12" s="30">
        <v>25</v>
      </c>
      <c r="F12" s="30">
        <v>10</v>
      </c>
      <c r="G12" s="30">
        <v>5</v>
      </c>
      <c r="H12" s="30">
        <v>0</v>
      </c>
      <c r="I12" s="30">
        <v>0</v>
      </c>
      <c r="J12" s="30">
        <v>0</v>
      </c>
      <c r="K12" s="30">
        <v>1</v>
      </c>
      <c r="L12" s="30">
        <v>1</v>
      </c>
      <c r="M12" s="30">
        <v>0</v>
      </c>
      <c r="N12" s="30">
        <v>0.66700000000000004</v>
      </c>
      <c r="O12" s="30">
        <v>619</v>
      </c>
      <c r="P12" s="33">
        <v>154</v>
      </c>
      <c r="Q12" s="30">
        <v>124</v>
      </c>
      <c r="R12" s="30">
        <v>13</v>
      </c>
      <c r="S12" s="30">
        <v>30</v>
      </c>
      <c r="T12" s="30">
        <v>1</v>
      </c>
      <c r="U12" s="30">
        <v>2</v>
      </c>
      <c r="V12" s="30">
        <v>175</v>
      </c>
      <c r="W12" s="30">
        <v>4</v>
      </c>
      <c r="X12" s="30">
        <v>0</v>
      </c>
      <c r="Y12" s="30">
        <v>48</v>
      </c>
      <c r="Z12" s="30">
        <v>43</v>
      </c>
      <c r="AA12" s="23" t="s">
        <v>14</v>
      </c>
      <c r="AB12" s="23" t="s">
        <v>177</v>
      </c>
      <c r="AC12" s="23" t="s">
        <v>168</v>
      </c>
      <c r="AD12" s="23">
        <f t="shared" si="0"/>
        <v>1</v>
      </c>
      <c r="AE12" s="23">
        <f t="shared" si="1"/>
        <v>2.5485714285714289</v>
      </c>
      <c r="AF12" s="23">
        <f t="shared" si="2"/>
        <v>0.27889447236180903</v>
      </c>
    </row>
    <row r="13" spans="1:32" ht="15.75" customHeight="1" x14ac:dyDescent="0.15">
      <c r="A13" s="34">
        <v>12</v>
      </c>
      <c r="B13" s="35" t="s">
        <v>2695</v>
      </c>
      <c r="C13" s="42" t="s">
        <v>2652</v>
      </c>
      <c r="D13" s="34">
        <v>2.94</v>
      </c>
      <c r="E13" s="34">
        <v>23</v>
      </c>
      <c r="F13" s="34">
        <v>7</v>
      </c>
      <c r="G13" s="34">
        <v>10</v>
      </c>
      <c r="H13" s="34">
        <v>0</v>
      </c>
      <c r="I13" s="34">
        <v>0</v>
      </c>
      <c r="J13" s="34">
        <v>0</v>
      </c>
      <c r="K13" s="34">
        <v>1</v>
      </c>
      <c r="L13" s="34">
        <v>0</v>
      </c>
      <c r="M13" s="34">
        <v>1</v>
      </c>
      <c r="N13" s="34">
        <v>0.41199999999999998</v>
      </c>
      <c r="O13" s="34">
        <v>610</v>
      </c>
      <c r="P13" s="33">
        <v>153</v>
      </c>
      <c r="Q13" s="34">
        <v>121</v>
      </c>
      <c r="R13" s="34">
        <v>18</v>
      </c>
      <c r="S13" s="34">
        <v>36</v>
      </c>
      <c r="T13" s="34">
        <v>0</v>
      </c>
      <c r="U13" s="34">
        <v>2</v>
      </c>
      <c r="V13" s="34">
        <v>138</v>
      </c>
      <c r="W13" s="34">
        <v>1</v>
      </c>
      <c r="X13" s="34">
        <v>0</v>
      </c>
      <c r="Y13" s="34">
        <v>52</v>
      </c>
      <c r="Z13" s="34">
        <v>50</v>
      </c>
      <c r="AA13" s="24" t="s">
        <v>14</v>
      </c>
      <c r="AB13" s="24" t="s">
        <v>223</v>
      </c>
      <c r="AC13" s="24" t="s">
        <v>189</v>
      </c>
      <c r="AD13" s="23">
        <f t="shared" si="0"/>
        <v>1.0261437908496731</v>
      </c>
      <c r="AE13" s="23">
        <f t="shared" si="1"/>
        <v>3.5905882352941179</v>
      </c>
      <c r="AF13" s="23">
        <f t="shared" si="2"/>
        <v>0.24759615384615385</v>
      </c>
    </row>
    <row r="14" spans="1:32" ht="15.75" customHeight="1" x14ac:dyDescent="0.15">
      <c r="A14" s="30">
        <v>13</v>
      </c>
      <c r="B14" s="31" t="s">
        <v>2696</v>
      </c>
      <c r="C14" s="44" t="s">
        <v>2653</v>
      </c>
      <c r="D14" s="30">
        <v>3.46</v>
      </c>
      <c r="E14" s="30">
        <v>25</v>
      </c>
      <c r="F14" s="30">
        <v>9</v>
      </c>
      <c r="G14" s="30">
        <v>9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0.5</v>
      </c>
      <c r="O14" s="30">
        <v>625</v>
      </c>
      <c r="P14" s="33">
        <v>150.19999999999999</v>
      </c>
      <c r="Q14" s="30">
        <v>121</v>
      </c>
      <c r="R14" s="30">
        <v>15</v>
      </c>
      <c r="S14" s="30">
        <v>58</v>
      </c>
      <c r="T14" s="30">
        <v>0</v>
      </c>
      <c r="U14" s="30">
        <v>11</v>
      </c>
      <c r="V14" s="30">
        <v>140</v>
      </c>
      <c r="W14" s="30">
        <v>7</v>
      </c>
      <c r="X14" s="30">
        <v>1</v>
      </c>
      <c r="Y14" s="30">
        <v>62</v>
      </c>
      <c r="Z14" s="30">
        <v>58</v>
      </c>
      <c r="AA14" s="23" t="s">
        <v>15</v>
      </c>
      <c r="AB14" s="23" t="s">
        <v>281</v>
      </c>
      <c r="AC14" s="23" t="s">
        <v>275</v>
      </c>
      <c r="AD14" s="23">
        <f t="shared" si="0"/>
        <v>1.1917443408788284</v>
      </c>
      <c r="AE14" s="23">
        <f t="shared" si="1"/>
        <v>3.9322503328894811</v>
      </c>
      <c r="AF14" s="23">
        <f t="shared" si="2"/>
        <v>0.26433915211970077</v>
      </c>
    </row>
    <row r="15" spans="1:32" ht="15.75" customHeight="1" x14ac:dyDescent="0.15">
      <c r="A15" s="34">
        <v>14</v>
      </c>
      <c r="B15" s="35" t="s">
        <v>2697</v>
      </c>
      <c r="C15" s="45" t="s">
        <v>2651</v>
      </c>
      <c r="D15" s="34">
        <v>2.34</v>
      </c>
      <c r="E15" s="34">
        <v>24</v>
      </c>
      <c r="F15" s="34">
        <v>7</v>
      </c>
      <c r="G15" s="34">
        <v>5</v>
      </c>
      <c r="H15" s="34">
        <v>0</v>
      </c>
      <c r="I15" s="34">
        <v>0</v>
      </c>
      <c r="J15" s="34">
        <v>0</v>
      </c>
      <c r="K15" s="34">
        <v>1</v>
      </c>
      <c r="L15" s="34">
        <v>1</v>
      </c>
      <c r="M15" s="34">
        <v>0</v>
      </c>
      <c r="N15" s="34">
        <v>0.58299999999999996</v>
      </c>
      <c r="O15" s="34">
        <v>614</v>
      </c>
      <c r="P15" s="33">
        <v>150</v>
      </c>
      <c r="Q15" s="34">
        <v>138</v>
      </c>
      <c r="R15" s="34">
        <v>11</v>
      </c>
      <c r="S15" s="34">
        <v>38</v>
      </c>
      <c r="T15" s="34">
        <v>2</v>
      </c>
      <c r="U15" s="34">
        <v>3</v>
      </c>
      <c r="V15" s="34">
        <v>122</v>
      </c>
      <c r="W15" s="34">
        <v>3</v>
      </c>
      <c r="X15" s="34">
        <v>0</v>
      </c>
      <c r="Y15" s="34">
        <v>40</v>
      </c>
      <c r="Z15" s="34">
        <v>39</v>
      </c>
      <c r="AA15" s="24" t="s">
        <v>15</v>
      </c>
      <c r="AB15" s="24" t="s">
        <v>220</v>
      </c>
      <c r="AC15" s="24" t="s">
        <v>205</v>
      </c>
      <c r="AD15" s="23">
        <f t="shared" si="0"/>
        <v>1.1733333333333333</v>
      </c>
      <c r="AE15" s="23">
        <f t="shared" si="1"/>
        <v>3.2266666666666666</v>
      </c>
      <c r="AF15" s="23">
        <f t="shared" si="2"/>
        <v>0.28995433789954339</v>
      </c>
    </row>
    <row r="16" spans="1:32" ht="15.75" customHeight="1" x14ac:dyDescent="0.15">
      <c r="A16" s="30">
        <v>15</v>
      </c>
      <c r="B16" s="31" t="s">
        <v>2698</v>
      </c>
      <c r="C16" s="46" t="s">
        <v>2648</v>
      </c>
      <c r="D16" s="30">
        <v>2.71</v>
      </c>
      <c r="E16" s="30">
        <v>23</v>
      </c>
      <c r="F16" s="30">
        <v>13</v>
      </c>
      <c r="G16" s="30">
        <v>6</v>
      </c>
      <c r="H16" s="30">
        <v>0</v>
      </c>
      <c r="I16" s="30">
        <v>0</v>
      </c>
      <c r="J16" s="30">
        <v>0</v>
      </c>
      <c r="K16" s="30">
        <v>1</v>
      </c>
      <c r="L16" s="30">
        <v>1</v>
      </c>
      <c r="M16" s="30">
        <v>0</v>
      </c>
      <c r="N16" s="30">
        <v>0.68400000000000005</v>
      </c>
      <c r="O16" s="30">
        <v>588</v>
      </c>
      <c r="P16" s="33">
        <v>149.1</v>
      </c>
      <c r="Q16" s="30">
        <v>118</v>
      </c>
      <c r="R16" s="30">
        <v>11</v>
      </c>
      <c r="S16" s="30">
        <v>33</v>
      </c>
      <c r="T16" s="30">
        <v>0</v>
      </c>
      <c r="U16" s="30">
        <v>3</v>
      </c>
      <c r="V16" s="30">
        <v>136</v>
      </c>
      <c r="W16" s="30">
        <v>1</v>
      </c>
      <c r="X16" s="30">
        <v>0</v>
      </c>
      <c r="Y16" s="30">
        <v>46</v>
      </c>
      <c r="Z16" s="30">
        <v>45</v>
      </c>
      <c r="AA16" s="23" t="s">
        <v>15</v>
      </c>
      <c r="AB16" s="23" t="s">
        <v>227</v>
      </c>
      <c r="AC16" s="23" t="s">
        <v>210</v>
      </c>
      <c r="AD16" s="23">
        <f t="shared" si="0"/>
        <v>1.0127431254191819</v>
      </c>
      <c r="AE16" s="23">
        <f t="shared" si="1"/>
        <v>2.9791549295774651</v>
      </c>
      <c r="AF16" s="23">
        <f t="shared" si="2"/>
        <v>0.26419753086419751</v>
      </c>
    </row>
    <row r="17" spans="1:32" ht="15.75" customHeight="1" x14ac:dyDescent="0.15">
      <c r="A17" s="34">
        <v>16</v>
      </c>
      <c r="B17" s="35" t="s">
        <v>2699</v>
      </c>
      <c r="C17" s="36" t="s">
        <v>2646</v>
      </c>
      <c r="D17" s="34">
        <v>2.56</v>
      </c>
      <c r="E17" s="34">
        <v>24</v>
      </c>
      <c r="F17" s="34">
        <v>13</v>
      </c>
      <c r="G17" s="34">
        <v>3</v>
      </c>
      <c r="H17" s="34">
        <v>0</v>
      </c>
      <c r="I17" s="34">
        <v>0</v>
      </c>
      <c r="J17" s="34">
        <v>0</v>
      </c>
      <c r="K17" s="34">
        <v>3</v>
      </c>
      <c r="L17" s="34">
        <v>2</v>
      </c>
      <c r="M17" s="34">
        <v>2</v>
      </c>
      <c r="N17" s="34">
        <v>0.81299999999999994</v>
      </c>
      <c r="O17" s="34">
        <v>590</v>
      </c>
      <c r="P17" s="33">
        <v>147.19999999999999</v>
      </c>
      <c r="Q17" s="34">
        <v>115</v>
      </c>
      <c r="R17" s="34">
        <v>14</v>
      </c>
      <c r="S17" s="34">
        <v>35</v>
      </c>
      <c r="T17" s="34">
        <v>0</v>
      </c>
      <c r="U17" s="34">
        <v>4</v>
      </c>
      <c r="V17" s="34">
        <v>139</v>
      </c>
      <c r="W17" s="34">
        <v>1</v>
      </c>
      <c r="X17" s="34">
        <v>1</v>
      </c>
      <c r="Y17" s="34">
        <v>51</v>
      </c>
      <c r="Z17" s="34">
        <v>42</v>
      </c>
      <c r="AA17" s="24" t="s">
        <v>15</v>
      </c>
      <c r="AB17" s="24" t="s">
        <v>210</v>
      </c>
      <c r="AC17" s="24" t="s">
        <v>205</v>
      </c>
      <c r="AD17" s="23">
        <f t="shared" si="0"/>
        <v>1.0190217391304348</v>
      </c>
      <c r="AE17" s="23">
        <f t="shared" si="1"/>
        <v>3.2626630434782609</v>
      </c>
      <c r="AF17" s="23">
        <f t="shared" si="2"/>
        <v>0.25376884422110552</v>
      </c>
    </row>
    <row r="18" spans="1:32" ht="15.75" customHeight="1" x14ac:dyDescent="0.15">
      <c r="A18" s="30">
        <v>17</v>
      </c>
      <c r="B18" s="31" t="s">
        <v>2700</v>
      </c>
      <c r="C18" s="47" t="s">
        <v>2654</v>
      </c>
      <c r="D18" s="30">
        <v>2.02</v>
      </c>
      <c r="E18" s="30">
        <v>23</v>
      </c>
      <c r="F18" s="30">
        <v>10</v>
      </c>
      <c r="G18" s="30">
        <v>8</v>
      </c>
      <c r="H18" s="30">
        <v>0</v>
      </c>
      <c r="I18" s="30">
        <v>0</v>
      </c>
      <c r="J18" s="30">
        <v>0</v>
      </c>
      <c r="K18" s="30">
        <v>1</v>
      </c>
      <c r="L18" s="30">
        <v>0</v>
      </c>
      <c r="M18" s="30">
        <v>1</v>
      </c>
      <c r="N18" s="30">
        <v>0.55600000000000005</v>
      </c>
      <c r="O18" s="30">
        <v>572</v>
      </c>
      <c r="P18" s="33">
        <v>147</v>
      </c>
      <c r="Q18" s="30">
        <v>114</v>
      </c>
      <c r="R18" s="30">
        <v>9</v>
      </c>
      <c r="S18" s="30">
        <v>30</v>
      </c>
      <c r="T18" s="30">
        <v>1</v>
      </c>
      <c r="U18" s="30">
        <v>2</v>
      </c>
      <c r="V18" s="30">
        <v>146</v>
      </c>
      <c r="W18" s="30">
        <v>2</v>
      </c>
      <c r="X18" s="30">
        <v>0</v>
      </c>
      <c r="Y18" s="30">
        <v>39</v>
      </c>
      <c r="Z18" s="30">
        <v>33</v>
      </c>
      <c r="AA18" s="23" t="s">
        <v>15</v>
      </c>
      <c r="AB18" s="23" t="s">
        <v>234</v>
      </c>
      <c r="AC18" s="23" t="s">
        <v>223</v>
      </c>
      <c r="AD18" s="23">
        <f t="shared" si="0"/>
        <v>0.97959183673469385</v>
      </c>
      <c r="AE18" s="23">
        <f t="shared" si="1"/>
        <v>2.5621768707482993</v>
      </c>
      <c r="AF18" s="23">
        <f t="shared" si="2"/>
        <v>0.2734375</v>
      </c>
    </row>
    <row r="19" spans="1:32" ht="15.75" customHeight="1" x14ac:dyDescent="0.15">
      <c r="A19" s="34">
        <v>18</v>
      </c>
      <c r="B19" s="35" t="s">
        <v>2701</v>
      </c>
      <c r="C19" s="48" t="s">
        <v>2647</v>
      </c>
      <c r="D19" s="34">
        <v>1.36</v>
      </c>
      <c r="E19" s="34">
        <v>23</v>
      </c>
      <c r="F19" s="34">
        <v>12</v>
      </c>
      <c r="G19" s="34">
        <v>5</v>
      </c>
      <c r="H19" s="34">
        <v>0</v>
      </c>
      <c r="I19" s="34">
        <v>0</v>
      </c>
      <c r="J19" s="34">
        <v>0</v>
      </c>
      <c r="K19" s="34">
        <v>1</v>
      </c>
      <c r="L19" s="34">
        <v>1</v>
      </c>
      <c r="M19" s="34">
        <v>0</v>
      </c>
      <c r="N19" s="34">
        <v>0.70599999999999996</v>
      </c>
      <c r="O19" s="34">
        <v>568</v>
      </c>
      <c r="P19" s="33">
        <v>146</v>
      </c>
      <c r="Q19" s="34">
        <v>95</v>
      </c>
      <c r="R19" s="34">
        <v>4</v>
      </c>
      <c r="S19" s="34">
        <v>45</v>
      </c>
      <c r="T19" s="34">
        <v>2</v>
      </c>
      <c r="U19" s="34">
        <v>7</v>
      </c>
      <c r="V19" s="34">
        <v>141</v>
      </c>
      <c r="W19" s="34">
        <v>4</v>
      </c>
      <c r="X19" s="34">
        <v>0</v>
      </c>
      <c r="Y19" s="34">
        <v>25</v>
      </c>
      <c r="Z19" s="34">
        <v>22</v>
      </c>
      <c r="AA19" s="24" t="s">
        <v>15</v>
      </c>
      <c r="AB19" s="24" t="s">
        <v>220</v>
      </c>
      <c r="AC19" s="24" t="s">
        <v>210</v>
      </c>
      <c r="AD19" s="23">
        <f t="shared" si="0"/>
        <v>0.95890410958904104</v>
      </c>
      <c r="AE19" s="23">
        <f t="shared" si="1"/>
        <v>2.5720547945205481</v>
      </c>
      <c r="AF19" s="23">
        <f t="shared" si="2"/>
        <v>0.24661246612466126</v>
      </c>
    </row>
    <row r="20" spans="1:32" ht="15.75" customHeight="1" x14ac:dyDescent="0.15">
      <c r="A20" s="30">
        <v>19</v>
      </c>
      <c r="B20" s="31" t="s">
        <v>2702</v>
      </c>
      <c r="C20" s="49" t="s">
        <v>2655</v>
      </c>
      <c r="D20" s="30">
        <v>2.68</v>
      </c>
      <c r="E20" s="30">
        <v>22</v>
      </c>
      <c r="F20" s="30">
        <v>12</v>
      </c>
      <c r="G20" s="30">
        <v>5</v>
      </c>
      <c r="H20" s="30">
        <v>0</v>
      </c>
      <c r="I20" s="30">
        <v>0</v>
      </c>
      <c r="J20" s="30">
        <v>0</v>
      </c>
      <c r="K20" s="30">
        <v>1</v>
      </c>
      <c r="L20" s="30">
        <v>1</v>
      </c>
      <c r="M20" s="30">
        <v>0</v>
      </c>
      <c r="N20" s="30">
        <v>0.70599999999999996</v>
      </c>
      <c r="O20" s="30">
        <v>576</v>
      </c>
      <c r="P20" s="33">
        <v>144.1</v>
      </c>
      <c r="Q20" s="30">
        <v>126</v>
      </c>
      <c r="R20" s="30">
        <v>19</v>
      </c>
      <c r="S20" s="30">
        <v>27</v>
      </c>
      <c r="T20" s="30">
        <v>1</v>
      </c>
      <c r="U20" s="30">
        <v>2</v>
      </c>
      <c r="V20" s="30">
        <v>113</v>
      </c>
      <c r="W20" s="30">
        <v>0</v>
      </c>
      <c r="X20" s="30">
        <v>1</v>
      </c>
      <c r="Y20" s="30">
        <v>49</v>
      </c>
      <c r="Z20" s="30">
        <v>43</v>
      </c>
      <c r="AA20" s="23" t="s">
        <v>15</v>
      </c>
      <c r="AB20" s="23" t="s">
        <v>227</v>
      </c>
      <c r="AC20" s="23" t="s">
        <v>205</v>
      </c>
      <c r="AD20" s="23">
        <f t="shared" si="0"/>
        <v>1.0617626648161</v>
      </c>
      <c r="AE20" s="23">
        <f t="shared" si="1"/>
        <v>3.8486606523247744</v>
      </c>
      <c r="AF20" s="23">
        <f t="shared" si="2"/>
        <v>0.25845410628019322</v>
      </c>
    </row>
    <row r="21" spans="1:32" ht="15.75" customHeight="1" x14ac:dyDescent="0.15">
      <c r="A21" s="34">
        <v>20</v>
      </c>
      <c r="B21" s="35" t="s">
        <v>2703</v>
      </c>
      <c r="C21" s="50" t="s">
        <v>198</v>
      </c>
      <c r="D21" s="34">
        <v>2.76</v>
      </c>
      <c r="E21" s="34">
        <v>23</v>
      </c>
      <c r="F21" s="34">
        <v>8</v>
      </c>
      <c r="G21" s="34">
        <v>6</v>
      </c>
      <c r="H21" s="34">
        <v>0</v>
      </c>
      <c r="I21" s="34">
        <v>0</v>
      </c>
      <c r="J21" s="34">
        <v>0</v>
      </c>
      <c r="K21" s="34">
        <v>1</v>
      </c>
      <c r="L21" s="34">
        <v>0</v>
      </c>
      <c r="M21" s="34">
        <v>1</v>
      </c>
      <c r="N21" s="34">
        <v>0.57099999999999995</v>
      </c>
      <c r="O21" s="34">
        <v>598</v>
      </c>
      <c r="P21" s="33">
        <v>143.1</v>
      </c>
      <c r="Q21" s="34">
        <v>141</v>
      </c>
      <c r="R21" s="34">
        <v>14</v>
      </c>
      <c r="S21" s="34">
        <v>36</v>
      </c>
      <c r="T21" s="34">
        <v>6</v>
      </c>
      <c r="U21" s="34">
        <v>2</v>
      </c>
      <c r="V21" s="34">
        <v>84</v>
      </c>
      <c r="W21" s="34">
        <v>2</v>
      </c>
      <c r="X21" s="34">
        <v>0</v>
      </c>
      <c r="Y21" s="34">
        <v>55</v>
      </c>
      <c r="Z21" s="34">
        <v>44</v>
      </c>
      <c r="AA21" s="24" t="s">
        <v>15</v>
      </c>
      <c r="AB21" s="24" t="s">
        <v>175</v>
      </c>
      <c r="AC21" s="24" t="s">
        <v>173</v>
      </c>
      <c r="AD21" s="23">
        <f t="shared" si="0"/>
        <v>1.2368972746331237</v>
      </c>
      <c r="AE21" s="23">
        <f t="shared" si="1"/>
        <v>3.8886932215234102</v>
      </c>
      <c r="AF21" s="23">
        <f t="shared" si="2"/>
        <v>0.27850877192982454</v>
      </c>
    </row>
    <row r="22" spans="1:32" ht="15.75" customHeight="1" x14ac:dyDescent="0.15">
      <c r="A22" s="30">
        <v>21</v>
      </c>
      <c r="B22" s="31" t="s">
        <v>2704</v>
      </c>
      <c r="C22" s="37" t="s">
        <v>2647</v>
      </c>
      <c r="D22" s="30">
        <v>3.27</v>
      </c>
      <c r="E22" s="30">
        <v>23</v>
      </c>
      <c r="F22" s="30">
        <v>11</v>
      </c>
      <c r="G22" s="30">
        <v>8</v>
      </c>
      <c r="H22" s="30">
        <v>0</v>
      </c>
      <c r="I22" s="30">
        <v>0</v>
      </c>
      <c r="J22" s="30">
        <v>0</v>
      </c>
      <c r="K22" s="30">
        <v>2</v>
      </c>
      <c r="L22" s="30">
        <v>0</v>
      </c>
      <c r="M22" s="30">
        <v>1</v>
      </c>
      <c r="N22" s="30">
        <v>0.57899999999999996</v>
      </c>
      <c r="O22" s="30">
        <v>566</v>
      </c>
      <c r="P22" s="33">
        <v>143</v>
      </c>
      <c r="Q22" s="30">
        <v>131</v>
      </c>
      <c r="R22" s="30">
        <v>12</v>
      </c>
      <c r="S22" s="30">
        <v>27</v>
      </c>
      <c r="T22" s="30">
        <v>0</v>
      </c>
      <c r="U22" s="30">
        <v>2</v>
      </c>
      <c r="V22" s="30">
        <v>108</v>
      </c>
      <c r="W22" s="30">
        <v>2</v>
      </c>
      <c r="X22" s="30">
        <v>0</v>
      </c>
      <c r="Y22" s="30">
        <v>56</v>
      </c>
      <c r="Z22" s="30">
        <v>52</v>
      </c>
      <c r="AA22" s="23" t="s">
        <v>15</v>
      </c>
      <c r="AB22" s="23" t="s">
        <v>167</v>
      </c>
      <c r="AC22" s="23" t="s">
        <v>153</v>
      </c>
      <c r="AD22" s="23">
        <f t="shared" si="0"/>
        <v>1.1048951048951048</v>
      </c>
      <c r="AE22" s="23">
        <f t="shared" si="1"/>
        <v>3.3088111888111889</v>
      </c>
      <c r="AF22" s="23">
        <f t="shared" si="2"/>
        <v>0.28537170263788969</v>
      </c>
    </row>
    <row r="23" spans="1:32" ht="15.75" customHeight="1" x14ac:dyDescent="0.15">
      <c r="A23" s="34">
        <v>21</v>
      </c>
      <c r="B23" s="35" t="s">
        <v>2705</v>
      </c>
      <c r="C23" s="45" t="s">
        <v>2651</v>
      </c>
      <c r="D23" s="34">
        <v>2.4500000000000002</v>
      </c>
      <c r="E23" s="34">
        <v>22</v>
      </c>
      <c r="F23" s="34">
        <v>10</v>
      </c>
      <c r="G23" s="34">
        <v>7</v>
      </c>
      <c r="H23" s="34">
        <v>0</v>
      </c>
      <c r="I23" s="34">
        <v>0</v>
      </c>
      <c r="J23" s="34">
        <v>0</v>
      </c>
      <c r="K23" s="34">
        <v>2</v>
      </c>
      <c r="L23" s="34">
        <v>0</v>
      </c>
      <c r="M23" s="34">
        <v>1</v>
      </c>
      <c r="N23" s="34">
        <v>0.58799999999999997</v>
      </c>
      <c r="O23" s="34">
        <v>571</v>
      </c>
      <c r="P23" s="33">
        <v>143</v>
      </c>
      <c r="Q23" s="34">
        <v>110</v>
      </c>
      <c r="R23" s="34">
        <v>18</v>
      </c>
      <c r="S23" s="34">
        <v>39</v>
      </c>
      <c r="T23" s="34">
        <v>1</v>
      </c>
      <c r="U23" s="34">
        <v>5</v>
      </c>
      <c r="V23" s="34">
        <v>96</v>
      </c>
      <c r="W23" s="34">
        <v>0</v>
      </c>
      <c r="X23" s="34">
        <v>0</v>
      </c>
      <c r="Y23" s="34">
        <v>43</v>
      </c>
      <c r="Z23" s="34">
        <v>39</v>
      </c>
      <c r="AA23" s="24" t="s">
        <v>15</v>
      </c>
      <c r="AB23" s="24" t="s">
        <v>253</v>
      </c>
      <c r="AC23" s="24" t="s">
        <v>249</v>
      </c>
      <c r="AD23" s="23">
        <f t="shared" si="0"/>
        <v>1.0419580419580419</v>
      </c>
      <c r="AE23" s="23">
        <f t="shared" si="1"/>
        <v>4.3158041958041959</v>
      </c>
      <c r="AF23" s="23">
        <f t="shared" si="2"/>
        <v>0.22330097087378642</v>
      </c>
    </row>
    <row r="24" spans="1:32" ht="15.75" customHeight="1" x14ac:dyDescent="0.15">
      <c r="A24" s="30">
        <v>23</v>
      </c>
      <c r="B24" s="31" t="s">
        <v>2706</v>
      </c>
      <c r="C24" s="37" t="s">
        <v>2647</v>
      </c>
      <c r="D24" s="30">
        <v>2.54</v>
      </c>
      <c r="E24" s="30">
        <v>22</v>
      </c>
      <c r="F24" s="30">
        <v>9</v>
      </c>
      <c r="G24" s="30">
        <v>6</v>
      </c>
      <c r="H24" s="30">
        <v>0</v>
      </c>
      <c r="I24" s="30">
        <v>0</v>
      </c>
      <c r="J24" s="30">
        <v>0</v>
      </c>
      <c r="K24" s="30">
        <v>3</v>
      </c>
      <c r="L24" s="30">
        <v>0</v>
      </c>
      <c r="M24" s="30">
        <v>0</v>
      </c>
      <c r="N24" s="30">
        <v>0.6</v>
      </c>
      <c r="O24" s="30">
        <v>552</v>
      </c>
      <c r="P24" s="33">
        <v>138.1</v>
      </c>
      <c r="Q24" s="30">
        <v>102</v>
      </c>
      <c r="R24" s="30">
        <v>12</v>
      </c>
      <c r="S24" s="30">
        <v>47</v>
      </c>
      <c r="T24" s="30">
        <v>1</v>
      </c>
      <c r="U24" s="30">
        <v>3</v>
      </c>
      <c r="V24" s="30">
        <v>114</v>
      </c>
      <c r="W24" s="30">
        <v>1</v>
      </c>
      <c r="X24" s="30">
        <v>0</v>
      </c>
      <c r="Y24" s="30">
        <v>44</v>
      </c>
      <c r="Z24" s="30">
        <v>39</v>
      </c>
      <c r="AA24" s="23" t="s">
        <v>15</v>
      </c>
      <c r="AB24" s="23" t="s">
        <v>180</v>
      </c>
      <c r="AC24" s="23" t="s">
        <v>173</v>
      </c>
      <c r="AD24" s="23">
        <f t="shared" si="0"/>
        <v>1.0789283128167995</v>
      </c>
      <c r="AE24" s="23">
        <f t="shared" si="1"/>
        <v>3.6630847212165101</v>
      </c>
      <c r="AF24" s="23">
        <f t="shared" si="2"/>
        <v>0.24</v>
      </c>
    </row>
    <row r="25" spans="1:32" ht="15.75" customHeight="1" x14ac:dyDescent="0.15">
      <c r="A25" s="34">
        <v>24</v>
      </c>
      <c r="B25" s="35" t="s">
        <v>2707</v>
      </c>
      <c r="C25" s="50" t="s">
        <v>198</v>
      </c>
      <c r="D25" s="34">
        <v>3.6</v>
      </c>
      <c r="E25" s="34">
        <v>23</v>
      </c>
      <c r="F25" s="34">
        <v>7</v>
      </c>
      <c r="G25" s="34">
        <v>11</v>
      </c>
      <c r="H25" s="34">
        <v>0</v>
      </c>
      <c r="I25" s="34">
        <v>0</v>
      </c>
      <c r="J25" s="34">
        <v>0</v>
      </c>
      <c r="K25" s="34">
        <v>2</v>
      </c>
      <c r="L25" s="34">
        <v>1</v>
      </c>
      <c r="M25" s="34">
        <v>0</v>
      </c>
      <c r="N25" s="34">
        <v>0.38900000000000001</v>
      </c>
      <c r="O25" s="34">
        <v>583</v>
      </c>
      <c r="P25" s="33">
        <v>137.19999999999999</v>
      </c>
      <c r="Q25" s="34">
        <v>121</v>
      </c>
      <c r="R25" s="34">
        <v>15</v>
      </c>
      <c r="S25" s="34">
        <v>51</v>
      </c>
      <c r="T25" s="34">
        <v>7</v>
      </c>
      <c r="U25" s="34">
        <v>3</v>
      </c>
      <c r="V25" s="34">
        <v>112</v>
      </c>
      <c r="W25" s="34">
        <v>1</v>
      </c>
      <c r="X25" s="34">
        <v>0</v>
      </c>
      <c r="Y25" s="34">
        <v>60</v>
      </c>
      <c r="Z25" s="34">
        <v>55</v>
      </c>
      <c r="AA25" s="24" t="s">
        <v>15</v>
      </c>
      <c r="AB25" s="24" t="s">
        <v>234</v>
      </c>
      <c r="AC25" s="24" t="s">
        <v>201</v>
      </c>
      <c r="AD25" s="23">
        <f t="shared" si="0"/>
        <v>1.2536443148688048</v>
      </c>
      <c r="AE25" s="23">
        <f t="shared" si="1"/>
        <v>3.936326530612245</v>
      </c>
      <c r="AF25" s="23">
        <f t="shared" si="2"/>
        <v>0.26835443037974682</v>
      </c>
    </row>
    <row r="26" spans="1:32" ht="15.75" customHeight="1" x14ac:dyDescent="0.15">
      <c r="A26" s="30">
        <v>25</v>
      </c>
      <c r="B26" s="31" t="s">
        <v>2708</v>
      </c>
      <c r="C26" s="49" t="s">
        <v>2655</v>
      </c>
      <c r="D26" s="30">
        <v>2.39</v>
      </c>
      <c r="E26" s="30">
        <v>22</v>
      </c>
      <c r="F26" s="30">
        <v>10</v>
      </c>
      <c r="G26" s="30">
        <v>4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0.71399999999999997</v>
      </c>
      <c r="O26" s="30">
        <v>557</v>
      </c>
      <c r="P26" s="33">
        <v>135.1</v>
      </c>
      <c r="Q26" s="30">
        <v>121</v>
      </c>
      <c r="R26" s="30">
        <v>13</v>
      </c>
      <c r="S26" s="30">
        <v>30</v>
      </c>
      <c r="T26" s="30">
        <v>1</v>
      </c>
      <c r="U26" s="30">
        <v>6</v>
      </c>
      <c r="V26" s="30">
        <v>129</v>
      </c>
      <c r="W26" s="30">
        <v>4</v>
      </c>
      <c r="X26" s="30">
        <v>1</v>
      </c>
      <c r="Y26" s="30">
        <v>44</v>
      </c>
      <c r="Z26" s="30">
        <v>36</v>
      </c>
      <c r="AA26" s="23" t="s">
        <v>15</v>
      </c>
      <c r="AB26" s="23" t="s">
        <v>263</v>
      </c>
      <c r="AC26" s="23" t="s">
        <v>246</v>
      </c>
      <c r="AD26" s="23">
        <f t="shared" si="0"/>
        <v>1.1176905995558846</v>
      </c>
      <c r="AE26" s="23">
        <f t="shared" si="1"/>
        <v>3.2384307920059214</v>
      </c>
      <c r="AF26" s="23">
        <f t="shared" si="2"/>
        <v>0.2857142857142857</v>
      </c>
    </row>
    <row r="27" spans="1:32" ht="15.75" customHeight="1" x14ac:dyDescent="0.15">
      <c r="A27" s="34">
        <v>26</v>
      </c>
      <c r="B27" s="35" t="s">
        <v>2709</v>
      </c>
      <c r="C27" s="48" t="s">
        <v>2647</v>
      </c>
      <c r="D27" s="34">
        <v>3.61</v>
      </c>
      <c r="E27" s="34">
        <v>20</v>
      </c>
      <c r="F27" s="34">
        <v>5</v>
      </c>
      <c r="G27" s="34">
        <v>7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0.41699999999999998</v>
      </c>
      <c r="O27" s="34">
        <v>523</v>
      </c>
      <c r="P27" s="33">
        <v>127</v>
      </c>
      <c r="Q27" s="34">
        <v>112</v>
      </c>
      <c r="R27" s="34">
        <v>10</v>
      </c>
      <c r="S27" s="34">
        <v>40</v>
      </c>
      <c r="T27" s="34">
        <v>2</v>
      </c>
      <c r="U27" s="34">
        <v>0</v>
      </c>
      <c r="V27" s="34">
        <v>99</v>
      </c>
      <c r="W27" s="34">
        <v>0</v>
      </c>
      <c r="X27" s="34">
        <v>0</v>
      </c>
      <c r="Y27" s="34">
        <v>52</v>
      </c>
      <c r="Z27" s="34">
        <v>51</v>
      </c>
      <c r="AA27" s="24" t="s">
        <v>14</v>
      </c>
      <c r="AB27" s="24" t="s">
        <v>210</v>
      </c>
      <c r="AC27" s="24" t="s">
        <v>200</v>
      </c>
      <c r="AD27" s="23">
        <f t="shared" si="0"/>
        <v>1.1968503937007875</v>
      </c>
      <c r="AE27" s="23">
        <f t="shared" si="1"/>
        <v>3.4822047244094492</v>
      </c>
      <c r="AF27" s="23">
        <f t="shared" si="2"/>
        <v>0.27419354838709675</v>
      </c>
    </row>
    <row r="28" spans="1:32" ht="15.75" customHeight="1" x14ac:dyDescent="0.15">
      <c r="A28" s="30">
        <v>27</v>
      </c>
      <c r="B28" s="31" t="s">
        <v>2710</v>
      </c>
      <c r="C28" s="47" t="s">
        <v>2654</v>
      </c>
      <c r="D28" s="30">
        <v>3.27</v>
      </c>
      <c r="E28" s="30">
        <v>22</v>
      </c>
      <c r="F28" s="30">
        <v>11</v>
      </c>
      <c r="G28" s="30">
        <v>9</v>
      </c>
      <c r="H28" s="30">
        <v>0</v>
      </c>
      <c r="I28" s="30">
        <v>0</v>
      </c>
      <c r="J28" s="30">
        <v>0</v>
      </c>
      <c r="K28" s="30">
        <v>1</v>
      </c>
      <c r="L28" s="30">
        <v>0</v>
      </c>
      <c r="M28" s="30">
        <v>0</v>
      </c>
      <c r="N28" s="30">
        <v>0.55000000000000004</v>
      </c>
      <c r="O28" s="30">
        <v>535</v>
      </c>
      <c r="P28" s="33">
        <v>126.2</v>
      </c>
      <c r="Q28" s="30">
        <v>121</v>
      </c>
      <c r="R28" s="30">
        <v>14</v>
      </c>
      <c r="S28" s="30">
        <v>40</v>
      </c>
      <c r="T28" s="30">
        <v>0</v>
      </c>
      <c r="U28" s="30">
        <v>3</v>
      </c>
      <c r="V28" s="30">
        <v>142</v>
      </c>
      <c r="W28" s="30">
        <v>1</v>
      </c>
      <c r="X28" s="30">
        <v>0</v>
      </c>
      <c r="Y28" s="30">
        <v>53</v>
      </c>
      <c r="Z28" s="30">
        <v>46</v>
      </c>
      <c r="AA28" s="23" t="s">
        <v>15</v>
      </c>
      <c r="AB28" s="23" t="s">
        <v>259</v>
      </c>
      <c r="AC28" s="23" t="s">
        <v>234</v>
      </c>
      <c r="AD28" s="23">
        <f t="shared" si="0"/>
        <v>1.2757527733755942</v>
      </c>
      <c r="AE28" s="23">
        <f t="shared" si="1"/>
        <v>3.3339461172741682</v>
      </c>
      <c r="AF28" s="23">
        <f t="shared" si="2"/>
        <v>0.31845238095238093</v>
      </c>
    </row>
    <row r="29" spans="1:32" ht="15.75" customHeight="1" x14ac:dyDescent="0.15">
      <c r="A29" s="34">
        <v>28</v>
      </c>
      <c r="B29" s="35" t="s">
        <v>2711</v>
      </c>
      <c r="C29" s="51" t="s">
        <v>2655</v>
      </c>
      <c r="D29" s="34">
        <v>2.66</v>
      </c>
      <c r="E29" s="34">
        <v>22</v>
      </c>
      <c r="F29" s="34">
        <v>12</v>
      </c>
      <c r="G29" s="34">
        <v>3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0.8</v>
      </c>
      <c r="O29" s="34">
        <v>509</v>
      </c>
      <c r="P29" s="33">
        <v>125.1</v>
      </c>
      <c r="Q29" s="34">
        <v>103</v>
      </c>
      <c r="R29" s="34">
        <v>12</v>
      </c>
      <c r="S29" s="34">
        <v>40</v>
      </c>
      <c r="T29" s="34">
        <v>1</v>
      </c>
      <c r="U29" s="34">
        <v>11</v>
      </c>
      <c r="V29" s="34">
        <v>126</v>
      </c>
      <c r="W29" s="34">
        <v>3</v>
      </c>
      <c r="X29" s="34">
        <v>1</v>
      </c>
      <c r="Y29" s="34">
        <v>38</v>
      </c>
      <c r="Z29" s="34">
        <v>37</v>
      </c>
      <c r="AA29" s="24" t="s">
        <v>15</v>
      </c>
      <c r="AB29" s="24" t="s">
        <v>189</v>
      </c>
      <c r="AC29" s="24" t="s">
        <v>177</v>
      </c>
      <c r="AD29" s="23">
        <f t="shared" si="0"/>
        <v>1.1430855315747404</v>
      </c>
      <c r="AE29" s="23">
        <f t="shared" si="1"/>
        <v>3.5516546762589929</v>
      </c>
      <c r="AF29" s="23">
        <f t="shared" si="2"/>
        <v>0.28526645768025077</v>
      </c>
    </row>
    <row r="30" spans="1:32" ht="15.75" customHeight="1" x14ac:dyDescent="0.15">
      <c r="A30" s="30">
        <v>29</v>
      </c>
      <c r="B30" s="31" t="s">
        <v>2712</v>
      </c>
      <c r="C30" s="52" t="s">
        <v>2646</v>
      </c>
      <c r="D30" s="30">
        <v>2.96</v>
      </c>
      <c r="E30" s="30">
        <v>27</v>
      </c>
      <c r="F30" s="30">
        <v>5</v>
      </c>
      <c r="G30" s="30">
        <v>8</v>
      </c>
      <c r="H30" s="30">
        <v>2</v>
      </c>
      <c r="I30" s="30">
        <v>5</v>
      </c>
      <c r="J30" s="30">
        <v>5</v>
      </c>
      <c r="K30" s="30">
        <v>1</v>
      </c>
      <c r="L30" s="30">
        <v>0</v>
      </c>
      <c r="M30" s="30">
        <v>0</v>
      </c>
      <c r="N30" s="30">
        <v>0.38500000000000001</v>
      </c>
      <c r="O30" s="30">
        <v>506</v>
      </c>
      <c r="P30" s="33">
        <v>124.2</v>
      </c>
      <c r="Q30" s="30">
        <v>95</v>
      </c>
      <c r="R30" s="30">
        <v>12</v>
      </c>
      <c r="S30" s="30">
        <v>29</v>
      </c>
      <c r="T30" s="30">
        <v>1</v>
      </c>
      <c r="U30" s="30">
        <v>6</v>
      </c>
      <c r="V30" s="30">
        <v>126</v>
      </c>
      <c r="W30" s="30">
        <v>0</v>
      </c>
      <c r="X30" s="30">
        <v>1</v>
      </c>
      <c r="Y30" s="30">
        <v>44</v>
      </c>
      <c r="Z30" s="30">
        <v>41</v>
      </c>
      <c r="AA30" s="23" t="s">
        <v>14</v>
      </c>
      <c r="AB30" s="23" t="s">
        <v>189</v>
      </c>
      <c r="AC30" s="23" t="s">
        <v>180</v>
      </c>
      <c r="AD30" s="23">
        <f t="shared" si="0"/>
        <v>0.99838969404186795</v>
      </c>
      <c r="AE30" s="23">
        <f t="shared" si="1"/>
        <v>3.1683091787439617</v>
      </c>
      <c r="AF30" s="23">
        <f t="shared" si="2"/>
        <v>0.25</v>
      </c>
    </row>
    <row r="31" spans="1:32" ht="15.75" customHeight="1" x14ac:dyDescent="0.15">
      <c r="A31" s="34">
        <v>30</v>
      </c>
      <c r="B31" s="35" t="s">
        <v>2713</v>
      </c>
      <c r="C31" s="45" t="s">
        <v>2651</v>
      </c>
      <c r="D31" s="34">
        <v>2.62</v>
      </c>
      <c r="E31" s="34">
        <v>19</v>
      </c>
      <c r="F31" s="34">
        <v>5</v>
      </c>
      <c r="G31" s="34">
        <v>7</v>
      </c>
      <c r="H31" s="34">
        <v>0</v>
      </c>
      <c r="I31" s="34">
        <v>0</v>
      </c>
      <c r="J31" s="34">
        <v>0</v>
      </c>
      <c r="K31" s="34">
        <v>1</v>
      </c>
      <c r="L31" s="34">
        <v>0</v>
      </c>
      <c r="M31" s="34">
        <v>0</v>
      </c>
      <c r="N31" s="34">
        <v>0.41699999999999998</v>
      </c>
      <c r="O31" s="34">
        <v>496</v>
      </c>
      <c r="P31" s="33">
        <v>123.2</v>
      </c>
      <c r="Q31" s="34">
        <v>97</v>
      </c>
      <c r="R31" s="34">
        <v>4</v>
      </c>
      <c r="S31" s="34">
        <v>37</v>
      </c>
      <c r="T31" s="34">
        <v>4</v>
      </c>
      <c r="U31" s="34">
        <v>3</v>
      </c>
      <c r="V31" s="34">
        <v>135</v>
      </c>
      <c r="W31" s="34">
        <v>6</v>
      </c>
      <c r="X31" s="34">
        <v>0</v>
      </c>
      <c r="Y31" s="34">
        <v>41</v>
      </c>
      <c r="Z31" s="34">
        <v>36</v>
      </c>
      <c r="AA31" s="24" t="s">
        <v>15</v>
      </c>
      <c r="AB31" s="24" t="s">
        <v>271</v>
      </c>
      <c r="AC31" s="24" t="s">
        <v>266</v>
      </c>
      <c r="AD31" s="23">
        <f t="shared" si="0"/>
        <v>1.0876623376623376</v>
      </c>
      <c r="AE31" s="23">
        <f t="shared" si="1"/>
        <v>2.2271428571428573</v>
      </c>
      <c r="AF31" s="23">
        <f t="shared" si="2"/>
        <v>0.29712460063897761</v>
      </c>
    </row>
    <row r="32" spans="1:32" ht="15.75" customHeight="1" x14ac:dyDescent="0.15">
      <c r="A32" s="30">
        <v>31</v>
      </c>
      <c r="B32" s="31" t="s">
        <v>2714</v>
      </c>
      <c r="C32" s="53" t="s">
        <v>198</v>
      </c>
      <c r="D32" s="30">
        <v>2.89</v>
      </c>
      <c r="E32" s="30">
        <v>19</v>
      </c>
      <c r="F32" s="30">
        <v>7</v>
      </c>
      <c r="G32" s="30">
        <v>6</v>
      </c>
      <c r="H32" s="30">
        <v>0</v>
      </c>
      <c r="I32" s="30">
        <v>0</v>
      </c>
      <c r="J32" s="30">
        <v>0</v>
      </c>
      <c r="K32" s="30">
        <v>2</v>
      </c>
      <c r="L32" s="30">
        <v>2</v>
      </c>
      <c r="M32" s="30">
        <v>1</v>
      </c>
      <c r="N32" s="30">
        <v>0.53800000000000003</v>
      </c>
      <c r="O32" s="30">
        <v>475</v>
      </c>
      <c r="P32" s="33">
        <v>121.1</v>
      </c>
      <c r="Q32" s="30">
        <v>95</v>
      </c>
      <c r="R32" s="30">
        <v>8</v>
      </c>
      <c r="S32" s="30">
        <v>18</v>
      </c>
      <c r="T32" s="30">
        <v>0</v>
      </c>
      <c r="U32" s="30">
        <v>2</v>
      </c>
      <c r="V32" s="30">
        <v>101</v>
      </c>
      <c r="W32" s="30">
        <v>2</v>
      </c>
      <c r="X32" s="30">
        <v>0</v>
      </c>
      <c r="Y32" s="30">
        <v>42</v>
      </c>
      <c r="Z32" s="30">
        <v>39</v>
      </c>
      <c r="AA32" s="23" t="s">
        <v>15</v>
      </c>
      <c r="AB32" s="23" t="s">
        <v>205</v>
      </c>
      <c r="AC32" s="23" t="s">
        <v>194</v>
      </c>
      <c r="AD32" s="23">
        <f t="shared" si="0"/>
        <v>0.93311312964492155</v>
      </c>
      <c r="AE32" s="23">
        <f t="shared" si="1"/>
        <v>2.8062097440132123</v>
      </c>
      <c r="AF32" s="23">
        <f t="shared" si="2"/>
        <v>0.25144508670520233</v>
      </c>
    </row>
    <row r="33" spans="1:32" ht="15.75" customHeight="1" x14ac:dyDescent="0.15">
      <c r="A33" s="34">
        <v>32</v>
      </c>
      <c r="B33" s="35" t="s">
        <v>2715</v>
      </c>
      <c r="C33" s="40" t="s">
        <v>2650</v>
      </c>
      <c r="D33" s="34">
        <v>2.91</v>
      </c>
      <c r="E33" s="34">
        <v>20</v>
      </c>
      <c r="F33" s="34">
        <v>5</v>
      </c>
      <c r="G33" s="34">
        <v>8</v>
      </c>
      <c r="H33" s="34">
        <v>0</v>
      </c>
      <c r="I33" s="34">
        <v>0</v>
      </c>
      <c r="J33" s="34">
        <v>0</v>
      </c>
      <c r="K33" s="34">
        <v>1</v>
      </c>
      <c r="L33" s="34">
        <v>1</v>
      </c>
      <c r="M33" s="34">
        <v>0</v>
      </c>
      <c r="N33" s="34">
        <v>0.38500000000000001</v>
      </c>
      <c r="O33" s="34">
        <v>492</v>
      </c>
      <c r="P33" s="33">
        <v>120.2</v>
      </c>
      <c r="Q33" s="34">
        <v>110</v>
      </c>
      <c r="R33" s="34">
        <v>7</v>
      </c>
      <c r="S33" s="34">
        <v>29</v>
      </c>
      <c r="T33" s="34">
        <v>4</v>
      </c>
      <c r="U33" s="34">
        <v>7</v>
      </c>
      <c r="V33" s="34">
        <v>117</v>
      </c>
      <c r="W33" s="34">
        <v>3</v>
      </c>
      <c r="X33" s="34">
        <v>0</v>
      </c>
      <c r="Y33" s="34">
        <v>41</v>
      </c>
      <c r="Z33" s="34">
        <v>39</v>
      </c>
      <c r="AA33" s="24" t="s">
        <v>15</v>
      </c>
      <c r="AB33" s="24" t="s">
        <v>205</v>
      </c>
      <c r="AC33" s="24" t="s">
        <v>200</v>
      </c>
      <c r="AD33" s="23">
        <f t="shared" si="0"/>
        <v>1.156405990016639</v>
      </c>
      <c r="AE33" s="23">
        <f t="shared" si="1"/>
        <v>2.7289850249584027</v>
      </c>
      <c r="AF33" s="23">
        <f t="shared" si="2"/>
        <v>0.31402439024390244</v>
      </c>
    </row>
    <row r="34" spans="1:32" ht="15.75" customHeight="1" x14ac:dyDescent="0.15">
      <c r="A34" s="30">
        <v>33</v>
      </c>
      <c r="B34" s="31" t="s">
        <v>2716</v>
      </c>
      <c r="C34" s="41" t="s">
        <v>2651</v>
      </c>
      <c r="D34" s="30">
        <v>2.69</v>
      </c>
      <c r="E34" s="30">
        <v>19</v>
      </c>
      <c r="F34" s="30">
        <v>7</v>
      </c>
      <c r="G34" s="30">
        <v>8</v>
      </c>
      <c r="H34" s="30">
        <v>0</v>
      </c>
      <c r="I34" s="30">
        <v>0</v>
      </c>
      <c r="J34" s="30">
        <v>0</v>
      </c>
      <c r="K34" s="30">
        <v>1</v>
      </c>
      <c r="L34" s="30">
        <v>1</v>
      </c>
      <c r="M34" s="30">
        <v>0</v>
      </c>
      <c r="N34" s="30">
        <v>0.46700000000000003</v>
      </c>
      <c r="O34" s="30">
        <v>485</v>
      </c>
      <c r="P34" s="33">
        <v>120.1</v>
      </c>
      <c r="Q34" s="30">
        <v>103</v>
      </c>
      <c r="R34" s="30">
        <v>11</v>
      </c>
      <c r="S34" s="30">
        <v>26</v>
      </c>
      <c r="T34" s="30">
        <v>1</v>
      </c>
      <c r="U34" s="30">
        <v>2</v>
      </c>
      <c r="V34" s="30">
        <v>96</v>
      </c>
      <c r="W34" s="30">
        <v>0</v>
      </c>
      <c r="X34" s="30">
        <v>0</v>
      </c>
      <c r="Y34" s="30">
        <v>42</v>
      </c>
      <c r="Z34" s="30">
        <v>36</v>
      </c>
      <c r="AA34" s="23" t="s">
        <v>15</v>
      </c>
      <c r="AB34" s="23" t="s">
        <v>227</v>
      </c>
      <c r="AC34" s="23" t="s">
        <v>223</v>
      </c>
      <c r="AD34" s="23">
        <f t="shared" si="0"/>
        <v>1.0741049125728559</v>
      </c>
      <c r="AE34" s="23">
        <f t="shared" si="1"/>
        <v>3.3864446294754371</v>
      </c>
      <c r="AF34" s="23">
        <f t="shared" si="2"/>
        <v>0.26361031518624639</v>
      </c>
    </row>
    <row r="35" spans="1:32" ht="15.75" customHeight="1" x14ac:dyDescent="0.15">
      <c r="A35" s="34">
        <v>34</v>
      </c>
      <c r="B35" s="35" t="s">
        <v>2717</v>
      </c>
      <c r="C35" s="42" t="s">
        <v>2652</v>
      </c>
      <c r="D35" s="34">
        <v>3.17</v>
      </c>
      <c r="E35" s="34">
        <v>20</v>
      </c>
      <c r="F35" s="34">
        <v>3</v>
      </c>
      <c r="G35" s="34">
        <v>11</v>
      </c>
      <c r="H35" s="34">
        <v>0</v>
      </c>
      <c r="I35" s="34">
        <v>0</v>
      </c>
      <c r="J35" s="34">
        <v>1</v>
      </c>
      <c r="K35" s="34">
        <v>2</v>
      </c>
      <c r="L35" s="34">
        <v>0</v>
      </c>
      <c r="M35" s="34">
        <v>1</v>
      </c>
      <c r="N35" s="34">
        <v>0.214</v>
      </c>
      <c r="O35" s="34">
        <v>496</v>
      </c>
      <c r="P35" s="33">
        <v>119.1</v>
      </c>
      <c r="Q35" s="34">
        <v>108</v>
      </c>
      <c r="R35" s="34">
        <v>12</v>
      </c>
      <c r="S35" s="34">
        <v>31</v>
      </c>
      <c r="T35" s="34">
        <v>0</v>
      </c>
      <c r="U35" s="34">
        <v>5</v>
      </c>
      <c r="V35" s="34">
        <v>116</v>
      </c>
      <c r="W35" s="34">
        <v>1</v>
      </c>
      <c r="X35" s="34">
        <v>0</v>
      </c>
      <c r="Y35" s="34">
        <v>48</v>
      </c>
      <c r="Z35" s="34">
        <v>42</v>
      </c>
      <c r="AA35" s="24" t="s">
        <v>15</v>
      </c>
      <c r="AB35" s="24" t="s">
        <v>253</v>
      </c>
      <c r="AC35" s="24" t="s">
        <v>246</v>
      </c>
      <c r="AD35" s="23">
        <f t="shared" si="0"/>
        <v>1.167086481947943</v>
      </c>
      <c r="AE35" s="23">
        <f t="shared" si="1"/>
        <v>3.3886817800167925</v>
      </c>
      <c r="AF35" s="23">
        <f t="shared" si="2"/>
        <v>0.28915662650602408</v>
      </c>
    </row>
    <row r="36" spans="1:32" ht="15.75" customHeight="1" x14ac:dyDescent="0.15">
      <c r="A36" s="30">
        <v>35</v>
      </c>
      <c r="B36" s="31" t="s">
        <v>2718</v>
      </c>
      <c r="C36" s="44" t="s">
        <v>2653</v>
      </c>
      <c r="D36" s="30">
        <v>3.53</v>
      </c>
      <c r="E36" s="30">
        <v>20</v>
      </c>
      <c r="F36" s="30">
        <v>6</v>
      </c>
      <c r="G36" s="30">
        <v>9</v>
      </c>
      <c r="H36" s="30">
        <v>0</v>
      </c>
      <c r="I36" s="30">
        <v>0</v>
      </c>
      <c r="J36" s="30">
        <v>0</v>
      </c>
      <c r="K36" s="30">
        <v>1</v>
      </c>
      <c r="L36" s="30">
        <v>0</v>
      </c>
      <c r="M36" s="30">
        <v>0</v>
      </c>
      <c r="N36" s="30">
        <v>0.4</v>
      </c>
      <c r="O36" s="30">
        <v>501</v>
      </c>
      <c r="P36" s="33">
        <v>117.1</v>
      </c>
      <c r="Q36" s="30">
        <v>111</v>
      </c>
      <c r="R36" s="30">
        <v>13</v>
      </c>
      <c r="S36" s="30">
        <v>39</v>
      </c>
      <c r="T36" s="30">
        <v>0</v>
      </c>
      <c r="U36" s="30">
        <v>8</v>
      </c>
      <c r="V36" s="30">
        <v>93</v>
      </c>
      <c r="W36" s="30">
        <v>3</v>
      </c>
      <c r="X36" s="30">
        <v>0</v>
      </c>
      <c r="Y36" s="30">
        <v>53</v>
      </c>
      <c r="Z36" s="30">
        <v>46</v>
      </c>
      <c r="AA36" s="23" t="s">
        <v>14</v>
      </c>
      <c r="AB36" s="23" t="s">
        <v>189</v>
      </c>
      <c r="AC36" s="23" t="s">
        <v>184</v>
      </c>
      <c r="AD36" s="23">
        <f t="shared" si="0"/>
        <v>1.2809564474807857</v>
      </c>
      <c r="AE36" s="23">
        <f t="shared" si="1"/>
        <v>4.1789239965841158</v>
      </c>
      <c r="AF36" s="23">
        <f t="shared" si="2"/>
        <v>0.28160919540229884</v>
      </c>
    </row>
    <row r="37" spans="1:32" ht="15.75" customHeight="1" x14ac:dyDescent="0.15">
      <c r="A37" s="34">
        <v>36</v>
      </c>
      <c r="B37" s="35" t="s">
        <v>2719</v>
      </c>
      <c r="C37" s="36" t="s">
        <v>2646</v>
      </c>
      <c r="D37" s="34">
        <v>2.9</v>
      </c>
      <c r="E37" s="34">
        <v>20</v>
      </c>
      <c r="F37" s="34">
        <v>12</v>
      </c>
      <c r="G37" s="34">
        <v>3</v>
      </c>
      <c r="H37" s="34">
        <v>0</v>
      </c>
      <c r="I37" s="34">
        <v>0</v>
      </c>
      <c r="J37" s="34">
        <v>0</v>
      </c>
      <c r="K37" s="34">
        <v>1</v>
      </c>
      <c r="L37" s="34">
        <v>1</v>
      </c>
      <c r="M37" s="34">
        <v>1</v>
      </c>
      <c r="N37" s="34">
        <v>0.8</v>
      </c>
      <c r="O37" s="34">
        <v>457</v>
      </c>
      <c r="P37" s="33">
        <v>115</v>
      </c>
      <c r="Q37" s="34">
        <v>104</v>
      </c>
      <c r="R37" s="34">
        <v>13</v>
      </c>
      <c r="S37" s="34">
        <v>13</v>
      </c>
      <c r="T37" s="34">
        <v>2</v>
      </c>
      <c r="U37" s="34">
        <v>0</v>
      </c>
      <c r="V37" s="34">
        <v>59</v>
      </c>
      <c r="W37" s="34">
        <v>0</v>
      </c>
      <c r="X37" s="34">
        <v>0</v>
      </c>
      <c r="Y37" s="34">
        <v>44</v>
      </c>
      <c r="Z37" s="34">
        <v>37</v>
      </c>
      <c r="AA37" s="24" t="s">
        <v>15</v>
      </c>
      <c r="AB37" s="24" t="s">
        <v>215</v>
      </c>
      <c r="AC37" s="24" t="s">
        <v>189</v>
      </c>
      <c r="AD37" s="23">
        <f t="shared" si="0"/>
        <v>1.017391304347826</v>
      </c>
      <c r="AE37" s="23">
        <f t="shared" si="1"/>
        <v>3.850434782608696</v>
      </c>
      <c r="AF37" s="23">
        <f t="shared" si="2"/>
        <v>0.24594594594594596</v>
      </c>
    </row>
    <row r="38" spans="1:32" ht="15.75" customHeight="1" x14ac:dyDescent="0.15">
      <c r="A38" s="30">
        <v>37</v>
      </c>
      <c r="B38" s="31" t="s">
        <v>2720</v>
      </c>
      <c r="C38" s="39" t="s">
        <v>2649</v>
      </c>
      <c r="D38" s="30">
        <v>4.84</v>
      </c>
      <c r="E38" s="30">
        <v>21</v>
      </c>
      <c r="F38" s="30">
        <v>4</v>
      </c>
      <c r="G38" s="30">
        <v>12</v>
      </c>
      <c r="H38" s="30">
        <v>0</v>
      </c>
      <c r="I38" s="30">
        <v>0</v>
      </c>
      <c r="J38" s="30">
        <v>0</v>
      </c>
      <c r="K38" s="30">
        <v>1</v>
      </c>
      <c r="L38" s="30">
        <v>0</v>
      </c>
      <c r="M38" s="30">
        <v>0</v>
      </c>
      <c r="N38" s="30">
        <v>0.25</v>
      </c>
      <c r="O38" s="30">
        <v>474</v>
      </c>
      <c r="P38" s="33">
        <v>113.1</v>
      </c>
      <c r="Q38" s="30">
        <v>109</v>
      </c>
      <c r="R38" s="30">
        <v>21</v>
      </c>
      <c r="S38" s="30">
        <v>28</v>
      </c>
      <c r="T38" s="30">
        <v>3</v>
      </c>
      <c r="U38" s="30">
        <v>4</v>
      </c>
      <c r="V38" s="30">
        <v>89</v>
      </c>
      <c r="W38" s="30">
        <v>4</v>
      </c>
      <c r="X38" s="30">
        <v>0</v>
      </c>
      <c r="Y38" s="30">
        <v>68</v>
      </c>
      <c r="Z38" s="30">
        <v>61</v>
      </c>
      <c r="AA38" s="23" t="s">
        <v>15</v>
      </c>
      <c r="AB38" s="23" t="s">
        <v>215</v>
      </c>
      <c r="AC38" s="23" t="s">
        <v>194</v>
      </c>
      <c r="AD38" s="23">
        <f t="shared" si="0"/>
        <v>1.2113174182139701</v>
      </c>
      <c r="AE38" s="23">
        <f t="shared" si="1"/>
        <v>4.7291954022988509</v>
      </c>
      <c r="AF38" s="23">
        <f t="shared" si="2"/>
        <v>0.26747720364741639</v>
      </c>
    </row>
    <row r="39" spans="1:32" ht="15.75" customHeight="1" x14ac:dyDescent="0.15">
      <c r="A39" s="34">
        <v>38</v>
      </c>
      <c r="B39" s="35" t="s">
        <v>2721</v>
      </c>
      <c r="C39" s="38" t="s">
        <v>2648</v>
      </c>
      <c r="D39" s="34">
        <v>3.38</v>
      </c>
      <c r="E39" s="34">
        <v>21</v>
      </c>
      <c r="F39" s="34">
        <v>3</v>
      </c>
      <c r="G39" s="34">
        <v>10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0.23100000000000001</v>
      </c>
      <c r="O39" s="34">
        <v>480</v>
      </c>
      <c r="P39" s="33">
        <v>112</v>
      </c>
      <c r="Q39" s="34">
        <v>117</v>
      </c>
      <c r="R39" s="34">
        <v>5</v>
      </c>
      <c r="S39" s="34">
        <v>29</v>
      </c>
      <c r="T39" s="34">
        <v>0</v>
      </c>
      <c r="U39" s="34">
        <v>10</v>
      </c>
      <c r="V39" s="34">
        <v>90</v>
      </c>
      <c r="W39" s="34">
        <v>2</v>
      </c>
      <c r="X39" s="34">
        <v>0</v>
      </c>
      <c r="Y39" s="34">
        <v>47</v>
      </c>
      <c r="Z39" s="34">
        <v>42</v>
      </c>
      <c r="AA39" s="24" t="s">
        <v>15</v>
      </c>
      <c r="AB39" s="24" t="s">
        <v>175</v>
      </c>
      <c r="AC39" s="24" t="s">
        <v>163</v>
      </c>
      <c r="AD39" s="23">
        <f t="shared" si="0"/>
        <v>1.3035714285714286</v>
      </c>
      <c r="AE39" s="23">
        <f t="shared" si="1"/>
        <v>3.1378571428571429</v>
      </c>
      <c r="AF39" s="23">
        <f t="shared" si="2"/>
        <v>0.32369942196531792</v>
      </c>
    </row>
    <row r="40" spans="1:32" ht="15.75" customHeight="1" x14ac:dyDescent="0.15">
      <c r="A40" s="30">
        <v>39</v>
      </c>
      <c r="B40" s="31" t="s">
        <v>2722</v>
      </c>
      <c r="C40" s="49" t="s">
        <v>2655</v>
      </c>
      <c r="D40" s="30">
        <v>2.1</v>
      </c>
      <c r="E40" s="30">
        <v>19</v>
      </c>
      <c r="F40" s="30">
        <v>12</v>
      </c>
      <c r="G40" s="30">
        <v>1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0.92300000000000004</v>
      </c>
      <c r="O40" s="30">
        <v>457</v>
      </c>
      <c r="P40" s="33">
        <v>111.2</v>
      </c>
      <c r="Q40" s="30">
        <v>95</v>
      </c>
      <c r="R40" s="30">
        <v>9</v>
      </c>
      <c r="S40" s="30">
        <v>28</v>
      </c>
      <c r="T40" s="30">
        <v>0</v>
      </c>
      <c r="U40" s="30">
        <v>3</v>
      </c>
      <c r="V40" s="30">
        <v>95</v>
      </c>
      <c r="W40" s="30">
        <v>3</v>
      </c>
      <c r="X40" s="30">
        <v>0</v>
      </c>
      <c r="Y40" s="30">
        <v>29</v>
      </c>
      <c r="Z40" s="30">
        <v>26</v>
      </c>
      <c r="AA40" s="23" t="s">
        <v>14</v>
      </c>
      <c r="AB40" s="23" t="s">
        <v>234</v>
      </c>
      <c r="AC40" s="23" t="s">
        <v>223</v>
      </c>
      <c r="AD40" s="23">
        <f t="shared" si="0"/>
        <v>1.1061151079136691</v>
      </c>
      <c r="AE40" s="23">
        <f t="shared" si="1"/>
        <v>3.2998561151079135</v>
      </c>
      <c r="AF40" s="23">
        <f t="shared" si="2"/>
        <v>0.26708074534161491</v>
      </c>
    </row>
    <row r="41" spans="1:32" ht="15.75" customHeight="1" x14ac:dyDescent="0.15">
      <c r="A41" s="34">
        <v>40</v>
      </c>
      <c r="B41" s="35" t="s">
        <v>2723</v>
      </c>
      <c r="C41" s="42" t="s">
        <v>2652</v>
      </c>
      <c r="D41" s="34">
        <v>4.17</v>
      </c>
      <c r="E41" s="34">
        <v>20</v>
      </c>
      <c r="F41" s="34">
        <v>6</v>
      </c>
      <c r="G41" s="34">
        <v>9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0.4</v>
      </c>
      <c r="O41" s="34">
        <v>476</v>
      </c>
      <c r="P41" s="33">
        <v>110</v>
      </c>
      <c r="Q41" s="34">
        <v>119</v>
      </c>
      <c r="R41" s="34">
        <v>12</v>
      </c>
      <c r="S41" s="34">
        <v>32</v>
      </c>
      <c r="T41" s="34">
        <v>1</v>
      </c>
      <c r="U41" s="34">
        <v>7</v>
      </c>
      <c r="V41" s="34">
        <v>59</v>
      </c>
      <c r="W41" s="34">
        <v>1</v>
      </c>
      <c r="X41" s="34">
        <v>0</v>
      </c>
      <c r="Y41" s="34">
        <v>52</v>
      </c>
      <c r="Z41" s="34">
        <v>51</v>
      </c>
      <c r="AA41" s="24" t="s">
        <v>15</v>
      </c>
      <c r="AB41" s="24" t="s">
        <v>236</v>
      </c>
      <c r="AC41" s="24" t="s">
        <v>210</v>
      </c>
      <c r="AD41" s="23">
        <f t="shared" si="0"/>
        <v>1.3727272727272728</v>
      </c>
      <c r="AE41" s="23">
        <f t="shared" si="1"/>
        <v>4.5018181818181819</v>
      </c>
      <c r="AF41" s="23">
        <f t="shared" si="2"/>
        <v>0.29315068493150687</v>
      </c>
    </row>
    <row r="42" spans="1:32" ht="15.75" customHeight="1" x14ac:dyDescent="0.15">
      <c r="A42" s="30">
        <v>41</v>
      </c>
      <c r="B42" s="31" t="s">
        <v>2724</v>
      </c>
      <c r="C42" s="54" t="s">
        <v>2650</v>
      </c>
      <c r="D42" s="30">
        <v>3.3</v>
      </c>
      <c r="E42" s="30">
        <v>21</v>
      </c>
      <c r="F42" s="30">
        <v>5</v>
      </c>
      <c r="G42" s="30">
        <v>8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0.38500000000000001</v>
      </c>
      <c r="O42" s="30">
        <v>447</v>
      </c>
      <c r="P42" s="33">
        <v>106.1</v>
      </c>
      <c r="Q42" s="30">
        <v>101</v>
      </c>
      <c r="R42" s="30">
        <v>9</v>
      </c>
      <c r="S42" s="30">
        <v>23</v>
      </c>
      <c r="T42" s="30">
        <v>3</v>
      </c>
      <c r="U42" s="30">
        <v>5</v>
      </c>
      <c r="V42" s="30">
        <v>109</v>
      </c>
      <c r="W42" s="30">
        <v>1</v>
      </c>
      <c r="X42" s="30">
        <v>0</v>
      </c>
      <c r="Y42" s="30">
        <v>41</v>
      </c>
      <c r="Z42" s="30">
        <v>39</v>
      </c>
      <c r="AA42" s="23" t="s">
        <v>15</v>
      </c>
      <c r="AB42" s="23" t="s">
        <v>234</v>
      </c>
      <c r="AC42" s="23" t="s">
        <v>210</v>
      </c>
      <c r="AD42" s="23">
        <f t="shared" si="0"/>
        <v>1.16870876531574</v>
      </c>
      <c r="AE42" s="23">
        <f t="shared" si="1"/>
        <v>2.8749481621112158</v>
      </c>
      <c r="AF42" s="23">
        <f t="shared" si="2"/>
        <v>0.3087248322147651</v>
      </c>
    </row>
    <row r="43" spans="1:32" ht="15.75" customHeight="1" x14ac:dyDescent="0.15">
      <c r="A43" s="34">
        <v>42</v>
      </c>
      <c r="B43" s="35" t="s">
        <v>2725</v>
      </c>
      <c r="C43" s="43" t="s">
        <v>2649</v>
      </c>
      <c r="D43" s="34">
        <v>4.1399999999999997</v>
      </c>
      <c r="E43" s="34">
        <v>23</v>
      </c>
      <c r="F43" s="34">
        <v>6</v>
      </c>
      <c r="G43" s="34">
        <v>5</v>
      </c>
      <c r="H43" s="34">
        <v>0</v>
      </c>
      <c r="I43" s="34">
        <v>0</v>
      </c>
      <c r="J43" s="34">
        <v>1</v>
      </c>
      <c r="K43" s="34">
        <v>0</v>
      </c>
      <c r="L43" s="34">
        <v>0</v>
      </c>
      <c r="M43" s="34">
        <v>0</v>
      </c>
      <c r="N43" s="34">
        <v>0.54500000000000004</v>
      </c>
      <c r="O43" s="34">
        <v>446</v>
      </c>
      <c r="P43" s="33">
        <v>104.1</v>
      </c>
      <c r="Q43" s="34">
        <v>113</v>
      </c>
      <c r="R43" s="34">
        <v>10</v>
      </c>
      <c r="S43" s="34">
        <v>27</v>
      </c>
      <c r="T43" s="34">
        <v>0</v>
      </c>
      <c r="U43" s="34">
        <v>4</v>
      </c>
      <c r="V43" s="34">
        <v>88</v>
      </c>
      <c r="W43" s="34">
        <v>1</v>
      </c>
      <c r="X43" s="34">
        <v>1</v>
      </c>
      <c r="Y43" s="34">
        <v>51</v>
      </c>
      <c r="Z43" s="34">
        <v>48</v>
      </c>
      <c r="AA43" s="24" t="s">
        <v>15</v>
      </c>
      <c r="AB43" s="24" t="s">
        <v>153</v>
      </c>
      <c r="AC43" s="24" t="s">
        <v>153</v>
      </c>
      <c r="AD43" s="23">
        <f t="shared" si="0"/>
        <v>1.3448607108549473</v>
      </c>
      <c r="AE43" s="23">
        <f t="shared" si="1"/>
        <v>3.571488952929875</v>
      </c>
      <c r="AF43" s="23">
        <f t="shared" si="2"/>
        <v>0.32492113564668768</v>
      </c>
    </row>
    <row r="44" spans="1:32" ht="15.75" customHeight="1" x14ac:dyDescent="0.15">
      <c r="A44" s="30">
        <v>43</v>
      </c>
      <c r="B44" s="31" t="s">
        <v>2726</v>
      </c>
      <c r="C44" s="52" t="s">
        <v>2646</v>
      </c>
      <c r="D44" s="30">
        <v>4.4400000000000004</v>
      </c>
      <c r="E44" s="30">
        <v>17</v>
      </c>
      <c r="F44" s="30">
        <v>7</v>
      </c>
      <c r="G44" s="30">
        <v>9</v>
      </c>
      <c r="H44" s="30">
        <v>0</v>
      </c>
      <c r="I44" s="30">
        <v>0</v>
      </c>
      <c r="J44" s="30">
        <v>0</v>
      </c>
      <c r="K44" s="30">
        <v>2</v>
      </c>
      <c r="L44" s="30">
        <v>2</v>
      </c>
      <c r="M44" s="30">
        <v>1</v>
      </c>
      <c r="N44" s="30">
        <v>0.438</v>
      </c>
      <c r="O44" s="30">
        <v>438</v>
      </c>
      <c r="P44" s="33">
        <v>103.1</v>
      </c>
      <c r="Q44" s="30">
        <v>114</v>
      </c>
      <c r="R44" s="30">
        <v>11</v>
      </c>
      <c r="S44" s="30">
        <v>24</v>
      </c>
      <c r="T44" s="30">
        <v>0</v>
      </c>
      <c r="U44" s="30">
        <v>5</v>
      </c>
      <c r="V44" s="30">
        <v>67</v>
      </c>
      <c r="W44" s="30">
        <v>2</v>
      </c>
      <c r="X44" s="30">
        <v>0</v>
      </c>
      <c r="Y44" s="30">
        <v>59</v>
      </c>
      <c r="Z44" s="30">
        <v>51</v>
      </c>
      <c r="AA44" s="23" t="s">
        <v>15</v>
      </c>
      <c r="AB44" s="23" t="s">
        <v>194</v>
      </c>
      <c r="AC44" s="23" t="s">
        <v>184</v>
      </c>
      <c r="AD44" s="23">
        <f t="shared" si="0"/>
        <v>1.3385063045586809</v>
      </c>
      <c r="AE44" s="23">
        <f t="shared" si="1"/>
        <v>4.0511348205625612</v>
      </c>
      <c r="AF44" s="23">
        <f t="shared" si="2"/>
        <v>0.31117824773413899</v>
      </c>
    </row>
    <row r="45" spans="1:32" ht="15.75" customHeight="1" x14ac:dyDescent="0.15">
      <c r="A45" s="34">
        <v>44</v>
      </c>
      <c r="B45" s="35" t="s">
        <v>2727</v>
      </c>
      <c r="C45" s="50" t="s">
        <v>198</v>
      </c>
      <c r="D45" s="34">
        <v>4.25</v>
      </c>
      <c r="E45" s="34">
        <v>26</v>
      </c>
      <c r="F45" s="34">
        <v>7</v>
      </c>
      <c r="G45" s="34">
        <v>7</v>
      </c>
      <c r="H45" s="34">
        <v>0</v>
      </c>
      <c r="I45" s="34">
        <v>4</v>
      </c>
      <c r="J45" s="34">
        <v>5</v>
      </c>
      <c r="K45" s="34">
        <v>0</v>
      </c>
      <c r="L45" s="34">
        <v>0</v>
      </c>
      <c r="M45" s="34">
        <v>0</v>
      </c>
      <c r="N45" s="34">
        <v>0.5</v>
      </c>
      <c r="O45" s="34">
        <v>428</v>
      </c>
      <c r="P45" s="33">
        <v>101.2</v>
      </c>
      <c r="Q45" s="34">
        <v>96</v>
      </c>
      <c r="R45" s="34">
        <v>9</v>
      </c>
      <c r="S45" s="34">
        <v>34</v>
      </c>
      <c r="T45" s="34">
        <v>1</v>
      </c>
      <c r="U45" s="34">
        <v>1</v>
      </c>
      <c r="V45" s="34">
        <v>83</v>
      </c>
      <c r="W45" s="34">
        <v>4</v>
      </c>
      <c r="X45" s="34">
        <v>0</v>
      </c>
      <c r="Y45" s="34">
        <v>50</v>
      </c>
      <c r="Z45" s="34">
        <v>48</v>
      </c>
      <c r="AA45" s="24" t="s">
        <v>15</v>
      </c>
      <c r="AB45" s="24" t="s">
        <v>194</v>
      </c>
      <c r="AC45" s="24" t="s">
        <v>175</v>
      </c>
      <c r="AD45" s="23">
        <f t="shared" si="0"/>
        <v>1.2845849802371541</v>
      </c>
      <c r="AE45" s="23">
        <f t="shared" si="1"/>
        <v>3.6437154150197628</v>
      </c>
      <c r="AF45" s="23">
        <f t="shared" si="2"/>
        <v>0.28999999999999998</v>
      </c>
    </row>
    <row r="46" spans="1:32" ht="15.75" customHeight="1" x14ac:dyDescent="0.15">
      <c r="A46" s="30">
        <v>44</v>
      </c>
      <c r="B46" s="31" t="s">
        <v>2728</v>
      </c>
      <c r="C46" s="32" t="s">
        <v>2645</v>
      </c>
      <c r="D46" s="30">
        <v>2.74</v>
      </c>
      <c r="E46" s="30">
        <v>18</v>
      </c>
      <c r="F46" s="30">
        <v>7</v>
      </c>
      <c r="G46" s="30">
        <v>9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0.438</v>
      </c>
      <c r="O46" s="30">
        <v>402</v>
      </c>
      <c r="P46" s="33">
        <v>101.2</v>
      </c>
      <c r="Q46" s="30">
        <v>92</v>
      </c>
      <c r="R46" s="30">
        <v>7</v>
      </c>
      <c r="S46" s="30">
        <v>18</v>
      </c>
      <c r="T46" s="30">
        <v>1</v>
      </c>
      <c r="U46" s="30">
        <v>0</v>
      </c>
      <c r="V46" s="30">
        <v>62</v>
      </c>
      <c r="W46" s="30">
        <v>1</v>
      </c>
      <c r="X46" s="30">
        <v>0</v>
      </c>
      <c r="Y46" s="30">
        <v>37</v>
      </c>
      <c r="Z46" s="30">
        <v>31</v>
      </c>
      <c r="AA46" s="23" t="s">
        <v>15</v>
      </c>
      <c r="AB46" s="23" t="s">
        <v>241</v>
      </c>
      <c r="AC46" s="23" t="s">
        <v>210</v>
      </c>
      <c r="AD46" s="23">
        <f t="shared" si="0"/>
        <v>1.0869565217391304</v>
      </c>
      <c r="AE46" s="23">
        <f t="shared" si="1"/>
        <v>3.2978656126482213</v>
      </c>
      <c r="AF46" s="23">
        <f t="shared" si="2"/>
        <v>0.27070063694267515</v>
      </c>
    </row>
    <row r="47" spans="1:32" ht="15.75" customHeight="1" x14ac:dyDescent="0.15">
      <c r="A47" s="34">
        <v>46</v>
      </c>
      <c r="B47" s="35" t="s">
        <v>2729</v>
      </c>
      <c r="C47" s="38" t="s">
        <v>2648</v>
      </c>
      <c r="D47" s="34">
        <v>4.9800000000000004</v>
      </c>
      <c r="E47" s="34">
        <v>23</v>
      </c>
      <c r="F47" s="34">
        <v>7</v>
      </c>
      <c r="G47" s="34">
        <v>6</v>
      </c>
      <c r="H47" s="34">
        <v>0</v>
      </c>
      <c r="I47" s="34">
        <v>1</v>
      </c>
      <c r="J47" s="34">
        <v>1</v>
      </c>
      <c r="K47" s="34">
        <v>0</v>
      </c>
      <c r="L47" s="34">
        <v>0</v>
      </c>
      <c r="M47" s="34">
        <v>0</v>
      </c>
      <c r="N47" s="34">
        <v>0.53800000000000003</v>
      </c>
      <c r="O47" s="34">
        <v>462</v>
      </c>
      <c r="P47" s="33">
        <v>99.1</v>
      </c>
      <c r="Q47" s="34">
        <v>132</v>
      </c>
      <c r="R47" s="34">
        <v>13</v>
      </c>
      <c r="S47" s="34">
        <v>34</v>
      </c>
      <c r="T47" s="34">
        <v>0</v>
      </c>
      <c r="U47" s="34">
        <v>7</v>
      </c>
      <c r="V47" s="34">
        <v>74</v>
      </c>
      <c r="W47" s="34">
        <v>1</v>
      </c>
      <c r="X47" s="34">
        <v>1</v>
      </c>
      <c r="Y47" s="34">
        <v>58</v>
      </c>
      <c r="Z47" s="34">
        <v>55</v>
      </c>
      <c r="AA47" s="24" t="s">
        <v>14</v>
      </c>
      <c r="AB47" s="24" t="s">
        <v>223</v>
      </c>
      <c r="AC47" s="24" t="s">
        <v>210</v>
      </c>
      <c r="AD47" s="23">
        <f t="shared" si="0"/>
        <v>1.6750756811301717</v>
      </c>
      <c r="AE47" s="23">
        <f t="shared" si="1"/>
        <v>4.5730776992936431</v>
      </c>
      <c r="AF47" s="23">
        <f t="shared" si="2"/>
        <v>0.35628742514970058</v>
      </c>
    </row>
    <row r="48" spans="1:32" ht="15.75" customHeight="1" x14ac:dyDescent="0.15">
      <c r="A48" s="30">
        <v>47</v>
      </c>
      <c r="B48" s="31" t="s">
        <v>2732</v>
      </c>
      <c r="C48" s="39" t="s">
        <v>2649</v>
      </c>
      <c r="D48" s="30">
        <v>4.33</v>
      </c>
      <c r="E48" s="30">
        <v>19</v>
      </c>
      <c r="F48" s="30">
        <v>5</v>
      </c>
      <c r="G48" s="30">
        <v>7</v>
      </c>
      <c r="H48" s="30">
        <v>0</v>
      </c>
      <c r="I48" s="30">
        <v>2</v>
      </c>
      <c r="J48" s="30">
        <v>2</v>
      </c>
      <c r="K48" s="30">
        <v>0</v>
      </c>
      <c r="L48" s="30">
        <v>0</v>
      </c>
      <c r="M48" s="30">
        <v>0</v>
      </c>
      <c r="N48" s="30">
        <v>0.41699999999999998</v>
      </c>
      <c r="O48" s="30">
        <v>420</v>
      </c>
      <c r="P48" s="33">
        <v>95.2</v>
      </c>
      <c r="Q48" s="30">
        <v>100</v>
      </c>
      <c r="R48" s="30">
        <v>11</v>
      </c>
      <c r="S48" s="30">
        <v>35</v>
      </c>
      <c r="T48" s="30">
        <v>2</v>
      </c>
      <c r="U48" s="30">
        <v>9</v>
      </c>
      <c r="V48" s="30">
        <v>90</v>
      </c>
      <c r="W48" s="30">
        <v>1</v>
      </c>
      <c r="X48" s="30">
        <v>0</v>
      </c>
      <c r="Y48" s="30">
        <v>46</v>
      </c>
      <c r="Z48" s="30">
        <v>46</v>
      </c>
      <c r="AA48" s="23" t="s">
        <v>15</v>
      </c>
      <c r="AB48" s="23" t="s">
        <v>234</v>
      </c>
      <c r="AC48" s="23" t="s">
        <v>220</v>
      </c>
      <c r="AD48" s="23">
        <f t="shared" si="0"/>
        <v>1.4180672268907561</v>
      </c>
      <c r="AE48" s="23">
        <f t="shared" si="1"/>
        <v>4.0548739495798323</v>
      </c>
      <c r="AF48" s="23">
        <f t="shared" si="2"/>
        <v>0.32600732600732601</v>
      </c>
    </row>
    <row r="49" spans="1:32" ht="15.75" customHeight="1" x14ac:dyDescent="0.15">
      <c r="A49" s="34">
        <v>48</v>
      </c>
      <c r="B49" s="35" t="s">
        <v>2730</v>
      </c>
      <c r="C49" s="56" t="s">
        <v>2653</v>
      </c>
      <c r="D49" s="34">
        <v>3.91</v>
      </c>
      <c r="E49" s="34">
        <v>17</v>
      </c>
      <c r="F49" s="34">
        <v>2</v>
      </c>
      <c r="G49" s="34">
        <v>5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0.28599999999999998</v>
      </c>
      <c r="O49" s="34">
        <v>402</v>
      </c>
      <c r="P49" s="33">
        <v>94.1</v>
      </c>
      <c r="Q49" s="34">
        <v>88</v>
      </c>
      <c r="R49" s="34">
        <v>9</v>
      </c>
      <c r="S49" s="34">
        <v>31</v>
      </c>
      <c r="T49" s="34">
        <v>1</v>
      </c>
      <c r="U49" s="34">
        <v>3</v>
      </c>
      <c r="V49" s="34">
        <v>85</v>
      </c>
      <c r="W49" s="34">
        <v>1</v>
      </c>
      <c r="X49" s="34">
        <v>0</v>
      </c>
      <c r="Y49" s="34">
        <v>46</v>
      </c>
      <c r="Z49" s="34">
        <v>41</v>
      </c>
      <c r="AA49" s="24" t="s">
        <v>15</v>
      </c>
      <c r="AB49" s="24" t="s">
        <v>159</v>
      </c>
      <c r="AC49" s="24" t="s">
        <v>142</v>
      </c>
      <c r="AD49" s="23">
        <f t="shared" si="0"/>
        <v>1.2646121147715197</v>
      </c>
      <c r="AE49" s="23">
        <f t="shared" si="1"/>
        <v>3.6088416578108395</v>
      </c>
      <c r="AF49" s="23">
        <f t="shared" si="2"/>
        <v>0.2893772893772894</v>
      </c>
    </row>
    <row r="50" spans="1:32" ht="15.75" customHeight="1" x14ac:dyDescent="0.15">
      <c r="A50" s="30">
        <v>49</v>
      </c>
      <c r="B50" s="31" t="s">
        <v>2731</v>
      </c>
      <c r="C50" s="53" t="s">
        <v>198</v>
      </c>
      <c r="D50" s="30">
        <v>3.54</v>
      </c>
      <c r="E50" s="30">
        <v>19</v>
      </c>
      <c r="F50" s="30">
        <v>3</v>
      </c>
      <c r="G50" s="30">
        <v>6</v>
      </c>
      <c r="H50" s="30">
        <v>0</v>
      </c>
      <c r="I50" s="30">
        <v>0</v>
      </c>
      <c r="J50" s="30">
        <v>1</v>
      </c>
      <c r="K50" s="30">
        <v>0</v>
      </c>
      <c r="L50" s="30">
        <v>0</v>
      </c>
      <c r="M50" s="30">
        <v>0</v>
      </c>
      <c r="N50" s="30">
        <v>0.33300000000000002</v>
      </c>
      <c r="O50" s="30">
        <v>387</v>
      </c>
      <c r="P50" s="33">
        <v>94</v>
      </c>
      <c r="Q50" s="30">
        <v>86</v>
      </c>
      <c r="R50" s="30">
        <v>13</v>
      </c>
      <c r="S50" s="30">
        <v>28</v>
      </c>
      <c r="T50" s="30">
        <v>0</v>
      </c>
      <c r="U50" s="30">
        <v>1</v>
      </c>
      <c r="V50" s="30">
        <v>79</v>
      </c>
      <c r="W50" s="30">
        <v>6</v>
      </c>
      <c r="X50" s="30">
        <v>0</v>
      </c>
      <c r="Y50" s="30">
        <v>38</v>
      </c>
      <c r="Z50" s="30">
        <v>37</v>
      </c>
      <c r="AA50" s="23" t="s">
        <v>15</v>
      </c>
      <c r="AB50" s="23" t="s">
        <v>175</v>
      </c>
      <c r="AC50" s="23" t="s">
        <v>173</v>
      </c>
      <c r="AD50" s="23">
        <f t="shared" si="0"/>
        <v>1.2127659574468086</v>
      </c>
      <c r="AE50" s="23">
        <f t="shared" si="1"/>
        <v>4.1625531914893621</v>
      </c>
      <c r="AF50" s="23">
        <f t="shared" si="2"/>
        <v>0.27443609022556392</v>
      </c>
    </row>
    <row r="51" spans="1:32" ht="15.75" customHeight="1" x14ac:dyDescent="0.15">
      <c r="A51" s="34">
        <v>50</v>
      </c>
      <c r="B51" s="35" t="s">
        <v>2733</v>
      </c>
      <c r="C51" s="51" t="s">
        <v>2655</v>
      </c>
      <c r="D51" s="34">
        <v>3.26</v>
      </c>
      <c r="E51" s="34">
        <v>36</v>
      </c>
      <c r="F51" s="34">
        <v>8</v>
      </c>
      <c r="G51" s="34">
        <v>3</v>
      </c>
      <c r="H51" s="34">
        <v>1</v>
      </c>
      <c r="I51" s="34">
        <v>10</v>
      </c>
      <c r="J51" s="34">
        <v>14</v>
      </c>
      <c r="K51" s="34">
        <v>0</v>
      </c>
      <c r="L51" s="34">
        <v>0</v>
      </c>
      <c r="M51" s="34">
        <v>0</v>
      </c>
      <c r="N51" s="34">
        <v>0.72699999999999998</v>
      </c>
      <c r="O51" s="34">
        <v>375</v>
      </c>
      <c r="P51" s="33">
        <v>91</v>
      </c>
      <c r="Q51" s="34">
        <v>81</v>
      </c>
      <c r="R51" s="34">
        <v>15</v>
      </c>
      <c r="S51" s="34">
        <v>27</v>
      </c>
      <c r="T51" s="34">
        <v>0</v>
      </c>
      <c r="U51" s="34">
        <v>5</v>
      </c>
      <c r="V51" s="34">
        <v>80</v>
      </c>
      <c r="W51" s="34">
        <v>1</v>
      </c>
      <c r="X51" s="34">
        <v>0</v>
      </c>
      <c r="Y51" s="34">
        <v>35</v>
      </c>
      <c r="Z51" s="34">
        <v>33</v>
      </c>
      <c r="AA51" s="24" t="s">
        <v>15</v>
      </c>
      <c r="AB51" s="24" t="s">
        <v>168</v>
      </c>
      <c r="AC51" s="24" t="s">
        <v>159</v>
      </c>
      <c r="AD51" s="23">
        <f t="shared" si="0"/>
        <v>1.1868131868131868</v>
      </c>
      <c r="AE51" s="23">
        <f t="shared" si="1"/>
        <v>4.5595604395604399</v>
      </c>
      <c r="AF51" s="23">
        <f t="shared" si="2"/>
        <v>0.2661290322580645</v>
      </c>
    </row>
    <row r="52" spans="1:32" ht="15.75" customHeight="1" x14ac:dyDescent="0.15">
      <c r="A52" s="30">
        <v>51</v>
      </c>
      <c r="B52" s="31" t="s">
        <v>2734</v>
      </c>
      <c r="C52" s="54" t="s">
        <v>2650</v>
      </c>
      <c r="D52" s="30">
        <v>3.29</v>
      </c>
      <c r="E52" s="30">
        <v>18</v>
      </c>
      <c r="F52" s="30">
        <v>7</v>
      </c>
      <c r="G52" s="30">
        <v>3</v>
      </c>
      <c r="H52" s="30">
        <v>0</v>
      </c>
      <c r="I52" s="30">
        <v>0</v>
      </c>
      <c r="J52" s="30">
        <v>2</v>
      </c>
      <c r="K52" s="30">
        <v>0</v>
      </c>
      <c r="L52" s="30">
        <v>0</v>
      </c>
      <c r="M52" s="30">
        <v>0</v>
      </c>
      <c r="N52" s="30">
        <v>0.7</v>
      </c>
      <c r="O52" s="30">
        <v>367</v>
      </c>
      <c r="P52" s="33">
        <v>87.2</v>
      </c>
      <c r="Q52" s="30">
        <v>64</v>
      </c>
      <c r="R52" s="30">
        <v>9</v>
      </c>
      <c r="S52" s="30">
        <v>38</v>
      </c>
      <c r="T52" s="30">
        <v>2</v>
      </c>
      <c r="U52" s="30">
        <v>4</v>
      </c>
      <c r="V52" s="30">
        <v>88</v>
      </c>
      <c r="W52" s="30">
        <v>1</v>
      </c>
      <c r="X52" s="30">
        <v>2</v>
      </c>
      <c r="Y52" s="30">
        <v>34</v>
      </c>
      <c r="Z52" s="30">
        <v>32</v>
      </c>
      <c r="AA52" s="23" t="s">
        <v>15</v>
      </c>
      <c r="AB52" s="23" t="s">
        <v>205</v>
      </c>
      <c r="AC52" s="23" t="s">
        <v>205</v>
      </c>
      <c r="AD52" s="23">
        <f t="shared" si="0"/>
        <v>1.1697247706422018</v>
      </c>
      <c r="AE52" s="23">
        <f t="shared" si="1"/>
        <v>3.8195412844036696</v>
      </c>
      <c r="AF52" s="23">
        <f t="shared" si="2"/>
        <v>0.24336283185840707</v>
      </c>
    </row>
    <row r="53" spans="1:32" ht="15.75" customHeight="1" x14ac:dyDescent="0.15">
      <c r="A53" s="34">
        <v>52</v>
      </c>
      <c r="B53" s="35" t="s">
        <v>2735</v>
      </c>
      <c r="C53" s="43" t="s">
        <v>2649</v>
      </c>
      <c r="D53" s="34">
        <v>2.6</v>
      </c>
      <c r="E53" s="34">
        <v>15</v>
      </c>
      <c r="F53" s="34">
        <v>6</v>
      </c>
      <c r="G53" s="34">
        <v>3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0.66700000000000004</v>
      </c>
      <c r="O53" s="34">
        <v>364</v>
      </c>
      <c r="P53" s="33">
        <v>86.2</v>
      </c>
      <c r="Q53" s="34">
        <v>79</v>
      </c>
      <c r="R53" s="34">
        <v>9</v>
      </c>
      <c r="S53" s="34">
        <v>24</v>
      </c>
      <c r="T53" s="34">
        <v>1</v>
      </c>
      <c r="U53" s="34">
        <v>5</v>
      </c>
      <c r="V53" s="34">
        <v>78</v>
      </c>
      <c r="W53" s="34">
        <v>1</v>
      </c>
      <c r="X53" s="34">
        <v>0</v>
      </c>
      <c r="Y53" s="34">
        <v>32</v>
      </c>
      <c r="Z53" s="34">
        <v>25</v>
      </c>
      <c r="AA53" s="24" t="s">
        <v>15</v>
      </c>
      <c r="AB53" s="24" t="s">
        <v>175</v>
      </c>
      <c r="AC53" s="24" t="s">
        <v>168</v>
      </c>
      <c r="AD53" s="23">
        <f t="shared" si="0"/>
        <v>1.1948955916473318</v>
      </c>
      <c r="AE53" s="23">
        <f t="shared" si="1"/>
        <v>3.6420417633410676</v>
      </c>
      <c r="AF53" s="23">
        <f t="shared" si="2"/>
        <v>0.2834008097165992</v>
      </c>
    </row>
    <row r="54" spans="1:32" ht="15.75" customHeight="1" x14ac:dyDescent="0.15">
      <c r="A54" s="30">
        <v>53</v>
      </c>
      <c r="B54" s="31" t="s">
        <v>2736</v>
      </c>
      <c r="C54" s="55" t="s">
        <v>2652</v>
      </c>
      <c r="D54" s="30">
        <v>2.19</v>
      </c>
      <c r="E54" s="30">
        <v>15</v>
      </c>
      <c r="F54" s="30">
        <v>6</v>
      </c>
      <c r="G54" s="30">
        <v>4</v>
      </c>
      <c r="H54" s="30">
        <v>0</v>
      </c>
      <c r="I54" s="30">
        <v>0</v>
      </c>
      <c r="J54" s="30">
        <v>0</v>
      </c>
      <c r="K54" s="30">
        <v>1</v>
      </c>
      <c r="L54" s="30">
        <v>1</v>
      </c>
      <c r="M54" s="30">
        <v>1</v>
      </c>
      <c r="N54" s="30">
        <v>0.6</v>
      </c>
      <c r="O54" s="30">
        <v>341</v>
      </c>
      <c r="P54" s="33">
        <v>86.1</v>
      </c>
      <c r="Q54" s="30">
        <v>71</v>
      </c>
      <c r="R54" s="30">
        <v>5</v>
      </c>
      <c r="S54" s="30">
        <v>19</v>
      </c>
      <c r="T54" s="30">
        <v>0</v>
      </c>
      <c r="U54" s="30">
        <v>1</v>
      </c>
      <c r="V54" s="30">
        <v>74</v>
      </c>
      <c r="W54" s="30">
        <v>2</v>
      </c>
      <c r="X54" s="30">
        <v>0</v>
      </c>
      <c r="Y54" s="30">
        <v>24</v>
      </c>
      <c r="Z54" s="30">
        <v>21</v>
      </c>
      <c r="AA54" s="23" t="s">
        <v>15</v>
      </c>
      <c r="AB54" s="23" t="s">
        <v>201</v>
      </c>
      <c r="AC54" s="23" t="s">
        <v>180</v>
      </c>
      <c r="AD54" s="23">
        <f t="shared" si="0"/>
        <v>1.0452961672473868</v>
      </c>
      <c r="AE54" s="23">
        <f t="shared" si="1"/>
        <v>2.8528687572590012</v>
      </c>
      <c r="AF54" s="23">
        <f t="shared" si="2"/>
        <v>0.27272727272727271</v>
      </c>
    </row>
    <row r="55" spans="1:32" ht="15.75" customHeight="1" x14ac:dyDescent="0.15">
      <c r="A55" s="34">
        <v>54</v>
      </c>
      <c r="B55" s="35" t="s">
        <v>2737</v>
      </c>
      <c r="C55" s="56" t="s">
        <v>2653</v>
      </c>
      <c r="D55" s="34">
        <v>4.32</v>
      </c>
      <c r="E55" s="34">
        <v>16</v>
      </c>
      <c r="F55" s="34">
        <v>2</v>
      </c>
      <c r="G55" s="34">
        <v>6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0.25</v>
      </c>
      <c r="O55" s="34">
        <v>368</v>
      </c>
      <c r="P55" s="33">
        <v>85.1</v>
      </c>
      <c r="Q55" s="34">
        <v>89</v>
      </c>
      <c r="R55" s="34">
        <v>10</v>
      </c>
      <c r="S55" s="34">
        <v>22</v>
      </c>
      <c r="T55" s="34">
        <v>1</v>
      </c>
      <c r="U55" s="34">
        <v>7</v>
      </c>
      <c r="V55" s="34">
        <v>57</v>
      </c>
      <c r="W55" s="34">
        <v>0</v>
      </c>
      <c r="X55" s="34">
        <v>0</v>
      </c>
      <c r="Y55" s="34">
        <v>45</v>
      </c>
      <c r="Z55" s="34">
        <v>41</v>
      </c>
      <c r="AA55" s="24" t="s">
        <v>15</v>
      </c>
      <c r="AB55" s="24" t="s">
        <v>201</v>
      </c>
      <c r="AC55" s="24" t="s">
        <v>201</v>
      </c>
      <c r="AD55" s="23">
        <f t="shared" si="0"/>
        <v>1.3043478260869565</v>
      </c>
      <c r="AE55" s="23">
        <f t="shared" si="1"/>
        <v>4.2950881316098712</v>
      </c>
      <c r="AF55" s="23">
        <f t="shared" si="2"/>
        <v>0.29151291512915128</v>
      </c>
    </row>
    <row r="56" spans="1:32" ht="15.75" customHeight="1" x14ac:dyDescent="0.15">
      <c r="A56" s="30">
        <v>54</v>
      </c>
      <c r="B56" s="31" t="s">
        <v>2742</v>
      </c>
      <c r="C56" s="53" t="s">
        <v>198</v>
      </c>
      <c r="D56" s="30">
        <v>2.64</v>
      </c>
      <c r="E56" s="30">
        <v>16</v>
      </c>
      <c r="F56" s="30">
        <v>2</v>
      </c>
      <c r="G56" s="30">
        <v>6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0.25</v>
      </c>
      <c r="O56" s="30">
        <v>341</v>
      </c>
      <c r="P56" s="33">
        <v>85.1</v>
      </c>
      <c r="Q56" s="30">
        <v>74</v>
      </c>
      <c r="R56" s="30">
        <v>7</v>
      </c>
      <c r="S56" s="30">
        <v>17</v>
      </c>
      <c r="T56" s="30">
        <v>0</v>
      </c>
      <c r="U56" s="30">
        <v>4</v>
      </c>
      <c r="V56" s="30">
        <v>61</v>
      </c>
      <c r="W56" s="30">
        <v>1</v>
      </c>
      <c r="X56" s="30">
        <v>1</v>
      </c>
      <c r="Y56" s="30">
        <v>28</v>
      </c>
      <c r="Z56" s="30">
        <v>25</v>
      </c>
      <c r="AA56" s="23" t="s">
        <v>15</v>
      </c>
      <c r="AB56" s="23" t="s">
        <v>215</v>
      </c>
      <c r="AC56" s="23" t="s">
        <v>210</v>
      </c>
      <c r="AD56" s="23">
        <f t="shared" si="0"/>
        <v>1.0693301997649824</v>
      </c>
      <c r="AE56" s="23">
        <f t="shared" si="1"/>
        <v>3.4960282021151587</v>
      </c>
      <c r="AF56" s="23">
        <f t="shared" si="2"/>
        <v>0.26587301587301587</v>
      </c>
    </row>
    <row r="57" spans="1:32" ht="15.75" customHeight="1" x14ac:dyDescent="0.15">
      <c r="A57" s="34">
        <v>56</v>
      </c>
      <c r="B57" s="35" t="s">
        <v>2738</v>
      </c>
      <c r="C57" s="57" t="s">
        <v>2654</v>
      </c>
      <c r="D57" s="34">
        <v>2.31</v>
      </c>
      <c r="E57" s="34">
        <v>14</v>
      </c>
      <c r="F57" s="34">
        <v>3</v>
      </c>
      <c r="G57" s="34">
        <v>4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0.42899999999999999</v>
      </c>
      <c r="O57" s="34">
        <v>325</v>
      </c>
      <c r="P57" s="33">
        <v>81.2</v>
      </c>
      <c r="Q57" s="34">
        <v>48</v>
      </c>
      <c r="R57" s="34">
        <v>5</v>
      </c>
      <c r="S57" s="34">
        <v>36</v>
      </c>
      <c r="T57" s="34">
        <v>0</v>
      </c>
      <c r="U57" s="34">
        <v>6</v>
      </c>
      <c r="V57" s="34">
        <v>97</v>
      </c>
      <c r="W57" s="34">
        <v>3</v>
      </c>
      <c r="X57" s="34">
        <v>0</v>
      </c>
      <c r="Y57" s="34">
        <v>26</v>
      </c>
      <c r="Z57" s="34">
        <v>21</v>
      </c>
      <c r="AA57" s="24" t="s">
        <v>15</v>
      </c>
      <c r="AB57" s="24" t="s">
        <v>205</v>
      </c>
      <c r="AC57" s="24" t="s">
        <v>189</v>
      </c>
      <c r="AD57" s="23">
        <f t="shared" si="0"/>
        <v>1.0344827586206897</v>
      </c>
      <c r="AE57" s="23">
        <f t="shared" si="1"/>
        <v>3.0830541871921184</v>
      </c>
      <c r="AF57" s="23">
        <f t="shared" si="2"/>
        <v>0.23756906077348067</v>
      </c>
    </row>
    <row r="58" spans="1:32" ht="15.75" customHeight="1" x14ac:dyDescent="0.15">
      <c r="A58" s="30">
        <v>57</v>
      </c>
      <c r="B58" s="31" t="s">
        <v>2739</v>
      </c>
      <c r="C58" s="52" t="s">
        <v>2646</v>
      </c>
      <c r="D58" s="30">
        <v>3.14</v>
      </c>
      <c r="E58" s="30">
        <v>27</v>
      </c>
      <c r="F58" s="30">
        <v>6</v>
      </c>
      <c r="G58" s="30">
        <v>4</v>
      </c>
      <c r="H58" s="30">
        <v>1</v>
      </c>
      <c r="I58" s="30">
        <v>5</v>
      </c>
      <c r="J58" s="30">
        <v>7</v>
      </c>
      <c r="K58" s="30">
        <v>0</v>
      </c>
      <c r="L58" s="30">
        <v>0</v>
      </c>
      <c r="M58" s="30">
        <v>0</v>
      </c>
      <c r="N58" s="30">
        <v>0.6</v>
      </c>
      <c r="O58" s="30">
        <v>333</v>
      </c>
      <c r="P58" s="33">
        <v>80.099999999999994</v>
      </c>
      <c r="Q58" s="30">
        <v>69</v>
      </c>
      <c r="R58" s="30">
        <v>7</v>
      </c>
      <c r="S58" s="30">
        <v>24</v>
      </c>
      <c r="T58" s="30">
        <v>2</v>
      </c>
      <c r="U58" s="30">
        <v>2</v>
      </c>
      <c r="V58" s="30">
        <v>79</v>
      </c>
      <c r="W58" s="30">
        <v>2</v>
      </c>
      <c r="X58" s="30">
        <v>0</v>
      </c>
      <c r="Y58" s="30">
        <v>28</v>
      </c>
      <c r="Z58" s="30">
        <v>28</v>
      </c>
      <c r="AA58" s="23" t="s">
        <v>15</v>
      </c>
      <c r="AB58" s="23" t="s">
        <v>168</v>
      </c>
      <c r="AC58" s="23" t="s">
        <v>168</v>
      </c>
      <c r="AD58" s="23">
        <f t="shared" si="0"/>
        <v>1.161048689138577</v>
      </c>
      <c r="AE58" s="23">
        <f t="shared" si="1"/>
        <v>3.1824219725343323</v>
      </c>
      <c r="AF58" s="23">
        <f t="shared" si="2"/>
        <v>0.28310502283105021</v>
      </c>
    </row>
    <row r="59" spans="1:32" ht="15.75" customHeight="1" x14ac:dyDescent="0.15">
      <c r="A59" s="34">
        <v>57</v>
      </c>
      <c r="B59" s="35" t="s">
        <v>2740</v>
      </c>
      <c r="C59" s="56" t="s">
        <v>2653</v>
      </c>
      <c r="D59" s="34">
        <v>5.27</v>
      </c>
      <c r="E59" s="34">
        <v>17</v>
      </c>
      <c r="F59" s="34">
        <v>3</v>
      </c>
      <c r="G59" s="34">
        <v>6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0.33300000000000002</v>
      </c>
      <c r="O59" s="34">
        <v>357</v>
      </c>
      <c r="P59" s="33">
        <v>80.099999999999994</v>
      </c>
      <c r="Q59" s="34">
        <v>92</v>
      </c>
      <c r="R59" s="34">
        <v>8</v>
      </c>
      <c r="S59" s="34">
        <v>29</v>
      </c>
      <c r="T59" s="34">
        <v>0</v>
      </c>
      <c r="U59" s="34">
        <v>1</v>
      </c>
      <c r="V59" s="34">
        <v>47</v>
      </c>
      <c r="W59" s="34">
        <v>1</v>
      </c>
      <c r="X59" s="34">
        <v>0</v>
      </c>
      <c r="Y59" s="34">
        <v>48</v>
      </c>
      <c r="Z59" s="34">
        <v>47</v>
      </c>
      <c r="AA59" s="24" t="s">
        <v>27</v>
      </c>
      <c r="AB59" s="24" t="s">
        <v>154</v>
      </c>
      <c r="AC59" s="24" t="s">
        <v>146</v>
      </c>
      <c r="AD59" s="23">
        <f t="shared" si="0"/>
        <v>1.5106117353308366</v>
      </c>
      <c r="AE59" s="23">
        <f t="shared" si="1"/>
        <v>4.3684394506866422</v>
      </c>
      <c r="AF59" s="23">
        <f t="shared" si="2"/>
        <v>0.30882352941176472</v>
      </c>
    </row>
    <row r="60" spans="1:32" ht="15.75" customHeight="1" x14ac:dyDescent="0.15">
      <c r="A60" s="30">
        <v>59</v>
      </c>
      <c r="B60" s="31" t="s">
        <v>2741</v>
      </c>
      <c r="C60" s="47" t="s">
        <v>2654</v>
      </c>
      <c r="D60" s="30">
        <v>2.48</v>
      </c>
      <c r="E60" s="30">
        <v>14</v>
      </c>
      <c r="F60" s="30">
        <v>5</v>
      </c>
      <c r="G60" s="30">
        <v>3</v>
      </c>
      <c r="H60" s="30">
        <v>0</v>
      </c>
      <c r="I60" s="30">
        <v>0</v>
      </c>
      <c r="J60" s="30">
        <v>0</v>
      </c>
      <c r="K60" s="30">
        <v>1</v>
      </c>
      <c r="L60" s="30">
        <v>1</v>
      </c>
      <c r="M60" s="30">
        <v>0</v>
      </c>
      <c r="N60" s="30">
        <v>0.625</v>
      </c>
      <c r="O60" s="30">
        <v>330</v>
      </c>
      <c r="P60" s="33">
        <v>80</v>
      </c>
      <c r="Q60" s="30">
        <v>58</v>
      </c>
      <c r="R60" s="30">
        <v>9</v>
      </c>
      <c r="S60" s="30">
        <v>24</v>
      </c>
      <c r="T60" s="30">
        <v>0</v>
      </c>
      <c r="U60" s="30">
        <v>9</v>
      </c>
      <c r="V60" s="30">
        <v>82</v>
      </c>
      <c r="W60" s="30">
        <v>1</v>
      </c>
      <c r="X60" s="30">
        <v>0</v>
      </c>
      <c r="Y60" s="30">
        <v>30</v>
      </c>
      <c r="Z60" s="30">
        <v>22</v>
      </c>
      <c r="AA60" s="23" t="s">
        <v>15</v>
      </c>
      <c r="AB60" s="23" t="s">
        <v>142</v>
      </c>
      <c r="AC60" s="23" t="s">
        <v>129</v>
      </c>
      <c r="AD60" s="23">
        <f t="shared" si="0"/>
        <v>1.0249999999999999</v>
      </c>
      <c r="AE60" s="23">
        <f t="shared" si="1"/>
        <v>3.77</v>
      </c>
      <c r="AF60" s="23">
        <f t="shared" si="2"/>
        <v>0.23786407766990292</v>
      </c>
    </row>
    <row r="61" spans="1:32" ht="15.75" customHeight="1" x14ac:dyDescent="0.15">
      <c r="A61" s="34">
        <v>60</v>
      </c>
      <c r="B61" s="35" t="s">
        <v>2743</v>
      </c>
      <c r="C61" s="38" t="s">
        <v>2648</v>
      </c>
      <c r="D61" s="34">
        <v>4.1399999999999997</v>
      </c>
      <c r="E61" s="34">
        <v>14</v>
      </c>
      <c r="F61" s="34">
        <v>5</v>
      </c>
      <c r="G61" s="34">
        <v>8</v>
      </c>
      <c r="H61" s="34">
        <v>0</v>
      </c>
      <c r="I61" s="34">
        <v>0</v>
      </c>
      <c r="J61" s="34">
        <v>0</v>
      </c>
      <c r="K61" s="34">
        <v>1</v>
      </c>
      <c r="L61" s="34">
        <v>0</v>
      </c>
      <c r="M61" s="34">
        <v>0</v>
      </c>
      <c r="N61" s="34">
        <v>0.38500000000000001</v>
      </c>
      <c r="O61" s="34">
        <v>330</v>
      </c>
      <c r="P61" s="33">
        <v>78.099999999999994</v>
      </c>
      <c r="Q61" s="34">
        <v>79</v>
      </c>
      <c r="R61" s="34">
        <v>9</v>
      </c>
      <c r="S61" s="34">
        <v>15</v>
      </c>
      <c r="T61" s="34">
        <v>0</v>
      </c>
      <c r="U61" s="34">
        <v>6</v>
      </c>
      <c r="V61" s="34">
        <v>73</v>
      </c>
      <c r="W61" s="34">
        <v>1</v>
      </c>
      <c r="X61" s="34">
        <v>0</v>
      </c>
      <c r="Y61" s="34">
        <v>40</v>
      </c>
      <c r="Z61" s="34">
        <v>36</v>
      </c>
      <c r="AA61" s="24" t="s">
        <v>15</v>
      </c>
      <c r="AB61" s="24" t="s">
        <v>215</v>
      </c>
      <c r="AC61" s="24" t="s">
        <v>201</v>
      </c>
      <c r="AD61" s="23">
        <f t="shared" si="0"/>
        <v>1.2035851472471191</v>
      </c>
      <c r="AE61" s="23">
        <f t="shared" si="1"/>
        <v>3.5553393085787452</v>
      </c>
      <c r="AF61" s="23">
        <f t="shared" si="2"/>
        <v>0.30837004405286345</v>
      </c>
    </row>
    <row r="62" spans="1:32" ht="15.75" customHeight="1" x14ac:dyDescent="0.15">
      <c r="A62" s="30">
        <v>61</v>
      </c>
      <c r="B62" s="31" t="s">
        <v>2744</v>
      </c>
      <c r="C62" s="52" t="s">
        <v>2646</v>
      </c>
      <c r="D62" s="30">
        <v>3.42</v>
      </c>
      <c r="E62" s="30">
        <v>12</v>
      </c>
      <c r="F62" s="30">
        <v>3</v>
      </c>
      <c r="G62" s="30">
        <v>5</v>
      </c>
      <c r="H62" s="30">
        <v>0</v>
      </c>
      <c r="I62" s="30">
        <v>0</v>
      </c>
      <c r="J62" s="30">
        <v>0</v>
      </c>
      <c r="K62" s="30">
        <v>2</v>
      </c>
      <c r="L62" s="30">
        <v>1</v>
      </c>
      <c r="M62" s="30">
        <v>1</v>
      </c>
      <c r="N62" s="30">
        <v>0.375</v>
      </c>
      <c r="O62" s="30">
        <v>306</v>
      </c>
      <c r="P62" s="33">
        <v>73.2</v>
      </c>
      <c r="Q62" s="30">
        <v>57</v>
      </c>
      <c r="R62" s="30">
        <v>6</v>
      </c>
      <c r="S62" s="30">
        <v>22</v>
      </c>
      <c r="T62" s="30">
        <v>2</v>
      </c>
      <c r="U62" s="30">
        <v>7</v>
      </c>
      <c r="V62" s="30">
        <v>81</v>
      </c>
      <c r="W62" s="30">
        <v>2</v>
      </c>
      <c r="X62" s="30">
        <v>0</v>
      </c>
      <c r="Y62" s="30">
        <v>30</v>
      </c>
      <c r="Z62" s="30">
        <v>28</v>
      </c>
      <c r="AA62" s="23" t="s">
        <v>15</v>
      </c>
      <c r="AB62" s="23" t="s">
        <v>142</v>
      </c>
      <c r="AC62" s="23" t="s">
        <v>135</v>
      </c>
      <c r="AD62" s="23">
        <f t="shared" si="0"/>
        <v>1.0792349726775956</v>
      </c>
      <c r="AE62" s="23">
        <f t="shared" si="1"/>
        <v>3.0790163934426231</v>
      </c>
      <c r="AF62" s="23">
        <f t="shared" si="2"/>
        <v>0.27127659574468083</v>
      </c>
    </row>
    <row r="63" spans="1:32" ht="15.75" customHeight="1" x14ac:dyDescent="0.15">
      <c r="A63" s="34">
        <v>62</v>
      </c>
      <c r="B63" s="35" t="s">
        <v>2745</v>
      </c>
      <c r="C63" s="40" t="s">
        <v>2650</v>
      </c>
      <c r="D63" s="34">
        <v>4.6500000000000004</v>
      </c>
      <c r="E63" s="34">
        <v>13</v>
      </c>
      <c r="F63" s="34">
        <v>5</v>
      </c>
      <c r="G63" s="34">
        <v>2</v>
      </c>
      <c r="H63" s="34">
        <v>0</v>
      </c>
      <c r="I63" s="34">
        <v>0</v>
      </c>
      <c r="J63" s="34">
        <v>0</v>
      </c>
      <c r="K63" s="34">
        <v>1</v>
      </c>
      <c r="L63" s="34">
        <v>0</v>
      </c>
      <c r="M63" s="34">
        <v>0</v>
      </c>
      <c r="N63" s="34">
        <v>0.71399999999999997</v>
      </c>
      <c r="O63" s="34">
        <v>308</v>
      </c>
      <c r="P63" s="33">
        <v>71.2</v>
      </c>
      <c r="Q63" s="34">
        <v>75</v>
      </c>
      <c r="R63" s="34">
        <v>4</v>
      </c>
      <c r="S63" s="34">
        <v>24</v>
      </c>
      <c r="T63" s="34">
        <v>2</v>
      </c>
      <c r="U63" s="34">
        <v>2</v>
      </c>
      <c r="V63" s="34">
        <v>57</v>
      </c>
      <c r="W63" s="34">
        <v>0</v>
      </c>
      <c r="X63" s="34">
        <v>0</v>
      </c>
      <c r="Y63" s="34">
        <v>37</v>
      </c>
      <c r="Z63" s="34">
        <v>37</v>
      </c>
      <c r="AA63" s="24" t="s">
        <v>15</v>
      </c>
      <c r="AB63" s="24" t="s">
        <v>210</v>
      </c>
      <c r="AC63" s="24" t="s">
        <v>201</v>
      </c>
      <c r="AD63" s="23">
        <f t="shared" si="0"/>
        <v>1.3904494382022472</v>
      </c>
      <c r="AE63" s="23">
        <f t="shared" si="1"/>
        <v>3.2604494382022473</v>
      </c>
      <c r="AF63" s="23">
        <f t="shared" si="2"/>
        <v>0.32420091324200911</v>
      </c>
    </row>
    <row r="64" spans="1:32" ht="15.75" customHeight="1" x14ac:dyDescent="0.15">
      <c r="A64" s="30">
        <v>63</v>
      </c>
      <c r="B64" s="31" t="s">
        <v>2746</v>
      </c>
      <c r="C64" s="44" t="s">
        <v>2653</v>
      </c>
      <c r="D64" s="30">
        <v>4.9800000000000004</v>
      </c>
      <c r="E64" s="30">
        <v>26</v>
      </c>
      <c r="F64" s="30">
        <v>1</v>
      </c>
      <c r="G64" s="30">
        <v>7</v>
      </c>
      <c r="H64" s="30">
        <v>0</v>
      </c>
      <c r="I64" s="30">
        <v>7</v>
      </c>
      <c r="J64" s="30">
        <v>7</v>
      </c>
      <c r="K64" s="30">
        <v>0</v>
      </c>
      <c r="L64" s="30">
        <v>0</v>
      </c>
      <c r="M64" s="30">
        <v>0</v>
      </c>
      <c r="N64" s="30">
        <v>0.125</v>
      </c>
      <c r="O64" s="30">
        <v>307</v>
      </c>
      <c r="P64" s="33">
        <v>68.2</v>
      </c>
      <c r="Q64" s="30">
        <v>77</v>
      </c>
      <c r="R64" s="30">
        <v>9</v>
      </c>
      <c r="S64" s="30">
        <v>31</v>
      </c>
      <c r="T64" s="30">
        <v>0</v>
      </c>
      <c r="U64" s="30">
        <v>5</v>
      </c>
      <c r="V64" s="30">
        <v>47</v>
      </c>
      <c r="W64" s="30">
        <v>0</v>
      </c>
      <c r="X64" s="30">
        <v>0</v>
      </c>
      <c r="Y64" s="30">
        <v>41</v>
      </c>
      <c r="Z64" s="30">
        <v>38</v>
      </c>
      <c r="AA64" s="23" t="s">
        <v>14</v>
      </c>
      <c r="AB64" s="23" t="s">
        <v>167</v>
      </c>
      <c r="AC64" s="23" t="s">
        <v>153</v>
      </c>
      <c r="AD64" s="23">
        <f t="shared" si="0"/>
        <v>1.5835777126099706</v>
      </c>
      <c r="AE64" s="23">
        <f t="shared" si="1"/>
        <v>5.0408211143695016</v>
      </c>
      <c r="AF64" s="23">
        <f t="shared" si="2"/>
        <v>0.31627906976744186</v>
      </c>
    </row>
    <row r="65" spans="1:32" ht="15.75" customHeight="1" x14ac:dyDescent="0.15">
      <c r="A65" s="34">
        <v>64</v>
      </c>
      <c r="B65" s="35" t="s">
        <v>2747</v>
      </c>
      <c r="C65" s="50" t="s">
        <v>198</v>
      </c>
      <c r="D65" s="34">
        <v>2.5</v>
      </c>
      <c r="E65" s="34">
        <v>35</v>
      </c>
      <c r="F65" s="34">
        <v>3</v>
      </c>
      <c r="G65" s="34">
        <v>2</v>
      </c>
      <c r="H65" s="34">
        <v>0</v>
      </c>
      <c r="I65" s="34">
        <v>2</v>
      </c>
      <c r="J65" s="34">
        <v>3</v>
      </c>
      <c r="K65" s="34">
        <v>0</v>
      </c>
      <c r="L65" s="34">
        <v>0</v>
      </c>
      <c r="M65" s="34">
        <v>0</v>
      </c>
      <c r="N65" s="34">
        <v>0.6</v>
      </c>
      <c r="O65" s="34">
        <v>277</v>
      </c>
      <c r="P65" s="33">
        <v>68.099999999999994</v>
      </c>
      <c r="Q65" s="34">
        <v>60</v>
      </c>
      <c r="R65" s="34">
        <v>6</v>
      </c>
      <c r="S65" s="34">
        <v>16</v>
      </c>
      <c r="T65" s="34">
        <v>1</v>
      </c>
      <c r="U65" s="34">
        <v>5</v>
      </c>
      <c r="V65" s="34">
        <v>32</v>
      </c>
      <c r="W65" s="34">
        <v>0</v>
      </c>
      <c r="X65" s="34">
        <v>0</v>
      </c>
      <c r="Y65" s="34">
        <v>19</v>
      </c>
      <c r="Z65" s="34">
        <v>19</v>
      </c>
      <c r="AA65" s="24" t="s">
        <v>15</v>
      </c>
      <c r="AB65" s="24" t="s">
        <v>200</v>
      </c>
      <c r="AC65" s="24" t="s">
        <v>154</v>
      </c>
      <c r="AD65" s="23">
        <f t="shared" si="0"/>
        <v>1.1160058737151248</v>
      </c>
      <c r="AE65" s="23">
        <f t="shared" si="1"/>
        <v>4.2066372980910423</v>
      </c>
      <c r="AF65" s="23">
        <f t="shared" si="2"/>
        <v>0.24884792626728111</v>
      </c>
    </row>
    <row r="66" spans="1:32" ht="15.75" customHeight="1" x14ac:dyDescent="0.15">
      <c r="A66" s="30">
        <v>64</v>
      </c>
      <c r="B66" s="31" t="s">
        <v>2748</v>
      </c>
      <c r="C66" s="47" t="s">
        <v>2654</v>
      </c>
      <c r="D66" s="30">
        <v>3.42</v>
      </c>
      <c r="E66" s="30">
        <v>13</v>
      </c>
      <c r="F66" s="30">
        <v>4</v>
      </c>
      <c r="G66" s="30">
        <v>4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0.5</v>
      </c>
      <c r="O66" s="30">
        <v>295</v>
      </c>
      <c r="P66" s="33">
        <v>68.099999999999994</v>
      </c>
      <c r="Q66" s="30">
        <v>74</v>
      </c>
      <c r="R66" s="30">
        <v>3</v>
      </c>
      <c r="S66" s="30">
        <v>23</v>
      </c>
      <c r="T66" s="30">
        <v>4</v>
      </c>
      <c r="U66" s="30">
        <v>0</v>
      </c>
      <c r="V66" s="30">
        <v>49</v>
      </c>
      <c r="W66" s="30">
        <v>0</v>
      </c>
      <c r="X66" s="30">
        <v>0</v>
      </c>
      <c r="Y66" s="30">
        <v>32</v>
      </c>
      <c r="Z66" s="30">
        <v>26</v>
      </c>
      <c r="AA66" s="23" t="s">
        <v>15</v>
      </c>
      <c r="AB66" s="23" t="s">
        <v>220</v>
      </c>
      <c r="AC66" s="23" t="s">
        <v>220</v>
      </c>
      <c r="AD66" s="23">
        <f t="shared" si="0"/>
        <v>1.4243759177679884</v>
      </c>
      <c r="AE66" s="23">
        <f t="shared" si="1"/>
        <v>3.0906314243759181</v>
      </c>
      <c r="AF66" s="23">
        <f t="shared" si="2"/>
        <v>0.32870370370370372</v>
      </c>
    </row>
    <row r="67" spans="1:32" ht="15.75" customHeight="1" x14ac:dyDescent="0.15">
      <c r="A67" s="34">
        <v>66</v>
      </c>
      <c r="B67" s="35" t="s">
        <v>2749</v>
      </c>
      <c r="C67" s="57" t="s">
        <v>2654</v>
      </c>
      <c r="D67" s="34">
        <v>2.31</v>
      </c>
      <c r="E67" s="34">
        <v>11</v>
      </c>
      <c r="F67" s="34">
        <v>5</v>
      </c>
      <c r="G67" s="34">
        <v>4</v>
      </c>
      <c r="H67" s="34">
        <v>0</v>
      </c>
      <c r="I67" s="34">
        <v>0</v>
      </c>
      <c r="J67" s="34">
        <v>0</v>
      </c>
      <c r="K67" s="34">
        <v>1</v>
      </c>
      <c r="L67" s="34">
        <v>1</v>
      </c>
      <c r="M67" s="34">
        <v>0</v>
      </c>
      <c r="N67" s="34">
        <v>0.55600000000000005</v>
      </c>
      <c r="O67" s="34">
        <v>263</v>
      </c>
      <c r="P67" s="33">
        <v>66.099999999999994</v>
      </c>
      <c r="Q67" s="34">
        <v>53</v>
      </c>
      <c r="R67" s="34">
        <v>4</v>
      </c>
      <c r="S67" s="34">
        <v>12</v>
      </c>
      <c r="T67" s="34">
        <v>1</v>
      </c>
      <c r="U67" s="34">
        <v>4</v>
      </c>
      <c r="V67" s="34">
        <v>54</v>
      </c>
      <c r="W67" s="34">
        <v>1</v>
      </c>
      <c r="X67" s="34">
        <v>0</v>
      </c>
      <c r="Y67" s="34">
        <v>18</v>
      </c>
      <c r="Z67" s="34">
        <v>17</v>
      </c>
      <c r="AA67" s="24" t="s">
        <v>15</v>
      </c>
      <c r="AB67" s="24" t="s">
        <v>117</v>
      </c>
      <c r="AC67" s="24" t="s">
        <v>122</v>
      </c>
      <c r="AD67" s="23">
        <f t="shared" si="0"/>
        <v>0.98335854765506814</v>
      </c>
      <c r="AE67" s="23">
        <f t="shared" si="1"/>
        <v>2.953585476550681</v>
      </c>
      <c r="AF67" s="23">
        <f t="shared" si="2"/>
        <v>0.26063829787234044</v>
      </c>
    </row>
    <row r="68" spans="1:32" ht="15.75" customHeight="1" x14ac:dyDescent="0.15">
      <c r="A68" s="30">
        <v>67</v>
      </c>
      <c r="B68" s="31" t="s">
        <v>2750</v>
      </c>
      <c r="C68" s="44" t="s">
        <v>2653</v>
      </c>
      <c r="D68" s="30">
        <v>2.86</v>
      </c>
      <c r="E68" s="30">
        <v>32</v>
      </c>
      <c r="F68" s="30">
        <v>4</v>
      </c>
      <c r="G68" s="30">
        <v>4</v>
      </c>
      <c r="H68" s="30">
        <v>0</v>
      </c>
      <c r="I68" s="30">
        <v>4</v>
      </c>
      <c r="J68" s="30">
        <v>5</v>
      </c>
      <c r="K68" s="30">
        <v>0</v>
      </c>
      <c r="L68" s="30">
        <v>0</v>
      </c>
      <c r="M68" s="30">
        <v>0</v>
      </c>
      <c r="N68" s="30">
        <v>0.5</v>
      </c>
      <c r="O68" s="30">
        <v>276</v>
      </c>
      <c r="P68" s="33">
        <v>66</v>
      </c>
      <c r="Q68" s="30">
        <v>58</v>
      </c>
      <c r="R68" s="30">
        <v>10</v>
      </c>
      <c r="S68" s="30">
        <v>19</v>
      </c>
      <c r="T68" s="30">
        <v>0</v>
      </c>
      <c r="U68" s="30">
        <v>1</v>
      </c>
      <c r="V68" s="30">
        <v>67</v>
      </c>
      <c r="W68" s="30">
        <v>2</v>
      </c>
      <c r="X68" s="30">
        <v>0</v>
      </c>
      <c r="Y68" s="30">
        <v>24</v>
      </c>
      <c r="Z68" s="30">
        <v>21</v>
      </c>
      <c r="AA68" s="23" t="s">
        <v>15</v>
      </c>
      <c r="AB68" s="23" t="s">
        <v>194</v>
      </c>
      <c r="AC68" s="23" t="s">
        <v>184</v>
      </c>
      <c r="AD68" s="23">
        <f t="shared" si="0"/>
        <v>1.1666666666666667</v>
      </c>
      <c r="AE68" s="23">
        <f t="shared" si="1"/>
        <v>3.9684848484848487</v>
      </c>
      <c r="AF68" s="23">
        <f t="shared" si="2"/>
        <v>0.26815642458100558</v>
      </c>
    </row>
    <row r="69" spans="1:32" ht="15.75" customHeight="1" x14ac:dyDescent="0.15">
      <c r="A69" s="34">
        <v>67</v>
      </c>
      <c r="B69" s="35" t="s">
        <v>2751</v>
      </c>
      <c r="C69" s="42" t="s">
        <v>2652</v>
      </c>
      <c r="D69" s="34">
        <v>2.73</v>
      </c>
      <c r="E69" s="34">
        <v>11</v>
      </c>
      <c r="F69" s="34">
        <v>5</v>
      </c>
      <c r="G69" s="34">
        <v>5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0.5</v>
      </c>
      <c r="O69" s="34">
        <v>272</v>
      </c>
      <c r="P69" s="33">
        <v>66</v>
      </c>
      <c r="Q69" s="34">
        <v>61</v>
      </c>
      <c r="R69" s="34">
        <v>7</v>
      </c>
      <c r="S69" s="34">
        <v>16</v>
      </c>
      <c r="T69" s="34">
        <v>0</v>
      </c>
      <c r="U69" s="34">
        <v>1</v>
      </c>
      <c r="V69" s="34">
        <v>50</v>
      </c>
      <c r="W69" s="34">
        <v>1</v>
      </c>
      <c r="X69" s="34">
        <v>0</v>
      </c>
      <c r="Y69" s="34">
        <v>24</v>
      </c>
      <c r="Z69" s="34">
        <v>20</v>
      </c>
      <c r="AA69" s="24" t="s">
        <v>15</v>
      </c>
      <c r="AB69" s="24" t="s">
        <v>163</v>
      </c>
      <c r="AC69" s="24" t="s">
        <v>159</v>
      </c>
      <c r="AD69" s="23">
        <f t="shared" si="0"/>
        <v>1.1666666666666667</v>
      </c>
      <c r="AE69" s="23">
        <f t="shared" si="1"/>
        <v>3.7563636363636363</v>
      </c>
      <c r="AF69" s="23">
        <f t="shared" si="2"/>
        <v>0.27272727272727271</v>
      </c>
    </row>
    <row r="70" spans="1:32" ht="15.75" customHeight="1" x14ac:dyDescent="0.15">
      <c r="A70" s="30">
        <v>69</v>
      </c>
      <c r="B70" s="31" t="s">
        <v>2752</v>
      </c>
      <c r="C70" s="41" t="s">
        <v>2651</v>
      </c>
      <c r="D70" s="30">
        <v>3.92</v>
      </c>
      <c r="E70" s="30">
        <v>12</v>
      </c>
      <c r="F70" s="30">
        <v>4</v>
      </c>
      <c r="G70" s="30">
        <v>3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0.57099999999999995</v>
      </c>
      <c r="O70" s="30">
        <v>268</v>
      </c>
      <c r="P70" s="33">
        <v>64.099999999999994</v>
      </c>
      <c r="Q70" s="30">
        <v>74</v>
      </c>
      <c r="R70" s="30">
        <v>9</v>
      </c>
      <c r="S70" s="30">
        <v>7</v>
      </c>
      <c r="T70" s="30">
        <v>1</v>
      </c>
      <c r="U70" s="30">
        <v>1</v>
      </c>
      <c r="V70" s="30">
        <v>46</v>
      </c>
      <c r="W70" s="30">
        <v>1</v>
      </c>
      <c r="X70" s="30">
        <v>0</v>
      </c>
      <c r="Y70" s="30">
        <v>29</v>
      </c>
      <c r="Z70" s="30">
        <v>28</v>
      </c>
      <c r="AA70" s="23" t="s">
        <v>15</v>
      </c>
      <c r="AB70" s="23" t="s">
        <v>153</v>
      </c>
      <c r="AC70" s="23" t="s">
        <v>153</v>
      </c>
      <c r="AD70" s="23">
        <f t="shared" si="0"/>
        <v>1.263650546021841</v>
      </c>
      <c r="AE70" s="23">
        <f t="shared" si="1"/>
        <v>3.8376287051482061</v>
      </c>
      <c r="AF70" s="23">
        <f t="shared" si="2"/>
        <v>0.31862745098039214</v>
      </c>
    </row>
    <row r="71" spans="1:32" ht="15.75" customHeight="1" x14ac:dyDescent="0.15">
      <c r="A71" s="34">
        <v>70</v>
      </c>
      <c r="B71" s="35" t="s">
        <v>2753</v>
      </c>
      <c r="C71" s="51" t="s">
        <v>2655</v>
      </c>
      <c r="D71" s="34">
        <v>5.23</v>
      </c>
      <c r="E71" s="34">
        <v>14</v>
      </c>
      <c r="F71" s="34">
        <v>6</v>
      </c>
      <c r="G71" s="34">
        <v>5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0.54500000000000004</v>
      </c>
      <c r="O71" s="34">
        <v>296</v>
      </c>
      <c r="P71" s="33">
        <v>63.2</v>
      </c>
      <c r="Q71" s="34">
        <v>76</v>
      </c>
      <c r="R71" s="34">
        <v>7</v>
      </c>
      <c r="S71" s="34">
        <v>31</v>
      </c>
      <c r="T71" s="34">
        <v>1</v>
      </c>
      <c r="U71" s="34">
        <v>3</v>
      </c>
      <c r="V71" s="34">
        <v>57</v>
      </c>
      <c r="W71" s="34">
        <v>7</v>
      </c>
      <c r="X71" s="34">
        <v>0</v>
      </c>
      <c r="Y71" s="34">
        <v>39</v>
      </c>
      <c r="Z71" s="34">
        <v>37</v>
      </c>
      <c r="AA71" s="24" t="s">
        <v>15</v>
      </c>
      <c r="AB71" s="24" t="s">
        <v>112</v>
      </c>
      <c r="AC71" s="24" t="s">
        <v>112</v>
      </c>
      <c r="AD71" s="23">
        <f t="shared" si="0"/>
        <v>1.6930379746835442</v>
      </c>
      <c r="AE71" s="23">
        <f t="shared" si="1"/>
        <v>4.3225316455696206</v>
      </c>
      <c r="AF71" s="23">
        <f t="shared" si="2"/>
        <v>0.35025380710659898</v>
      </c>
    </row>
    <row r="72" spans="1:32" ht="15.75" customHeight="1" x14ac:dyDescent="0.15">
      <c r="A72" s="30">
        <v>71</v>
      </c>
      <c r="B72" s="31" t="s">
        <v>2754</v>
      </c>
      <c r="C72" s="46" t="s">
        <v>2648</v>
      </c>
      <c r="D72" s="30">
        <v>5.89</v>
      </c>
      <c r="E72" s="30">
        <v>18</v>
      </c>
      <c r="F72" s="30">
        <v>2</v>
      </c>
      <c r="G72" s="30">
        <v>5</v>
      </c>
      <c r="H72" s="30">
        <v>0</v>
      </c>
      <c r="I72" s="30">
        <v>1</v>
      </c>
      <c r="J72" s="30">
        <v>1</v>
      </c>
      <c r="K72" s="30">
        <v>0</v>
      </c>
      <c r="L72" s="30">
        <v>0</v>
      </c>
      <c r="M72" s="30">
        <v>0</v>
      </c>
      <c r="N72" s="30">
        <v>0.28599999999999998</v>
      </c>
      <c r="O72" s="30">
        <v>273</v>
      </c>
      <c r="P72" s="33">
        <v>62.2</v>
      </c>
      <c r="Q72" s="30">
        <v>72</v>
      </c>
      <c r="R72" s="30">
        <v>12</v>
      </c>
      <c r="S72" s="30">
        <v>16</v>
      </c>
      <c r="T72" s="30">
        <v>1</v>
      </c>
      <c r="U72" s="30">
        <v>4</v>
      </c>
      <c r="V72" s="30">
        <v>44</v>
      </c>
      <c r="W72" s="30">
        <v>0</v>
      </c>
      <c r="X72" s="30">
        <v>0</v>
      </c>
      <c r="Y72" s="30">
        <v>41</v>
      </c>
      <c r="Z72" s="30">
        <v>41</v>
      </c>
      <c r="AA72" s="23" t="s">
        <v>15</v>
      </c>
      <c r="AB72" s="23" t="s">
        <v>177</v>
      </c>
      <c r="AC72" s="23" t="s">
        <v>177</v>
      </c>
      <c r="AD72" s="23">
        <f t="shared" si="0"/>
        <v>1.4147909967845658</v>
      </c>
      <c r="AE72" s="23">
        <f t="shared" si="1"/>
        <v>5.1296463022508041</v>
      </c>
      <c r="AF72" s="23">
        <f t="shared" si="2"/>
        <v>0.30612244897959184</v>
      </c>
    </row>
    <row r="73" spans="1:32" ht="15.75" customHeight="1" x14ac:dyDescent="0.15">
      <c r="A73" s="34">
        <v>72</v>
      </c>
      <c r="B73" s="35" t="s">
        <v>2755</v>
      </c>
      <c r="C73" s="40" t="s">
        <v>2650</v>
      </c>
      <c r="D73" s="34">
        <v>1.59</v>
      </c>
      <c r="E73" s="34">
        <v>62</v>
      </c>
      <c r="F73" s="34">
        <v>4</v>
      </c>
      <c r="G73" s="34">
        <v>2</v>
      </c>
      <c r="H73" s="34">
        <v>17</v>
      </c>
      <c r="I73" s="34">
        <v>30</v>
      </c>
      <c r="J73" s="34">
        <v>34</v>
      </c>
      <c r="K73" s="34">
        <v>0</v>
      </c>
      <c r="L73" s="34">
        <v>0</v>
      </c>
      <c r="M73" s="34">
        <v>0</v>
      </c>
      <c r="N73" s="34">
        <v>0.66700000000000004</v>
      </c>
      <c r="O73" s="34">
        <v>249</v>
      </c>
      <c r="P73" s="33">
        <v>62.1</v>
      </c>
      <c r="Q73" s="34">
        <v>34</v>
      </c>
      <c r="R73" s="34">
        <v>2</v>
      </c>
      <c r="S73" s="34">
        <v>25</v>
      </c>
      <c r="T73" s="34">
        <v>2</v>
      </c>
      <c r="U73" s="34">
        <v>3</v>
      </c>
      <c r="V73" s="34">
        <v>82</v>
      </c>
      <c r="W73" s="34">
        <v>0</v>
      </c>
      <c r="X73" s="34">
        <v>0</v>
      </c>
      <c r="Y73" s="34">
        <v>12</v>
      </c>
      <c r="Z73" s="34">
        <v>11</v>
      </c>
      <c r="AA73" s="24" t="s">
        <v>15</v>
      </c>
      <c r="AB73" s="24" t="s">
        <v>86</v>
      </c>
      <c r="AC73" s="24" t="s">
        <v>80</v>
      </c>
      <c r="AD73" s="23">
        <f t="shared" si="0"/>
        <v>0.9500805152979066</v>
      </c>
      <c r="AE73" s="23">
        <f t="shared" si="1"/>
        <v>2.1538164251207732</v>
      </c>
      <c r="AF73" s="23">
        <f t="shared" si="2"/>
        <v>0.23703703703703705</v>
      </c>
    </row>
    <row r="74" spans="1:32" ht="15.75" customHeight="1" x14ac:dyDescent="0.15">
      <c r="A74" s="30">
        <v>73</v>
      </c>
      <c r="B74" s="31" t="s">
        <v>2756</v>
      </c>
      <c r="C74" s="47" t="s">
        <v>2654</v>
      </c>
      <c r="D74" s="30">
        <v>4.72</v>
      </c>
      <c r="E74" s="30">
        <v>18</v>
      </c>
      <c r="F74" s="30">
        <v>3</v>
      </c>
      <c r="G74" s="30">
        <v>4</v>
      </c>
      <c r="H74" s="30">
        <v>0</v>
      </c>
      <c r="I74" s="30">
        <v>1</v>
      </c>
      <c r="J74" s="30">
        <v>2</v>
      </c>
      <c r="K74" s="30">
        <v>0</v>
      </c>
      <c r="L74" s="30">
        <v>0</v>
      </c>
      <c r="M74" s="30">
        <v>0</v>
      </c>
      <c r="N74" s="30">
        <v>0.42899999999999999</v>
      </c>
      <c r="O74" s="30">
        <v>265</v>
      </c>
      <c r="P74" s="33">
        <v>61</v>
      </c>
      <c r="Q74" s="30">
        <v>72</v>
      </c>
      <c r="R74" s="30">
        <v>9</v>
      </c>
      <c r="S74" s="30">
        <v>20</v>
      </c>
      <c r="T74" s="30">
        <v>0</v>
      </c>
      <c r="U74" s="30">
        <v>2</v>
      </c>
      <c r="V74" s="30">
        <v>43</v>
      </c>
      <c r="W74" s="30">
        <v>1</v>
      </c>
      <c r="X74" s="30">
        <v>0</v>
      </c>
      <c r="Y74" s="30">
        <v>32</v>
      </c>
      <c r="Z74" s="30">
        <v>32</v>
      </c>
      <c r="AA74" s="23" t="s">
        <v>15</v>
      </c>
      <c r="AB74" s="23" t="s">
        <v>173</v>
      </c>
      <c r="AC74" s="23" t="s">
        <v>154</v>
      </c>
      <c r="AD74" s="23">
        <f t="shared" si="0"/>
        <v>1.5081967213114753</v>
      </c>
      <c r="AE74" s="23">
        <f t="shared" si="1"/>
        <v>4.7101639344262294</v>
      </c>
      <c r="AF74" s="23">
        <f t="shared" si="2"/>
        <v>0.32984293193717279</v>
      </c>
    </row>
    <row r="75" spans="1:32" ht="15.75" customHeight="1" x14ac:dyDescent="0.15">
      <c r="A75" s="34">
        <v>74</v>
      </c>
      <c r="B75" s="35" t="s">
        <v>2757</v>
      </c>
      <c r="C75" s="50" t="s">
        <v>198</v>
      </c>
      <c r="D75" s="34">
        <v>2.37</v>
      </c>
      <c r="E75" s="34">
        <v>62</v>
      </c>
      <c r="F75" s="34">
        <v>5</v>
      </c>
      <c r="G75" s="34">
        <v>2</v>
      </c>
      <c r="H75" s="34">
        <v>27</v>
      </c>
      <c r="I75" s="34">
        <v>12</v>
      </c>
      <c r="J75" s="34">
        <v>17</v>
      </c>
      <c r="K75" s="34">
        <v>0</v>
      </c>
      <c r="L75" s="34">
        <v>0</v>
      </c>
      <c r="M75" s="34">
        <v>0</v>
      </c>
      <c r="N75" s="34">
        <v>0.71399999999999997</v>
      </c>
      <c r="O75" s="34">
        <v>243</v>
      </c>
      <c r="P75" s="33">
        <v>60.2</v>
      </c>
      <c r="Q75" s="34">
        <v>45</v>
      </c>
      <c r="R75" s="34">
        <v>4</v>
      </c>
      <c r="S75" s="34">
        <v>16</v>
      </c>
      <c r="T75" s="34">
        <v>3</v>
      </c>
      <c r="U75" s="34">
        <v>3</v>
      </c>
      <c r="V75" s="34">
        <v>84</v>
      </c>
      <c r="W75" s="34">
        <v>6</v>
      </c>
      <c r="X75" s="34">
        <v>0</v>
      </c>
      <c r="Y75" s="34">
        <v>19</v>
      </c>
      <c r="Z75" s="34">
        <v>16</v>
      </c>
      <c r="AA75" s="24" t="s">
        <v>15</v>
      </c>
      <c r="AB75" s="24" t="s">
        <v>123</v>
      </c>
      <c r="AC75" s="24" t="s">
        <v>117</v>
      </c>
      <c r="AD75" s="23">
        <f t="shared" si="0"/>
        <v>1.0132890365448504</v>
      </c>
      <c r="AE75" s="23">
        <f t="shared" si="1"/>
        <v>1.9904318936877079</v>
      </c>
      <c r="AF75" s="23">
        <f t="shared" si="2"/>
        <v>0.30827067669172931</v>
      </c>
    </row>
    <row r="76" spans="1:32" ht="15.75" customHeight="1" x14ac:dyDescent="0.15">
      <c r="A76" s="30">
        <v>74</v>
      </c>
      <c r="B76" s="31" t="s">
        <v>2758</v>
      </c>
      <c r="C76" s="52" t="s">
        <v>2646</v>
      </c>
      <c r="D76" s="30">
        <v>2.67</v>
      </c>
      <c r="E76" s="30">
        <v>17</v>
      </c>
      <c r="F76" s="30">
        <v>5</v>
      </c>
      <c r="G76" s="30">
        <v>1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0.83299999999999996</v>
      </c>
      <c r="O76" s="30">
        <v>243</v>
      </c>
      <c r="P76" s="33">
        <v>60.2</v>
      </c>
      <c r="Q76" s="30">
        <v>54</v>
      </c>
      <c r="R76" s="30">
        <v>7</v>
      </c>
      <c r="S76" s="30">
        <v>18</v>
      </c>
      <c r="T76" s="30">
        <v>0</v>
      </c>
      <c r="U76" s="30">
        <v>3</v>
      </c>
      <c r="V76" s="30">
        <v>30</v>
      </c>
      <c r="W76" s="30">
        <v>1</v>
      </c>
      <c r="X76" s="30">
        <v>0</v>
      </c>
      <c r="Y76" s="30">
        <v>18</v>
      </c>
      <c r="Z76" s="30">
        <v>18</v>
      </c>
      <c r="AA76" s="23" t="s">
        <v>15</v>
      </c>
      <c r="AB76" s="23" t="s">
        <v>86</v>
      </c>
      <c r="AC76" s="23" t="s">
        <v>86</v>
      </c>
      <c r="AD76" s="23">
        <f t="shared" si="0"/>
        <v>1.1960132890365447</v>
      </c>
      <c r="AE76" s="23">
        <f t="shared" si="1"/>
        <v>4.6814617940199339</v>
      </c>
      <c r="AF76" s="23">
        <f t="shared" si="2"/>
        <v>0.25405405405405407</v>
      </c>
    </row>
    <row r="77" spans="1:32" ht="15.75" customHeight="1" x14ac:dyDescent="0.15">
      <c r="A77" s="34">
        <v>74</v>
      </c>
      <c r="B77" s="35" t="s">
        <v>2759</v>
      </c>
      <c r="C77" s="42" t="s">
        <v>2652</v>
      </c>
      <c r="D77" s="34">
        <v>4.01</v>
      </c>
      <c r="E77" s="34">
        <v>16</v>
      </c>
      <c r="F77" s="34">
        <v>3</v>
      </c>
      <c r="G77" s="34">
        <v>4</v>
      </c>
      <c r="H77" s="34">
        <v>0</v>
      </c>
      <c r="I77" s="34">
        <v>1</v>
      </c>
      <c r="J77" s="34">
        <v>2</v>
      </c>
      <c r="K77" s="34">
        <v>0</v>
      </c>
      <c r="L77" s="34">
        <v>0</v>
      </c>
      <c r="M77" s="34">
        <v>0</v>
      </c>
      <c r="N77" s="34">
        <v>0.42899999999999999</v>
      </c>
      <c r="O77" s="34">
        <v>271</v>
      </c>
      <c r="P77" s="33">
        <v>60.2</v>
      </c>
      <c r="Q77" s="34">
        <v>67</v>
      </c>
      <c r="R77" s="34">
        <v>5</v>
      </c>
      <c r="S77" s="34">
        <v>23</v>
      </c>
      <c r="T77" s="34">
        <v>0</v>
      </c>
      <c r="U77" s="34">
        <v>6</v>
      </c>
      <c r="V77" s="34">
        <v>45</v>
      </c>
      <c r="W77" s="34">
        <v>2</v>
      </c>
      <c r="X77" s="34">
        <v>0</v>
      </c>
      <c r="Y77" s="34">
        <v>28</v>
      </c>
      <c r="Z77" s="34">
        <v>27</v>
      </c>
      <c r="AA77" s="24" t="s">
        <v>15</v>
      </c>
      <c r="AB77" s="24" t="s">
        <v>189</v>
      </c>
      <c r="AC77" s="24" t="s">
        <v>184</v>
      </c>
      <c r="AD77" s="23">
        <f t="shared" si="0"/>
        <v>1.4950166112956811</v>
      </c>
      <c r="AE77" s="23">
        <f t="shared" si="1"/>
        <v>4.1499003322259131</v>
      </c>
      <c r="AF77" s="23">
        <f t="shared" si="2"/>
        <v>0.32291666666666669</v>
      </c>
    </row>
    <row r="78" spans="1:32" ht="15.75" customHeight="1" x14ac:dyDescent="0.15">
      <c r="A78" s="30">
        <v>77</v>
      </c>
      <c r="B78" s="31" t="s">
        <v>2760</v>
      </c>
      <c r="C78" s="32" t="s">
        <v>2645</v>
      </c>
      <c r="D78" s="30">
        <v>1.05</v>
      </c>
      <c r="E78" s="30">
        <v>57</v>
      </c>
      <c r="F78" s="30">
        <v>3</v>
      </c>
      <c r="G78" s="30">
        <v>1</v>
      </c>
      <c r="H78" s="30">
        <v>12</v>
      </c>
      <c r="I78" s="30">
        <v>13</v>
      </c>
      <c r="J78" s="30">
        <v>16</v>
      </c>
      <c r="K78" s="30">
        <v>0</v>
      </c>
      <c r="L78" s="30">
        <v>0</v>
      </c>
      <c r="M78" s="30">
        <v>0</v>
      </c>
      <c r="N78" s="30">
        <v>0.75</v>
      </c>
      <c r="O78" s="30">
        <v>238</v>
      </c>
      <c r="P78" s="33">
        <v>60</v>
      </c>
      <c r="Q78" s="30">
        <v>45</v>
      </c>
      <c r="R78" s="30">
        <v>0</v>
      </c>
      <c r="S78" s="30">
        <v>15</v>
      </c>
      <c r="T78" s="30">
        <v>1</v>
      </c>
      <c r="U78" s="30">
        <v>1</v>
      </c>
      <c r="V78" s="30">
        <v>80</v>
      </c>
      <c r="W78" s="30">
        <v>0</v>
      </c>
      <c r="X78" s="30">
        <v>0</v>
      </c>
      <c r="Y78" s="30">
        <v>9</v>
      </c>
      <c r="Z78" s="30">
        <v>7</v>
      </c>
      <c r="AA78" s="23" t="s">
        <v>15</v>
      </c>
      <c r="AB78" s="23" t="s">
        <v>98</v>
      </c>
      <c r="AC78" s="23" t="s">
        <v>98</v>
      </c>
      <c r="AD78" s="23">
        <f t="shared" si="0"/>
        <v>1</v>
      </c>
      <c r="AE78" s="23">
        <f t="shared" si="1"/>
        <v>1.2033333333333334</v>
      </c>
      <c r="AF78" s="23">
        <f t="shared" si="2"/>
        <v>0.31914893617021278</v>
      </c>
    </row>
    <row r="79" spans="1:32" ht="15.75" customHeight="1" x14ac:dyDescent="0.15">
      <c r="A79" s="34">
        <v>78</v>
      </c>
      <c r="B79" s="35" t="s">
        <v>2762</v>
      </c>
      <c r="C79" s="50" t="s">
        <v>198</v>
      </c>
      <c r="D79" s="34">
        <v>2.2599999999999998</v>
      </c>
      <c r="E79" s="34">
        <v>60</v>
      </c>
      <c r="F79" s="34">
        <v>5</v>
      </c>
      <c r="G79" s="34">
        <v>2</v>
      </c>
      <c r="H79" s="34">
        <v>0</v>
      </c>
      <c r="I79" s="34">
        <v>23</v>
      </c>
      <c r="J79" s="34">
        <v>28</v>
      </c>
      <c r="K79" s="34">
        <v>0</v>
      </c>
      <c r="L79" s="34">
        <v>0</v>
      </c>
      <c r="M79" s="34">
        <v>0</v>
      </c>
      <c r="N79" s="34">
        <v>0.71399999999999997</v>
      </c>
      <c r="O79" s="34">
        <v>241</v>
      </c>
      <c r="P79" s="33">
        <v>59.2</v>
      </c>
      <c r="Q79" s="34">
        <v>46</v>
      </c>
      <c r="R79" s="34">
        <v>6</v>
      </c>
      <c r="S79" s="34">
        <v>17</v>
      </c>
      <c r="T79" s="34">
        <v>6</v>
      </c>
      <c r="U79" s="34">
        <v>1</v>
      </c>
      <c r="V79" s="34">
        <v>61</v>
      </c>
      <c r="W79" s="34">
        <v>1</v>
      </c>
      <c r="X79" s="34">
        <v>1</v>
      </c>
      <c r="Y79" s="34">
        <v>15</v>
      </c>
      <c r="Z79" s="34">
        <v>15</v>
      </c>
      <c r="AA79" s="24" t="s">
        <v>15</v>
      </c>
      <c r="AB79" s="24" t="s">
        <v>105</v>
      </c>
      <c r="AC79" s="24" t="s">
        <v>105</v>
      </c>
      <c r="AD79" s="23">
        <f t="shared" si="0"/>
        <v>1.064189189189189</v>
      </c>
      <c r="AE79" s="23">
        <f t="shared" si="1"/>
        <v>2.984864864864865</v>
      </c>
      <c r="AF79" s="23">
        <f t="shared" si="2"/>
        <v>0.26666666666666666</v>
      </c>
    </row>
    <row r="80" spans="1:32" ht="15.75" customHeight="1" x14ac:dyDescent="0.15">
      <c r="A80" s="30">
        <v>78</v>
      </c>
      <c r="B80" s="31" t="s">
        <v>2761</v>
      </c>
      <c r="C80" s="44" t="s">
        <v>2653</v>
      </c>
      <c r="D80" s="30">
        <v>2.11</v>
      </c>
      <c r="E80" s="30">
        <v>46</v>
      </c>
      <c r="F80" s="30">
        <v>9</v>
      </c>
      <c r="G80" s="30">
        <v>1</v>
      </c>
      <c r="H80" s="30">
        <v>0</v>
      </c>
      <c r="I80" s="30">
        <v>11</v>
      </c>
      <c r="J80" s="30">
        <v>20</v>
      </c>
      <c r="K80" s="30">
        <v>0</v>
      </c>
      <c r="L80" s="30">
        <v>0</v>
      </c>
      <c r="M80" s="30">
        <v>0</v>
      </c>
      <c r="N80" s="30">
        <v>0.9</v>
      </c>
      <c r="O80" s="30">
        <v>231</v>
      </c>
      <c r="P80" s="33">
        <v>59.2</v>
      </c>
      <c r="Q80" s="30">
        <v>43</v>
      </c>
      <c r="R80" s="30">
        <v>5</v>
      </c>
      <c r="S80" s="30">
        <v>13</v>
      </c>
      <c r="T80" s="30">
        <v>0</v>
      </c>
      <c r="U80" s="30">
        <v>3</v>
      </c>
      <c r="V80" s="30">
        <v>43</v>
      </c>
      <c r="W80" s="30">
        <v>2</v>
      </c>
      <c r="X80" s="30">
        <v>0</v>
      </c>
      <c r="Y80" s="30">
        <v>14</v>
      </c>
      <c r="Z80" s="30">
        <v>14</v>
      </c>
      <c r="AA80" s="23" t="s">
        <v>15</v>
      </c>
      <c r="AB80" s="23" t="s">
        <v>117</v>
      </c>
      <c r="AC80" s="23" t="s">
        <v>105</v>
      </c>
      <c r="AD80" s="23">
        <f t="shared" si="0"/>
        <v>0.94594594594594594</v>
      </c>
      <c r="AE80" s="23">
        <f t="shared" si="1"/>
        <v>3.5760810810810812</v>
      </c>
      <c r="AF80" s="23">
        <f t="shared" si="2"/>
        <v>0.22754491017964071</v>
      </c>
    </row>
    <row r="81" spans="1:32" ht="15.75" customHeight="1" x14ac:dyDescent="0.15">
      <c r="A81" s="34">
        <v>80</v>
      </c>
      <c r="B81" s="35" t="s">
        <v>2763</v>
      </c>
      <c r="C81" s="58" t="s">
        <v>2645</v>
      </c>
      <c r="D81" s="34">
        <v>3.1</v>
      </c>
      <c r="E81" s="34">
        <v>12</v>
      </c>
      <c r="F81" s="34">
        <v>2</v>
      </c>
      <c r="G81" s="34">
        <v>3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0.4</v>
      </c>
      <c r="O81" s="34">
        <v>240</v>
      </c>
      <c r="P81" s="33">
        <v>58</v>
      </c>
      <c r="Q81" s="34">
        <v>52</v>
      </c>
      <c r="R81" s="34">
        <v>8</v>
      </c>
      <c r="S81" s="34">
        <v>15</v>
      </c>
      <c r="T81" s="34">
        <v>2</v>
      </c>
      <c r="U81" s="34">
        <v>2</v>
      </c>
      <c r="V81" s="34">
        <v>44</v>
      </c>
      <c r="W81" s="34">
        <v>0</v>
      </c>
      <c r="X81" s="34">
        <v>0</v>
      </c>
      <c r="Y81" s="34">
        <v>23</v>
      </c>
      <c r="Z81" s="34">
        <v>20</v>
      </c>
      <c r="AA81" s="24" t="s">
        <v>15</v>
      </c>
      <c r="AB81" s="24" t="s">
        <v>99</v>
      </c>
      <c r="AC81" s="24" t="s">
        <v>99</v>
      </c>
      <c r="AD81" s="23">
        <f t="shared" si="0"/>
        <v>1.1551724137931034</v>
      </c>
      <c r="AE81" s="23">
        <f t="shared" si="1"/>
        <v>4.1717241379310348</v>
      </c>
      <c r="AF81" s="23">
        <f t="shared" si="2"/>
        <v>0.26035502958579881</v>
      </c>
    </row>
    <row r="82" spans="1:32" ht="15.75" customHeight="1" x14ac:dyDescent="0.15">
      <c r="A82" s="30">
        <v>81</v>
      </c>
      <c r="B82" s="31" t="s">
        <v>2764</v>
      </c>
      <c r="C82" s="41" t="s">
        <v>2651</v>
      </c>
      <c r="D82" s="30">
        <v>5.31</v>
      </c>
      <c r="E82" s="30">
        <v>14</v>
      </c>
      <c r="F82" s="30">
        <v>2</v>
      </c>
      <c r="G82" s="30">
        <v>5</v>
      </c>
      <c r="H82" s="30">
        <v>0</v>
      </c>
      <c r="I82" s="30">
        <v>2</v>
      </c>
      <c r="J82" s="30">
        <v>2</v>
      </c>
      <c r="K82" s="30">
        <v>0</v>
      </c>
      <c r="L82" s="30">
        <v>0</v>
      </c>
      <c r="M82" s="30">
        <v>0</v>
      </c>
      <c r="N82" s="30">
        <v>0.28599999999999998</v>
      </c>
      <c r="O82" s="30">
        <v>256</v>
      </c>
      <c r="P82" s="33">
        <v>57.2</v>
      </c>
      <c r="Q82" s="30">
        <v>65</v>
      </c>
      <c r="R82" s="30">
        <v>9</v>
      </c>
      <c r="S82" s="30">
        <v>20</v>
      </c>
      <c r="T82" s="30">
        <v>0</v>
      </c>
      <c r="U82" s="30">
        <v>0</v>
      </c>
      <c r="V82" s="30">
        <v>56</v>
      </c>
      <c r="W82" s="30">
        <v>1</v>
      </c>
      <c r="X82" s="30">
        <v>0</v>
      </c>
      <c r="Y82" s="30">
        <v>35</v>
      </c>
      <c r="Z82" s="30">
        <v>34</v>
      </c>
      <c r="AA82" s="23" t="s">
        <v>15</v>
      </c>
      <c r="AB82" s="23" t="s">
        <v>122</v>
      </c>
      <c r="AC82" s="23" t="s">
        <v>122</v>
      </c>
      <c r="AD82" s="23">
        <f t="shared" si="0"/>
        <v>1.486013986013986</v>
      </c>
      <c r="AE82" s="23">
        <f t="shared" si="1"/>
        <v>4.2563636363636359</v>
      </c>
      <c r="AF82" s="23">
        <f t="shared" si="2"/>
        <v>0.32748538011695905</v>
      </c>
    </row>
    <row r="83" spans="1:32" ht="15.75" customHeight="1" x14ac:dyDescent="0.15">
      <c r="A83" s="34">
        <v>82</v>
      </c>
      <c r="B83" s="35" t="s">
        <v>2765</v>
      </c>
      <c r="C83" s="51" t="s">
        <v>2655</v>
      </c>
      <c r="D83" s="34">
        <v>5.34</v>
      </c>
      <c r="E83" s="34">
        <v>10</v>
      </c>
      <c r="F83" s="34">
        <v>3</v>
      </c>
      <c r="G83" s="34">
        <v>4</v>
      </c>
      <c r="H83" s="34">
        <v>0</v>
      </c>
      <c r="I83" s="34">
        <v>0</v>
      </c>
      <c r="J83" s="34">
        <v>0</v>
      </c>
      <c r="K83" s="34">
        <v>1</v>
      </c>
      <c r="L83" s="34">
        <v>1</v>
      </c>
      <c r="M83" s="34">
        <v>0</v>
      </c>
      <c r="N83" s="34">
        <v>0.42899999999999999</v>
      </c>
      <c r="O83" s="34">
        <v>257</v>
      </c>
      <c r="P83" s="33">
        <v>57.1</v>
      </c>
      <c r="Q83" s="34">
        <v>69</v>
      </c>
      <c r="R83" s="34">
        <v>11</v>
      </c>
      <c r="S83" s="34">
        <v>20</v>
      </c>
      <c r="T83" s="34">
        <v>0</v>
      </c>
      <c r="U83" s="34">
        <v>1</v>
      </c>
      <c r="V83" s="34">
        <v>36</v>
      </c>
      <c r="W83" s="34">
        <v>0</v>
      </c>
      <c r="X83" s="34">
        <v>0</v>
      </c>
      <c r="Y83" s="34">
        <v>36</v>
      </c>
      <c r="Z83" s="34">
        <v>34</v>
      </c>
      <c r="AA83" s="24" t="s">
        <v>14</v>
      </c>
      <c r="AB83" s="24" t="s">
        <v>98</v>
      </c>
      <c r="AC83" s="24" t="s">
        <v>98</v>
      </c>
      <c r="AD83" s="23">
        <f t="shared" si="0"/>
        <v>1.5586690017513134</v>
      </c>
      <c r="AE83" s="23">
        <f t="shared" si="1"/>
        <v>5.4667600700525396</v>
      </c>
      <c r="AF83" s="23">
        <f t="shared" si="2"/>
        <v>0.30687830687830686</v>
      </c>
    </row>
    <row r="84" spans="1:32" ht="15.75" customHeight="1" x14ac:dyDescent="0.15">
      <c r="A84" s="30">
        <v>83</v>
      </c>
      <c r="B84" s="31" t="s">
        <v>2766</v>
      </c>
      <c r="C84" s="47" t="s">
        <v>2654</v>
      </c>
      <c r="D84" s="30">
        <v>3</v>
      </c>
      <c r="E84" s="30">
        <v>14</v>
      </c>
      <c r="F84" s="30">
        <v>2</v>
      </c>
      <c r="G84" s="30">
        <v>4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0.33300000000000002</v>
      </c>
      <c r="O84" s="30">
        <v>245</v>
      </c>
      <c r="P84" s="33">
        <v>57</v>
      </c>
      <c r="Q84" s="30">
        <v>47</v>
      </c>
      <c r="R84" s="30">
        <v>10</v>
      </c>
      <c r="S84" s="30">
        <v>25</v>
      </c>
      <c r="T84" s="30">
        <v>1</v>
      </c>
      <c r="U84" s="30">
        <v>4</v>
      </c>
      <c r="V84" s="30">
        <v>65</v>
      </c>
      <c r="W84" s="30">
        <v>1</v>
      </c>
      <c r="X84" s="30">
        <v>0</v>
      </c>
      <c r="Y84" s="30">
        <v>19</v>
      </c>
      <c r="Z84" s="30">
        <v>19</v>
      </c>
      <c r="AA84" s="23" t="s">
        <v>15</v>
      </c>
      <c r="AB84" s="23" t="s">
        <v>80</v>
      </c>
      <c r="AC84" s="23" t="s">
        <v>64</v>
      </c>
      <c r="AD84" s="23">
        <f t="shared" si="0"/>
        <v>1.263157894736842</v>
      </c>
      <c r="AE84" s="23">
        <f t="shared" si="1"/>
        <v>4.593684210526316</v>
      </c>
      <c r="AF84" s="23">
        <f t="shared" si="2"/>
        <v>0.26428571428571429</v>
      </c>
    </row>
    <row r="85" spans="1:32" ht="15.75" customHeight="1" x14ac:dyDescent="0.15">
      <c r="A85" s="34">
        <v>84</v>
      </c>
      <c r="B85" s="35" t="s">
        <v>2767</v>
      </c>
      <c r="C85" s="51" t="s">
        <v>2655</v>
      </c>
      <c r="D85" s="34">
        <v>2.2200000000000002</v>
      </c>
      <c r="E85" s="34">
        <v>58</v>
      </c>
      <c r="F85" s="34">
        <v>4</v>
      </c>
      <c r="G85" s="34">
        <v>5</v>
      </c>
      <c r="H85" s="34">
        <v>4</v>
      </c>
      <c r="I85" s="34">
        <v>32</v>
      </c>
      <c r="J85" s="34">
        <v>36</v>
      </c>
      <c r="K85" s="34">
        <v>0</v>
      </c>
      <c r="L85" s="34">
        <v>0</v>
      </c>
      <c r="M85" s="34">
        <v>0</v>
      </c>
      <c r="N85" s="34">
        <v>0.44400000000000001</v>
      </c>
      <c r="O85" s="34">
        <v>226</v>
      </c>
      <c r="P85" s="33">
        <v>56.2</v>
      </c>
      <c r="Q85" s="34">
        <v>50</v>
      </c>
      <c r="R85" s="34">
        <v>5</v>
      </c>
      <c r="S85" s="34">
        <v>8</v>
      </c>
      <c r="T85" s="34">
        <v>0</v>
      </c>
      <c r="U85" s="34">
        <v>1</v>
      </c>
      <c r="V85" s="34">
        <v>53</v>
      </c>
      <c r="W85" s="34">
        <v>2</v>
      </c>
      <c r="X85" s="34">
        <v>0</v>
      </c>
      <c r="Y85" s="34">
        <v>14</v>
      </c>
      <c r="Z85" s="34">
        <v>14</v>
      </c>
      <c r="AA85" s="24" t="s">
        <v>15</v>
      </c>
      <c r="AB85" s="24" t="s">
        <v>98</v>
      </c>
      <c r="AC85" s="24" t="s">
        <v>86</v>
      </c>
      <c r="AD85" s="23">
        <f t="shared" si="0"/>
        <v>1.0320284697508897</v>
      </c>
      <c r="AE85" s="23">
        <f t="shared" si="1"/>
        <v>2.8708896797153027</v>
      </c>
      <c r="AF85" s="23">
        <f t="shared" si="2"/>
        <v>0.28301886792452829</v>
      </c>
    </row>
    <row r="86" spans="1:32" ht="15.75" customHeight="1" x14ac:dyDescent="0.15">
      <c r="A86" s="30">
        <v>84</v>
      </c>
      <c r="B86" s="31" t="s">
        <v>2768</v>
      </c>
      <c r="C86" s="53" t="s">
        <v>198</v>
      </c>
      <c r="D86" s="30">
        <v>3.81</v>
      </c>
      <c r="E86" s="30">
        <v>24</v>
      </c>
      <c r="F86" s="30">
        <v>0</v>
      </c>
      <c r="G86" s="30">
        <v>7</v>
      </c>
      <c r="H86" s="30">
        <v>0</v>
      </c>
      <c r="I86" s="30">
        <v>8</v>
      </c>
      <c r="J86" s="30">
        <v>8</v>
      </c>
      <c r="K86" s="30">
        <v>0</v>
      </c>
      <c r="L86" s="30">
        <v>0</v>
      </c>
      <c r="M86" s="30">
        <v>0</v>
      </c>
      <c r="N86" s="30">
        <v>0</v>
      </c>
      <c r="O86" s="30">
        <v>249</v>
      </c>
      <c r="P86" s="33">
        <v>56.2</v>
      </c>
      <c r="Q86" s="30">
        <v>53</v>
      </c>
      <c r="R86" s="30">
        <v>0</v>
      </c>
      <c r="S86" s="30">
        <v>23</v>
      </c>
      <c r="T86" s="30">
        <v>2</v>
      </c>
      <c r="U86" s="30">
        <v>6</v>
      </c>
      <c r="V86" s="30">
        <v>55</v>
      </c>
      <c r="W86" s="30">
        <v>1</v>
      </c>
      <c r="X86" s="30">
        <v>1</v>
      </c>
      <c r="Y86" s="30">
        <v>25</v>
      </c>
      <c r="Z86" s="30">
        <v>24</v>
      </c>
      <c r="AA86" s="23" t="s">
        <v>15</v>
      </c>
      <c r="AB86" s="23" t="s">
        <v>90</v>
      </c>
      <c r="AC86" s="23" t="s">
        <v>90</v>
      </c>
      <c r="AD86" s="23">
        <f t="shared" si="0"/>
        <v>1.3523131672597863</v>
      </c>
      <c r="AE86" s="23">
        <f t="shared" si="1"/>
        <v>2.6039857651245555</v>
      </c>
      <c r="AF86" s="23">
        <f t="shared" si="2"/>
        <v>0.32515337423312884</v>
      </c>
    </row>
    <row r="87" spans="1:32" ht="15.75" customHeight="1" x14ac:dyDescent="0.15">
      <c r="A87" s="34">
        <v>86</v>
      </c>
      <c r="B87" s="35" t="s">
        <v>2769</v>
      </c>
      <c r="C87" s="40" t="s">
        <v>2650</v>
      </c>
      <c r="D87" s="34">
        <v>2.96</v>
      </c>
      <c r="E87" s="34">
        <v>10</v>
      </c>
      <c r="F87" s="34">
        <v>5</v>
      </c>
      <c r="G87" s="34">
        <v>1</v>
      </c>
      <c r="H87" s="34">
        <v>0</v>
      </c>
      <c r="I87" s="34">
        <v>0</v>
      </c>
      <c r="J87" s="34">
        <v>0</v>
      </c>
      <c r="K87" s="34">
        <v>1</v>
      </c>
      <c r="L87" s="34">
        <v>1</v>
      </c>
      <c r="M87" s="34">
        <v>1</v>
      </c>
      <c r="N87" s="34">
        <v>0.83299999999999996</v>
      </c>
      <c r="O87" s="34">
        <v>234</v>
      </c>
      <c r="P87" s="33">
        <v>54.2</v>
      </c>
      <c r="Q87" s="34">
        <v>55</v>
      </c>
      <c r="R87" s="34">
        <v>4</v>
      </c>
      <c r="S87" s="34">
        <v>18</v>
      </c>
      <c r="T87" s="34">
        <v>3</v>
      </c>
      <c r="U87" s="34">
        <v>2</v>
      </c>
      <c r="V87" s="34">
        <v>37</v>
      </c>
      <c r="W87" s="34">
        <v>0</v>
      </c>
      <c r="X87" s="34">
        <v>0</v>
      </c>
      <c r="Y87" s="34">
        <v>23</v>
      </c>
      <c r="Z87" s="34">
        <v>18</v>
      </c>
      <c r="AA87" s="24" t="s">
        <v>15</v>
      </c>
      <c r="AB87" s="24" t="s">
        <v>105</v>
      </c>
      <c r="AC87" s="24" t="s">
        <v>90</v>
      </c>
      <c r="AD87" s="23">
        <f t="shared" si="0"/>
        <v>1.3468634686346863</v>
      </c>
      <c r="AE87" s="23">
        <f t="shared" si="1"/>
        <v>3.6550553505535057</v>
      </c>
      <c r="AF87" s="23">
        <f t="shared" si="2"/>
        <v>0.3</v>
      </c>
    </row>
    <row r="88" spans="1:32" ht="15.75" customHeight="1" x14ac:dyDescent="0.15">
      <c r="A88" s="30">
        <v>87</v>
      </c>
      <c r="B88" s="31" t="s">
        <v>2770</v>
      </c>
      <c r="C88" s="44" t="s">
        <v>2653</v>
      </c>
      <c r="D88" s="30">
        <v>2.82</v>
      </c>
      <c r="E88" s="30">
        <v>56</v>
      </c>
      <c r="F88" s="30">
        <v>3</v>
      </c>
      <c r="G88" s="30">
        <v>4</v>
      </c>
      <c r="H88" s="30">
        <v>35</v>
      </c>
      <c r="I88" s="30">
        <v>7</v>
      </c>
      <c r="J88" s="30">
        <v>10</v>
      </c>
      <c r="K88" s="30">
        <v>0</v>
      </c>
      <c r="L88" s="30">
        <v>0</v>
      </c>
      <c r="M88" s="30">
        <v>0</v>
      </c>
      <c r="N88" s="30">
        <v>0.42899999999999999</v>
      </c>
      <c r="O88" s="30">
        <v>233</v>
      </c>
      <c r="P88" s="33">
        <v>54.1</v>
      </c>
      <c r="Q88" s="30">
        <v>45</v>
      </c>
      <c r="R88" s="30">
        <v>3</v>
      </c>
      <c r="S88" s="30">
        <v>21</v>
      </c>
      <c r="T88" s="30">
        <v>3</v>
      </c>
      <c r="U88" s="30">
        <v>5</v>
      </c>
      <c r="V88" s="30">
        <v>38</v>
      </c>
      <c r="W88" s="30">
        <v>4</v>
      </c>
      <c r="X88" s="30">
        <v>0</v>
      </c>
      <c r="Y88" s="30">
        <v>20</v>
      </c>
      <c r="Z88" s="30">
        <v>17</v>
      </c>
      <c r="AA88" s="23" t="s">
        <v>15</v>
      </c>
      <c r="AB88" s="23" t="s">
        <v>117</v>
      </c>
      <c r="AC88" s="23" t="s">
        <v>99</v>
      </c>
      <c r="AD88" s="23">
        <f t="shared" si="0"/>
        <v>1.2199630314232901</v>
      </c>
      <c r="AE88" s="23">
        <f t="shared" si="1"/>
        <v>3.7114972273567468</v>
      </c>
      <c r="AF88" s="23">
        <f t="shared" si="2"/>
        <v>0.25766871165644173</v>
      </c>
    </row>
    <row r="89" spans="1:32" ht="15.75" customHeight="1" x14ac:dyDescent="0.15">
      <c r="A89" s="34">
        <v>88</v>
      </c>
      <c r="B89" s="35" t="s">
        <v>2771</v>
      </c>
      <c r="C89" s="38" t="s">
        <v>2648</v>
      </c>
      <c r="D89" s="34">
        <v>4.17</v>
      </c>
      <c r="E89" s="34">
        <v>27</v>
      </c>
      <c r="F89" s="34">
        <v>4</v>
      </c>
      <c r="G89" s="34">
        <v>3</v>
      </c>
      <c r="H89" s="34">
        <v>0</v>
      </c>
      <c r="I89" s="34">
        <v>9</v>
      </c>
      <c r="J89" s="34">
        <v>11</v>
      </c>
      <c r="K89" s="34">
        <v>0</v>
      </c>
      <c r="L89" s="34">
        <v>0</v>
      </c>
      <c r="M89" s="34">
        <v>0</v>
      </c>
      <c r="N89" s="34">
        <v>0.57099999999999995</v>
      </c>
      <c r="O89" s="34">
        <v>240</v>
      </c>
      <c r="P89" s="33">
        <v>54</v>
      </c>
      <c r="Q89" s="34">
        <v>59</v>
      </c>
      <c r="R89" s="34">
        <v>3</v>
      </c>
      <c r="S89" s="34">
        <v>18</v>
      </c>
      <c r="T89" s="34">
        <v>1</v>
      </c>
      <c r="U89" s="34">
        <v>2</v>
      </c>
      <c r="V89" s="34">
        <v>45</v>
      </c>
      <c r="W89" s="34">
        <v>3</v>
      </c>
      <c r="X89" s="34">
        <v>0</v>
      </c>
      <c r="Y89" s="34">
        <v>29</v>
      </c>
      <c r="Z89" s="34">
        <v>25</v>
      </c>
      <c r="AA89" s="24" t="s">
        <v>14</v>
      </c>
      <c r="AB89" s="24" t="s">
        <v>162</v>
      </c>
      <c r="AC89" s="24" t="s">
        <v>142</v>
      </c>
      <c r="AD89" s="23">
        <f t="shared" si="0"/>
        <v>1.4259259259259258</v>
      </c>
      <c r="AE89" s="23">
        <f t="shared" si="1"/>
        <v>3.2311111111111113</v>
      </c>
      <c r="AF89" s="23">
        <f t="shared" si="2"/>
        <v>0.32748538011695905</v>
      </c>
    </row>
    <row r="90" spans="1:32" ht="15.75" customHeight="1" x14ac:dyDescent="0.15">
      <c r="A90" s="30">
        <v>89</v>
      </c>
      <c r="B90" s="31" t="s">
        <v>2772</v>
      </c>
      <c r="C90" s="37" t="s">
        <v>2647</v>
      </c>
      <c r="D90" s="30">
        <v>1.84</v>
      </c>
      <c r="E90" s="30">
        <v>56</v>
      </c>
      <c r="F90" s="30">
        <v>2</v>
      </c>
      <c r="G90" s="30">
        <v>2</v>
      </c>
      <c r="H90" s="30">
        <v>23</v>
      </c>
      <c r="I90" s="30">
        <v>20</v>
      </c>
      <c r="J90" s="30">
        <v>22</v>
      </c>
      <c r="K90" s="30">
        <v>0</v>
      </c>
      <c r="L90" s="30">
        <v>0</v>
      </c>
      <c r="M90" s="30">
        <v>0</v>
      </c>
      <c r="N90" s="30">
        <v>0.5</v>
      </c>
      <c r="O90" s="30">
        <v>214</v>
      </c>
      <c r="P90" s="33">
        <v>53.2</v>
      </c>
      <c r="Q90" s="30">
        <v>35</v>
      </c>
      <c r="R90" s="30">
        <v>3</v>
      </c>
      <c r="S90" s="30">
        <v>29</v>
      </c>
      <c r="T90" s="30">
        <v>0</v>
      </c>
      <c r="U90" s="30">
        <v>0</v>
      </c>
      <c r="V90" s="30">
        <v>56</v>
      </c>
      <c r="W90" s="30">
        <v>1</v>
      </c>
      <c r="X90" s="30">
        <v>0</v>
      </c>
      <c r="Y90" s="30">
        <v>11</v>
      </c>
      <c r="Z90" s="30">
        <v>11</v>
      </c>
      <c r="AA90" s="23" t="s">
        <v>15</v>
      </c>
      <c r="AB90" s="23" t="s">
        <v>99</v>
      </c>
      <c r="AC90" s="23" t="s">
        <v>90</v>
      </c>
      <c r="AD90" s="23">
        <f t="shared" si="0"/>
        <v>1.2030075187969924</v>
      </c>
      <c r="AE90" s="23">
        <f t="shared" si="1"/>
        <v>3.3831578947368421</v>
      </c>
      <c r="AF90" s="23">
        <f t="shared" si="2"/>
        <v>0.25396825396825395</v>
      </c>
    </row>
    <row r="91" spans="1:32" ht="15.75" customHeight="1" x14ac:dyDescent="0.15">
      <c r="A91" s="34">
        <v>90</v>
      </c>
      <c r="B91" s="35" t="s">
        <v>2773</v>
      </c>
      <c r="C91" s="57" t="s">
        <v>2654</v>
      </c>
      <c r="D91" s="34">
        <v>1.52</v>
      </c>
      <c r="E91" s="34">
        <v>61</v>
      </c>
      <c r="F91" s="34">
        <v>3</v>
      </c>
      <c r="G91" s="34">
        <v>3</v>
      </c>
      <c r="H91" s="34">
        <v>2</v>
      </c>
      <c r="I91" s="34">
        <v>42</v>
      </c>
      <c r="J91" s="34">
        <v>45</v>
      </c>
      <c r="K91" s="34">
        <v>0</v>
      </c>
      <c r="L91" s="34">
        <v>0</v>
      </c>
      <c r="M91" s="34">
        <v>0</v>
      </c>
      <c r="N91" s="34">
        <v>0.5</v>
      </c>
      <c r="O91" s="34">
        <v>217</v>
      </c>
      <c r="P91" s="33">
        <v>53.1</v>
      </c>
      <c r="Q91" s="34">
        <v>43</v>
      </c>
      <c r="R91" s="34">
        <v>0</v>
      </c>
      <c r="S91" s="34">
        <v>18</v>
      </c>
      <c r="T91" s="34">
        <v>2</v>
      </c>
      <c r="U91" s="34">
        <v>4</v>
      </c>
      <c r="V91" s="34">
        <v>32</v>
      </c>
      <c r="W91" s="34">
        <v>0</v>
      </c>
      <c r="X91" s="34">
        <v>0</v>
      </c>
      <c r="Y91" s="34">
        <v>11</v>
      </c>
      <c r="Z91" s="34">
        <v>9</v>
      </c>
      <c r="AA91" s="24" t="s">
        <v>15</v>
      </c>
      <c r="AB91" s="24" t="s">
        <v>80</v>
      </c>
      <c r="AC91" s="24" t="s">
        <v>72</v>
      </c>
      <c r="AD91" s="23">
        <f t="shared" si="0"/>
        <v>1.1487758945386064</v>
      </c>
      <c r="AE91" s="23">
        <f t="shared" si="1"/>
        <v>3.0446704331450096</v>
      </c>
      <c r="AF91" s="23">
        <f t="shared" si="2"/>
        <v>0.26708074534161491</v>
      </c>
    </row>
    <row r="92" spans="1:32" ht="15.75" customHeight="1" x14ac:dyDescent="0.15">
      <c r="A92" s="30">
        <v>91</v>
      </c>
      <c r="B92" s="31" t="s">
        <v>2774</v>
      </c>
      <c r="C92" s="49" t="s">
        <v>2655</v>
      </c>
      <c r="D92" s="30">
        <v>3.23</v>
      </c>
      <c r="E92" s="30">
        <v>55</v>
      </c>
      <c r="F92" s="30">
        <v>1</v>
      </c>
      <c r="G92" s="30">
        <v>2</v>
      </c>
      <c r="H92" s="30">
        <v>35</v>
      </c>
      <c r="I92" s="30">
        <v>2</v>
      </c>
      <c r="J92" s="30">
        <v>3</v>
      </c>
      <c r="K92" s="30">
        <v>0</v>
      </c>
      <c r="L92" s="30">
        <v>0</v>
      </c>
      <c r="M92" s="30">
        <v>0</v>
      </c>
      <c r="N92" s="30">
        <v>0.33300000000000002</v>
      </c>
      <c r="O92" s="30">
        <v>222</v>
      </c>
      <c r="P92" s="33">
        <v>53</v>
      </c>
      <c r="Q92" s="30">
        <v>40</v>
      </c>
      <c r="R92" s="30">
        <v>3</v>
      </c>
      <c r="S92" s="30">
        <v>23</v>
      </c>
      <c r="T92" s="30">
        <v>0</v>
      </c>
      <c r="U92" s="30">
        <v>0</v>
      </c>
      <c r="V92" s="30">
        <v>80</v>
      </c>
      <c r="W92" s="30">
        <v>2</v>
      </c>
      <c r="X92" s="30">
        <v>0</v>
      </c>
      <c r="Y92" s="30">
        <v>20</v>
      </c>
      <c r="Z92" s="30">
        <v>19</v>
      </c>
      <c r="AA92" s="23" t="s">
        <v>15</v>
      </c>
      <c r="AB92" s="23" t="s">
        <v>117</v>
      </c>
      <c r="AC92" s="23" t="s">
        <v>105</v>
      </c>
      <c r="AD92" s="23">
        <f t="shared" si="0"/>
        <v>1.1886792452830188</v>
      </c>
      <c r="AE92" s="23">
        <f t="shared" si="1"/>
        <v>2.1388679245283022</v>
      </c>
      <c r="AF92" s="23">
        <f t="shared" si="2"/>
        <v>0.31896551724137934</v>
      </c>
    </row>
    <row r="93" spans="1:32" ht="15.75" customHeight="1" x14ac:dyDescent="0.15">
      <c r="A93" s="34">
        <v>91</v>
      </c>
      <c r="B93" s="35" t="s">
        <v>2775</v>
      </c>
      <c r="C93" s="38" t="s">
        <v>2648</v>
      </c>
      <c r="D93" s="34">
        <v>2.21</v>
      </c>
      <c r="E93" s="34">
        <v>52</v>
      </c>
      <c r="F93" s="34">
        <v>4</v>
      </c>
      <c r="G93" s="34">
        <v>4</v>
      </c>
      <c r="H93" s="34">
        <v>0</v>
      </c>
      <c r="I93" s="34">
        <v>25</v>
      </c>
      <c r="J93" s="34">
        <v>29</v>
      </c>
      <c r="K93" s="34">
        <v>0</v>
      </c>
      <c r="L93" s="34">
        <v>0</v>
      </c>
      <c r="M93" s="34">
        <v>0</v>
      </c>
      <c r="N93" s="34">
        <v>0.5</v>
      </c>
      <c r="O93" s="34">
        <v>210</v>
      </c>
      <c r="P93" s="33">
        <v>53</v>
      </c>
      <c r="Q93" s="34">
        <v>36</v>
      </c>
      <c r="R93" s="34">
        <v>4</v>
      </c>
      <c r="S93" s="34">
        <v>15</v>
      </c>
      <c r="T93" s="34">
        <v>1</v>
      </c>
      <c r="U93" s="34">
        <v>1</v>
      </c>
      <c r="V93" s="34">
        <v>56</v>
      </c>
      <c r="W93" s="34">
        <v>0</v>
      </c>
      <c r="X93" s="34">
        <v>0</v>
      </c>
      <c r="Y93" s="34">
        <v>17</v>
      </c>
      <c r="Z93" s="34">
        <v>13</v>
      </c>
      <c r="AA93" s="24" t="s">
        <v>15</v>
      </c>
      <c r="AB93" s="24" t="s">
        <v>99</v>
      </c>
      <c r="AC93" s="24" t="s">
        <v>99</v>
      </c>
      <c r="AD93" s="23">
        <f t="shared" si="0"/>
        <v>0.96226415094339623</v>
      </c>
      <c r="AE93" s="23">
        <f t="shared" si="1"/>
        <v>2.8369811320754716</v>
      </c>
      <c r="AF93" s="23">
        <f t="shared" si="2"/>
        <v>0.24060150375939848</v>
      </c>
    </row>
    <row r="94" spans="1:32" ht="15.75" customHeight="1" x14ac:dyDescent="0.15">
      <c r="A94" s="30">
        <v>91</v>
      </c>
      <c r="B94" s="31" t="s">
        <v>2776</v>
      </c>
      <c r="C94" s="47" t="s">
        <v>2654</v>
      </c>
      <c r="D94" s="30">
        <v>2.89</v>
      </c>
      <c r="E94" s="30">
        <v>42</v>
      </c>
      <c r="F94" s="30">
        <v>6</v>
      </c>
      <c r="G94" s="30">
        <v>4</v>
      </c>
      <c r="H94" s="30">
        <v>0</v>
      </c>
      <c r="I94" s="30">
        <v>6</v>
      </c>
      <c r="J94" s="30">
        <v>11</v>
      </c>
      <c r="K94" s="30">
        <v>0</v>
      </c>
      <c r="L94" s="30">
        <v>0</v>
      </c>
      <c r="M94" s="30">
        <v>0</v>
      </c>
      <c r="N94" s="30">
        <v>0.6</v>
      </c>
      <c r="O94" s="30">
        <v>225</v>
      </c>
      <c r="P94" s="33">
        <v>53</v>
      </c>
      <c r="Q94" s="30">
        <v>50</v>
      </c>
      <c r="R94" s="30">
        <v>3</v>
      </c>
      <c r="S94" s="30">
        <v>15</v>
      </c>
      <c r="T94" s="30">
        <v>4</v>
      </c>
      <c r="U94" s="30">
        <v>4</v>
      </c>
      <c r="V94" s="30">
        <v>36</v>
      </c>
      <c r="W94" s="30">
        <v>1</v>
      </c>
      <c r="X94" s="30">
        <v>0</v>
      </c>
      <c r="Y94" s="30">
        <v>17</v>
      </c>
      <c r="Z94" s="30">
        <v>17</v>
      </c>
      <c r="AA94" s="23" t="s">
        <v>15</v>
      </c>
      <c r="AB94" s="23" t="s">
        <v>64</v>
      </c>
      <c r="AC94" s="23" t="s">
        <v>64</v>
      </c>
      <c r="AD94" s="23">
        <f t="shared" si="0"/>
        <v>1.2264150943396226</v>
      </c>
      <c r="AE94" s="23">
        <f t="shared" si="1"/>
        <v>3.3464150943396227</v>
      </c>
      <c r="AF94" s="23">
        <f t="shared" si="2"/>
        <v>0.28834355828220859</v>
      </c>
    </row>
    <row r="95" spans="1:32" ht="15.75" customHeight="1" x14ac:dyDescent="0.15">
      <c r="A95" s="34">
        <v>91</v>
      </c>
      <c r="B95" s="35" t="s">
        <v>2777</v>
      </c>
      <c r="C95" s="48" t="s">
        <v>2647</v>
      </c>
      <c r="D95" s="34">
        <v>2.72</v>
      </c>
      <c r="E95" s="34">
        <v>10</v>
      </c>
      <c r="F95" s="34">
        <v>2</v>
      </c>
      <c r="G95" s="34">
        <v>3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0.4</v>
      </c>
      <c r="O95" s="34">
        <v>220</v>
      </c>
      <c r="P95" s="33">
        <v>53</v>
      </c>
      <c r="Q95" s="34">
        <v>46</v>
      </c>
      <c r="R95" s="34">
        <v>3</v>
      </c>
      <c r="S95" s="34">
        <v>16</v>
      </c>
      <c r="T95" s="34">
        <v>0</v>
      </c>
      <c r="U95" s="34">
        <v>4</v>
      </c>
      <c r="V95" s="34">
        <v>32</v>
      </c>
      <c r="W95" s="34">
        <v>0</v>
      </c>
      <c r="X95" s="34">
        <v>0</v>
      </c>
      <c r="Y95" s="34">
        <v>16</v>
      </c>
      <c r="Z95" s="34">
        <v>16</v>
      </c>
      <c r="AA95" s="24" t="s">
        <v>15</v>
      </c>
      <c r="AB95" s="24" t="s">
        <v>122</v>
      </c>
      <c r="AC95" s="24" t="s">
        <v>122</v>
      </c>
      <c r="AD95" s="23">
        <f t="shared" si="0"/>
        <v>1.1698113207547169</v>
      </c>
      <c r="AE95" s="23">
        <f t="shared" si="1"/>
        <v>3.7803773584905662</v>
      </c>
      <c r="AF95" s="23">
        <f t="shared" si="2"/>
        <v>0.26060606060606062</v>
      </c>
    </row>
    <row r="96" spans="1:32" ht="15.75" customHeight="1" x14ac:dyDescent="0.15">
      <c r="A96" s="30">
        <v>95</v>
      </c>
      <c r="B96" s="31" t="s">
        <v>2778</v>
      </c>
      <c r="C96" s="44" t="s">
        <v>2653</v>
      </c>
      <c r="D96" s="30">
        <v>2.39</v>
      </c>
      <c r="E96" s="30">
        <v>55</v>
      </c>
      <c r="F96" s="30">
        <v>6</v>
      </c>
      <c r="G96" s="30">
        <v>3</v>
      </c>
      <c r="H96" s="30">
        <v>1</v>
      </c>
      <c r="I96" s="30">
        <v>33</v>
      </c>
      <c r="J96" s="30">
        <v>39</v>
      </c>
      <c r="K96" s="30">
        <v>0</v>
      </c>
      <c r="L96" s="30">
        <v>0</v>
      </c>
      <c r="M96" s="30">
        <v>0</v>
      </c>
      <c r="N96" s="30">
        <v>0.66700000000000004</v>
      </c>
      <c r="O96" s="30">
        <v>208</v>
      </c>
      <c r="P96" s="33">
        <v>52.2</v>
      </c>
      <c r="Q96" s="30">
        <v>43</v>
      </c>
      <c r="R96" s="30">
        <v>5</v>
      </c>
      <c r="S96" s="30">
        <v>12</v>
      </c>
      <c r="T96" s="30">
        <v>3</v>
      </c>
      <c r="U96" s="30">
        <v>1</v>
      </c>
      <c r="V96" s="30">
        <v>43</v>
      </c>
      <c r="W96" s="30">
        <v>0</v>
      </c>
      <c r="X96" s="30">
        <v>0</v>
      </c>
      <c r="Y96" s="30">
        <v>14</v>
      </c>
      <c r="Z96" s="30">
        <v>14</v>
      </c>
      <c r="AA96" s="23" t="s">
        <v>15</v>
      </c>
      <c r="AB96" s="23" t="s">
        <v>86</v>
      </c>
      <c r="AC96" s="23" t="s">
        <v>80</v>
      </c>
      <c r="AD96" s="23">
        <f t="shared" si="0"/>
        <v>1.053639846743295</v>
      </c>
      <c r="AE96" s="23">
        <f t="shared" si="1"/>
        <v>3.2924137931034485</v>
      </c>
      <c r="AF96" s="23">
        <f t="shared" si="2"/>
        <v>0.2638888888888889</v>
      </c>
    </row>
    <row r="97" spans="1:32" ht="15.75" customHeight="1" x14ac:dyDescent="0.15">
      <c r="A97" s="34">
        <v>96</v>
      </c>
      <c r="B97" s="35" t="s">
        <v>3423</v>
      </c>
      <c r="C97" s="57" t="s">
        <v>2654</v>
      </c>
      <c r="D97" s="34">
        <v>1.38</v>
      </c>
      <c r="E97" s="34">
        <v>57</v>
      </c>
      <c r="F97" s="34">
        <v>5</v>
      </c>
      <c r="G97" s="34">
        <v>4</v>
      </c>
      <c r="H97" s="34">
        <v>42</v>
      </c>
      <c r="I97" s="34">
        <v>3</v>
      </c>
      <c r="J97" s="34">
        <v>8</v>
      </c>
      <c r="K97" s="34">
        <v>0</v>
      </c>
      <c r="L97" s="34">
        <v>0</v>
      </c>
      <c r="M97" s="34">
        <v>0</v>
      </c>
      <c r="N97" s="34">
        <v>0.55600000000000005</v>
      </c>
      <c r="O97" s="34">
        <v>197</v>
      </c>
      <c r="P97" s="33">
        <v>52.1</v>
      </c>
      <c r="Q97" s="34">
        <v>30</v>
      </c>
      <c r="R97" s="34">
        <v>2</v>
      </c>
      <c r="S97" s="34">
        <v>13</v>
      </c>
      <c r="T97" s="34">
        <v>1</v>
      </c>
      <c r="U97" s="34">
        <v>1</v>
      </c>
      <c r="V97" s="34">
        <v>56</v>
      </c>
      <c r="W97" s="34">
        <v>0</v>
      </c>
      <c r="X97" s="34">
        <v>0</v>
      </c>
      <c r="Y97" s="34">
        <v>10</v>
      </c>
      <c r="Z97" s="34">
        <v>8</v>
      </c>
      <c r="AA97" s="24" t="s">
        <v>15</v>
      </c>
      <c r="AB97" s="24" t="s">
        <v>99</v>
      </c>
      <c r="AC97" s="24" t="s">
        <v>99</v>
      </c>
      <c r="AD97" s="23">
        <f t="shared" si="0"/>
        <v>0.82533589251439532</v>
      </c>
      <c r="AE97" s="23">
        <f t="shared" si="1"/>
        <v>2.2178886756238008</v>
      </c>
      <c r="AF97" s="23">
        <f t="shared" si="2"/>
        <v>0.22580645161290322</v>
      </c>
    </row>
    <row r="98" spans="1:32" ht="15.75" customHeight="1" x14ac:dyDescent="0.15">
      <c r="A98" s="30">
        <v>96</v>
      </c>
      <c r="B98" s="31" t="s">
        <v>2779</v>
      </c>
      <c r="C98" s="46" t="s">
        <v>2648</v>
      </c>
      <c r="D98" s="30">
        <v>1.2</v>
      </c>
      <c r="E98" s="30">
        <v>51</v>
      </c>
      <c r="F98" s="30">
        <v>3</v>
      </c>
      <c r="G98" s="30">
        <v>1</v>
      </c>
      <c r="H98" s="30">
        <v>35</v>
      </c>
      <c r="I98" s="30">
        <v>7</v>
      </c>
      <c r="J98" s="30">
        <v>10</v>
      </c>
      <c r="K98" s="30">
        <v>0</v>
      </c>
      <c r="L98" s="30">
        <v>0</v>
      </c>
      <c r="M98" s="30">
        <v>0</v>
      </c>
      <c r="N98" s="30">
        <v>0.75</v>
      </c>
      <c r="O98" s="30">
        <v>200</v>
      </c>
      <c r="P98" s="33">
        <v>52.1</v>
      </c>
      <c r="Q98" s="30">
        <v>37</v>
      </c>
      <c r="R98" s="30">
        <v>5</v>
      </c>
      <c r="S98" s="30">
        <v>7</v>
      </c>
      <c r="T98" s="30">
        <v>1</v>
      </c>
      <c r="U98" s="30">
        <v>1</v>
      </c>
      <c r="V98" s="30">
        <v>47</v>
      </c>
      <c r="W98" s="30">
        <v>0</v>
      </c>
      <c r="X98" s="30">
        <v>0</v>
      </c>
      <c r="Y98" s="30">
        <v>7</v>
      </c>
      <c r="Z98" s="30">
        <v>7</v>
      </c>
      <c r="AA98" s="23" t="s">
        <v>15</v>
      </c>
      <c r="AB98" s="23" t="s">
        <v>135</v>
      </c>
      <c r="AC98" s="23" t="s">
        <v>123</v>
      </c>
      <c r="AD98" s="23">
        <f t="shared" si="0"/>
        <v>0.84452975047984646</v>
      </c>
      <c r="AE98" s="23">
        <f t="shared" si="1"/>
        <v>2.9664491362763918</v>
      </c>
      <c r="AF98" s="23">
        <f t="shared" si="2"/>
        <v>0.23021582733812951</v>
      </c>
    </row>
    <row r="99" spans="1:32" ht="15.75" customHeight="1" x14ac:dyDescent="0.15">
      <c r="A99" s="34">
        <v>98</v>
      </c>
      <c r="B99" s="35" t="s">
        <v>2781</v>
      </c>
      <c r="C99" s="50" t="s">
        <v>198</v>
      </c>
      <c r="D99" s="34">
        <v>1.9</v>
      </c>
      <c r="E99" s="34">
        <v>56</v>
      </c>
      <c r="F99" s="34">
        <v>3</v>
      </c>
      <c r="G99" s="34">
        <v>2</v>
      </c>
      <c r="H99" s="34">
        <v>0</v>
      </c>
      <c r="I99" s="34">
        <v>24</v>
      </c>
      <c r="J99" s="34">
        <v>27</v>
      </c>
      <c r="K99" s="34">
        <v>0</v>
      </c>
      <c r="L99" s="34">
        <v>0</v>
      </c>
      <c r="M99" s="34">
        <v>0</v>
      </c>
      <c r="N99" s="34">
        <v>0.6</v>
      </c>
      <c r="O99" s="34">
        <v>211</v>
      </c>
      <c r="P99" s="33">
        <v>52</v>
      </c>
      <c r="Q99" s="34">
        <v>39</v>
      </c>
      <c r="R99" s="34">
        <v>2</v>
      </c>
      <c r="S99" s="34">
        <v>17</v>
      </c>
      <c r="T99" s="34">
        <v>1</v>
      </c>
      <c r="U99" s="34">
        <v>3</v>
      </c>
      <c r="V99" s="34">
        <v>53</v>
      </c>
      <c r="W99" s="34">
        <v>0</v>
      </c>
      <c r="X99" s="34">
        <v>0</v>
      </c>
      <c r="Y99" s="34">
        <v>13</v>
      </c>
      <c r="Z99" s="34">
        <v>11</v>
      </c>
      <c r="AA99" s="24" t="s">
        <v>15</v>
      </c>
      <c r="AB99" s="24" t="s">
        <v>154</v>
      </c>
      <c r="AC99" s="24" t="s">
        <v>146</v>
      </c>
      <c r="AD99" s="23">
        <f t="shared" si="0"/>
        <v>1.0769230769230769</v>
      </c>
      <c r="AE99" s="23">
        <f t="shared" si="1"/>
        <v>2.6776923076923076</v>
      </c>
      <c r="AF99" s="23">
        <f t="shared" si="2"/>
        <v>0.27407407407407408</v>
      </c>
    </row>
    <row r="100" spans="1:32" ht="15.75" customHeight="1" x14ac:dyDescent="0.15">
      <c r="A100" s="30">
        <v>98</v>
      </c>
      <c r="B100" s="31" t="s">
        <v>2780</v>
      </c>
      <c r="C100" s="52" t="s">
        <v>2646</v>
      </c>
      <c r="D100" s="30">
        <v>1.56</v>
      </c>
      <c r="E100" s="30">
        <v>53</v>
      </c>
      <c r="F100" s="30">
        <v>4</v>
      </c>
      <c r="G100" s="30">
        <v>1</v>
      </c>
      <c r="H100" s="30">
        <v>30</v>
      </c>
      <c r="I100" s="30">
        <v>5</v>
      </c>
      <c r="J100" s="30">
        <v>9</v>
      </c>
      <c r="K100" s="30">
        <v>0</v>
      </c>
      <c r="L100" s="30">
        <v>0</v>
      </c>
      <c r="M100" s="30">
        <v>0</v>
      </c>
      <c r="N100" s="30">
        <v>0.8</v>
      </c>
      <c r="O100" s="30">
        <v>201</v>
      </c>
      <c r="P100" s="33">
        <v>52</v>
      </c>
      <c r="Q100" s="30">
        <v>25</v>
      </c>
      <c r="R100" s="30">
        <v>2</v>
      </c>
      <c r="S100" s="30">
        <v>22</v>
      </c>
      <c r="T100" s="30">
        <v>1</v>
      </c>
      <c r="U100" s="30">
        <v>0</v>
      </c>
      <c r="V100" s="30">
        <v>58</v>
      </c>
      <c r="W100" s="30">
        <v>4</v>
      </c>
      <c r="X100" s="30">
        <v>0</v>
      </c>
      <c r="Y100" s="30">
        <v>10</v>
      </c>
      <c r="Z100" s="30">
        <v>9</v>
      </c>
      <c r="AA100" s="23" t="s">
        <v>15</v>
      </c>
      <c r="AB100" s="23" t="s">
        <v>163</v>
      </c>
      <c r="AC100" s="23" t="s">
        <v>154</v>
      </c>
      <c r="AD100" s="23">
        <f t="shared" si="0"/>
        <v>0.90384615384615385</v>
      </c>
      <c r="AE100" s="23">
        <f t="shared" si="1"/>
        <v>2.6007692307692309</v>
      </c>
      <c r="AF100" s="23">
        <f t="shared" si="2"/>
        <v>0.19491525423728814</v>
      </c>
    </row>
    <row r="101" spans="1:32" ht="15.75" customHeight="1" x14ac:dyDescent="0.15">
      <c r="A101" s="34">
        <v>100</v>
      </c>
      <c r="B101" s="35" t="s">
        <v>2782</v>
      </c>
      <c r="C101" s="58" t="s">
        <v>2645</v>
      </c>
      <c r="D101" s="34">
        <v>1.58</v>
      </c>
      <c r="E101" s="34">
        <v>45</v>
      </c>
      <c r="F101" s="34">
        <v>4</v>
      </c>
      <c r="G101" s="34">
        <v>2</v>
      </c>
      <c r="H101" s="34">
        <v>0</v>
      </c>
      <c r="I101" s="34">
        <v>16</v>
      </c>
      <c r="J101" s="34">
        <v>20</v>
      </c>
      <c r="K101" s="34">
        <v>0</v>
      </c>
      <c r="L101" s="34">
        <v>0</v>
      </c>
      <c r="M101" s="34">
        <v>0</v>
      </c>
      <c r="N101" s="34">
        <v>0.66700000000000004</v>
      </c>
      <c r="O101" s="34">
        <v>215</v>
      </c>
      <c r="P101" s="33">
        <v>51.1</v>
      </c>
      <c r="Q101" s="34">
        <v>45</v>
      </c>
      <c r="R101" s="34">
        <v>2</v>
      </c>
      <c r="S101" s="34">
        <v>19</v>
      </c>
      <c r="T101" s="34">
        <v>2</v>
      </c>
      <c r="U101" s="34">
        <v>1</v>
      </c>
      <c r="V101" s="34">
        <v>53</v>
      </c>
      <c r="W101" s="34">
        <v>0</v>
      </c>
      <c r="X101" s="34">
        <v>0</v>
      </c>
      <c r="Y101" s="34">
        <v>10</v>
      </c>
      <c r="Z101" s="34">
        <v>9</v>
      </c>
      <c r="AA101" s="24" t="s">
        <v>15</v>
      </c>
      <c r="AB101" s="24" t="s">
        <v>123</v>
      </c>
      <c r="AC101" s="24" t="s">
        <v>122</v>
      </c>
      <c r="AD101" s="23">
        <f t="shared" si="0"/>
        <v>1.2524461839530332</v>
      </c>
      <c r="AE101" s="23">
        <f t="shared" si="1"/>
        <v>2.6111937377690806</v>
      </c>
      <c r="AF101" s="23">
        <f t="shared" si="2"/>
        <v>0.31159420289855072</v>
      </c>
    </row>
    <row r="102" spans="1:32" ht="15.75" customHeight="1" x14ac:dyDescent="0.15">
      <c r="A102" s="30">
        <v>101</v>
      </c>
      <c r="B102" s="31" t="s">
        <v>2783</v>
      </c>
      <c r="C102" s="32" t="s">
        <v>2645</v>
      </c>
      <c r="D102" s="30">
        <v>2.2000000000000002</v>
      </c>
      <c r="E102" s="30">
        <v>53</v>
      </c>
      <c r="F102" s="30">
        <v>2</v>
      </c>
      <c r="G102" s="30">
        <v>4</v>
      </c>
      <c r="H102" s="30">
        <v>19</v>
      </c>
      <c r="I102" s="30">
        <v>19</v>
      </c>
      <c r="J102" s="30">
        <v>21</v>
      </c>
      <c r="K102" s="30">
        <v>0</v>
      </c>
      <c r="L102" s="30">
        <v>0</v>
      </c>
      <c r="M102" s="30">
        <v>0</v>
      </c>
      <c r="N102" s="30">
        <v>0.33300000000000002</v>
      </c>
      <c r="O102" s="30">
        <v>208</v>
      </c>
      <c r="P102" s="33">
        <v>49</v>
      </c>
      <c r="Q102" s="30">
        <v>41</v>
      </c>
      <c r="R102" s="30">
        <v>1</v>
      </c>
      <c r="S102" s="30">
        <v>22</v>
      </c>
      <c r="T102" s="30">
        <v>1</v>
      </c>
      <c r="U102" s="30">
        <v>0</v>
      </c>
      <c r="V102" s="30">
        <v>58</v>
      </c>
      <c r="W102" s="30">
        <v>4</v>
      </c>
      <c r="X102" s="30">
        <v>0</v>
      </c>
      <c r="Y102" s="30">
        <v>13</v>
      </c>
      <c r="Z102" s="30">
        <v>12</v>
      </c>
      <c r="AA102" s="23" t="s">
        <v>15</v>
      </c>
      <c r="AB102" s="23" t="s">
        <v>142</v>
      </c>
      <c r="AC102" s="23" t="s">
        <v>117</v>
      </c>
      <c r="AD102" s="23">
        <f t="shared" si="0"/>
        <v>1.2857142857142858</v>
      </c>
      <c r="AE102" s="23">
        <f t="shared" si="1"/>
        <v>2.3036734693877552</v>
      </c>
      <c r="AF102" s="23">
        <f t="shared" si="2"/>
        <v>0.31746031746031744</v>
      </c>
    </row>
    <row r="103" spans="1:32" ht="15.75" customHeight="1" x14ac:dyDescent="0.15">
      <c r="A103" s="34">
        <v>101</v>
      </c>
      <c r="B103" s="35" t="s">
        <v>2784</v>
      </c>
      <c r="C103" s="56" t="s">
        <v>2653</v>
      </c>
      <c r="D103" s="34">
        <v>4.59</v>
      </c>
      <c r="E103" s="34">
        <v>9</v>
      </c>
      <c r="F103" s="34">
        <v>1</v>
      </c>
      <c r="G103" s="34">
        <v>4</v>
      </c>
      <c r="H103" s="34">
        <v>0</v>
      </c>
      <c r="I103" s="34">
        <v>0</v>
      </c>
      <c r="J103" s="34">
        <v>0</v>
      </c>
      <c r="K103" s="34">
        <v>1</v>
      </c>
      <c r="L103" s="34">
        <v>0</v>
      </c>
      <c r="M103" s="34">
        <v>0</v>
      </c>
      <c r="N103" s="34">
        <v>0.2</v>
      </c>
      <c r="O103" s="34">
        <v>209</v>
      </c>
      <c r="P103" s="33">
        <v>49</v>
      </c>
      <c r="Q103" s="34">
        <v>55</v>
      </c>
      <c r="R103" s="34">
        <v>8</v>
      </c>
      <c r="S103" s="34">
        <v>12</v>
      </c>
      <c r="T103" s="34">
        <v>1</v>
      </c>
      <c r="U103" s="34">
        <v>2</v>
      </c>
      <c r="V103" s="34">
        <v>22</v>
      </c>
      <c r="W103" s="34">
        <v>2</v>
      </c>
      <c r="X103" s="34">
        <v>0</v>
      </c>
      <c r="Y103" s="34">
        <v>27</v>
      </c>
      <c r="Z103" s="34">
        <v>25</v>
      </c>
      <c r="AA103" s="24" t="s">
        <v>15</v>
      </c>
      <c r="AB103" s="24" t="s">
        <v>98</v>
      </c>
      <c r="AC103" s="24" t="s">
        <v>98</v>
      </c>
      <c r="AD103" s="23">
        <f t="shared" si="0"/>
        <v>1.3673469387755102</v>
      </c>
      <c r="AE103" s="23">
        <f t="shared" si="1"/>
        <v>5.140408163265306</v>
      </c>
      <c r="AF103" s="23">
        <f t="shared" si="2"/>
        <v>0.28658536585365851</v>
      </c>
    </row>
    <row r="104" spans="1:32" ht="15.75" customHeight="1" x14ac:dyDescent="0.15">
      <c r="A104" s="30">
        <v>103</v>
      </c>
      <c r="B104" s="31" t="s">
        <v>2785</v>
      </c>
      <c r="C104" s="41" t="s">
        <v>2651</v>
      </c>
      <c r="D104" s="30">
        <v>2.44</v>
      </c>
      <c r="E104" s="30">
        <v>52</v>
      </c>
      <c r="F104" s="30">
        <v>1</v>
      </c>
      <c r="G104" s="30">
        <v>4</v>
      </c>
      <c r="H104" s="30">
        <v>0</v>
      </c>
      <c r="I104" s="30">
        <v>27</v>
      </c>
      <c r="J104" s="30">
        <v>28</v>
      </c>
      <c r="K104" s="30">
        <v>0</v>
      </c>
      <c r="L104" s="30">
        <v>0</v>
      </c>
      <c r="M104" s="30">
        <v>0</v>
      </c>
      <c r="N104" s="30">
        <v>0.2</v>
      </c>
      <c r="O104" s="30">
        <v>203</v>
      </c>
      <c r="P104" s="33">
        <v>48</v>
      </c>
      <c r="Q104" s="30">
        <v>27</v>
      </c>
      <c r="R104" s="30">
        <v>1</v>
      </c>
      <c r="S104" s="30">
        <v>31</v>
      </c>
      <c r="T104" s="30">
        <v>4</v>
      </c>
      <c r="U104" s="30">
        <v>2</v>
      </c>
      <c r="V104" s="30">
        <v>50</v>
      </c>
      <c r="W104" s="30">
        <v>0</v>
      </c>
      <c r="X104" s="30">
        <v>1</v>
      </c>
      <c r="Y104" s="30">
        <v>13</v>
      </c>
      <c r="Z104" s="30">
        <v>13</v>
      </c>
      <c r="AA104" s="23" t="s">
        <v>15</v>
      </c>
      <c r="AB104" s="23" t="s">
        <v>80</v>
      </c>
      <c r="AC104" s="23" t="s">
        <v>80</v>
      </c>
      <c r="AD104" s="23">
        <f t="shared" si="0"/>
        <v>1.2083333333333333</v>
      </c>
      <c r="AE104" s="23">
        <f t="shared" si="1"/>
        <v>3.12</v>
      </c>
      <c r="AF104" s="23">
        <f t="shared" si="2"/>
        <v>0.22608695652173913</v>
      </c>
    </row>
    <row r="105" spans="1:32" ht="15.75" customHeight="1" x14ac:dyDescent="0.15">
      <c r="A105" s="34">
        <v>103</v>
      </c>
      <c r="B105" s="35" t="s">
        <v>2786</v>
      </c>
      <c r="C105" s="51" t="s">
        <v>2655</v>
      </c>
      <c r="D105" s="34">
        <v>1.5</v>
      </c>
      <c r="E105" s="34">
        <v>51</v>
      </c>
      <c r="F105" s="34">
        <v>2</v>
      </c>
      <c r="G105" s="34">
        <v>0</v>
      </c>
      <c r="H105" s="34">
        <v>1</v>
      </c>
      <c r="I105" s="34">
        <v>20</v>
      </c>
      <c r="J105" s="34">
        <v>22</v>
      </c>
      <c r="K105" s="34">
        <v>0</v>
      </c>
      <c r="L105" s="34">
        <v>0</v>
      </c>
      <c r="M105" s="34">
        <v>0</v>
      </c>
      <c r="N105" s="34">
        <v>1</v>
      </c>
      <c r="O105" s="34">
        <v>189</v>
      </c>
      <c r="P105" s="33">
        <v>48</v>
      </c>
      <c r="Q105" s="34">
        <v>26</v>
      </c>
      <c r="R105" s="34">
        <v>2</v>
      </c>
      <c r="S105" s="34">
        <v>16</v>
      </c>
      <c r="T105" s="34">
        <v>3</v>
      </c>
      <c r="U105" s="34">
        <v>4</v>
      </c>
      <c r="V105" s="34">
        <v>44</v>
      </c>
      <c r="W105" s="34">
        <v>0</v>
      </c>
      <c r="X105" s="34">
        <v>0</v>
      </c>
      <c r="Y105" s="34">
        <v>11</v>
      </c>
      <c r="Z105" s="34">
        <v>8</v>
      </c>
      <c r="AA105" s="24" t="s">
        <v>15</v>
      </c>
      <c r="AB105" s="24" t="s">
        <v>98</v>
      </c>
      <c r="AC105" s="24" t="s">
        <v>98</v>
      </c>
      <c r="AD105" s="23">
        <f t="shared" si="0"/>
        <v>0.875</v>
      </c>
      <c r="AE105" s="23">
        <f t="shared" si="1"/>
        <v>2.8908333333333336</v>
      </c>
      <c r="AF105" s="23">
        <f t="shared" si="2"/>
        <v>0.2</v>
      </c>
    </row>
    <row r="106" spans="1:32" ht="15.75" customHeight="1" x14ac:dyDescent="0.15">
      <c r="A106" s="30">
        <v>103</v>
      </c>
      <c r="B106" s="31" t="s">
        <v>2791</v>
      </c>
      <c r="C106" s="39" t="s">
        <v>2649</v>
      </c>
      <c r="D106" s="30">
        <v>2.63</v>
      </c>
      <c r="E106" s="30">
        <v>51</v>
      </c>
      <c r="F106" s="30">
        <v>2</v>
      </c>
      <c r="G106" s="30">
        <v>4</v>
      </c>
      <c r="H106" s="30">
        <v>1</v>
      </c>
      <c r="I106" s="30">
        <v>31</v>
      </c>
      <c r="J106" s="30">
        <v>33</v>
      </c>
      <c r="K106" s="30">
        <v>0</v>
      </c>
      <c r="L106" s="30">
        <v>0</v>
      </c>
      <c r="M106" s="30">
        <v>0</v>
      </c>
      <c r="N106" s="30">
        <v>0.33300000000000002</v>
      </c>
      <c r="O106" s="30">
        <v>204</v>
      </c>
      <c r="P106" s="33">
        <v>48</v>
      </c>
      <c r="Q106" s="30">
        <v>45</v>
      </c>
      <c r="R106" s="30">
        <v>3</v>
      </c>
      <c r="S106" s="30">
        <v>19</v>
      </c>
      <c r="T106" s="30">
        <v>4</v>
      </c>
      <c r="U106" s="30">
        <v>0</v>
      </c>
      <c r="V106" s="30">
        <v>33</v>
      </c>
      <c r="W106" s="30">
        <v>1</v>
      </c>
      <c r="X106" s="30">
        <v>0</v>
      </c>
      <c r="Y106" s="30">
        <v>15</v>
      </c>
      <c r="Z106" s="30">
        <v>14</v>
      </c>
      <c r="AA106" s="23" t="s">
        <v>15</v>
      </c>
      <c r="AB106" s="23" t="s">
        <v>90</v>
      </c>
      <c r="AC106" s="23" t="s">
        <v>86</v>
      </c>
      <c r="AD106" s="23">
        <f t="shared" si="0"/>
        <v>1.3333333333333333</v>
      </c>
      <c r="AE106" s="23">
        <f t="shared" si="1"/>
        <v>3.4950000000000001</v>
      </c>
      <c r="AF106" s="23">
        <f t="shared" si="2"/>
        <v>0.28965517241379313</v>
      </c>
    </row>
    <row r="107" spans="1:32" ht="15.75" customHeight="1" x14ac:dyDescent="0.15">
      <c r="A107" s="34">
        <v>103</v>
      </c>
      <c r="B107" s="35" t="s">
        <v>2787</v>
      </c>
      <c r="C107" s="48" t="s">
        <v>2647</v>
      </c>
      <c r="D107" s="34">
        <v>3.56</v>
      </c>
      <c r="E107" s="34">
        <v>10</v>
      </c>
      <c r="F107" s="34">
        <v>2</v>
      </c>
      <c r="G107" s="34">
        <v>1</v>
      </c>
      <c r="H107" s="34">
        <v>1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0.66700000000000004</v>
      </c>
      <c r="O107" s="34">
        <v>198</v>
      </c>
      <c r="P107" s="33">
        <v>48</v>
      </c>
      <c r="Q107" s="34">
        <v>43</v>
      </c>
      <c r="R107" s="34">
        <v>6</v>
      </c>
      <c r="S107" s="34">
        <v>15</v>
      </c>
      <c r="T107" s="34">
        <v>0</v>
      </c>
      <c r="U107" s="34">
        <v>2</v>
      </c>
      <c r="V107" s="34">
        <v>33</v>
      </c>
      <c r="W107" s="34">
        <v>1</v>
      </c>
      <c r="X107" s="34">
        <v>0</v>
      </c>
      <c r="Y107" s="34">
        <v>21</v>
      </c>
      <c r="Z107" s="34">
        <v>19</v>
      </c>
      <c r="AA107" s="24" t="s">
        <v>15</v>
      </c>
      <c r="AB107" s="24" t="s">
        <v>123</v>
      </c>
      <c r="AC107" s="24" t="s">
        <v>117</v>
      </c>
      <c r="AD107" s="23">
        <f t="shared" si="0"/>
        <v>1.2083333333333333</v>
      </c>
      <c r="AE107" s="23">
        <f t="shared" si="1"/>
        <v>4.4325000000000001</v>
      </c>
      <c r="AF107" s="23">
        <f t="shared" si="2"/>
        <v>0.26056338028169013</v>
      </c>
    </row>
    <row r="108" spans="1:32" ht="15.75" customHeight="1" x14ac:dyDescent="0.15">
      <c r="A108" s="30">
        <v>107</v>
      </c>
      <c r="B108" s="31" t="s">
        <v>2788</v>
      </c>
      <c r="C108" s="54" t="s">
        <v>2650</v>
      </c>
      <c r="D108" s="30">
        <v>3.02</v>
      </c>
      <c r="E108" s="30">
        <v>52</v>
      </c>
      <c r="F108" s="30">
        <v>2</v>
      </c>
      <c r="G108" s="30">
        <v>4</v>
      </c>
      <c r="H108" s="30">
        <v>0</v>
      </c>
      <c r="I108" s="30">
        <v>25</v>
      </c>
      <c r="J108" s="30">
        <v>27</v>
      </c>
      <c r="K108" s="30">
        <v>0</v>
      </c>
      <c r="L108" s="30">
        <v>0</v>
      </c>
      <c r="M108" s="30">
        <v>0</v>
      </c>
      <c r="N108" s="30">
        <v>0.33300000000000002</v>
      </c>
      <c r="O108" s="30">
        <v>200</v>
      </c>
      <c r="P108" s="33">
        <v>47.2</v>
      </c>
      <c r="Q108" s="30">
        <v>44</v>
      </c>
      <c r="R108" s="30">
        <v>4</v>
      </c>
      <c r="S108" s="30">
        <v>17</v>
      </c>
      <c r="T108" s="30">
        <v>3</v>
      </c>
      <c r="U108" s="30">
        <v>0</v>
      </c>
      <c r="V108" s="30">
        <v>46</v>
      </c>
      <c r="W108" s="30">
        <v>1</v>
      </c>
      <c r="X108" s="30">
        <v>0</v>
      </c>
      <c r="Y108" s="30">
        <v>16</v>
      </c>
      <c r="Z108" s="30">
        <v>16</v>
      </c>
      <c r="AA108" s="23" t="s">
        <v>15</v>
      </c>
      <c r="AB108" s="23" t="s">
        <v>180</v>
      </c>
      <c r="AC108" s="23" t="s">
        <v>154</v>
      </c>
      <c r="AD108" s="23">
        <f t="shared" si="0"/>
        <v>1.2923728813559321</v>
      </c>
      <c r="AE108" s="23">
        <f t="shared" si="1"/>
        <v>3.1623728813559322</v>
      </c>
      <c r="AF108" s="23">
        <f t="shared" si="2"/>
        <v>0.30769230769230771</v>
      </c>
    </row>
    <row r="109" spans="1:32" ht="15.75" customHeight="1" x14ac:dyDescent="0.15">
      <c r="A109" s="34">
        <v>107</v>
      </c>
      <c r="B109" s="35" t="s">
        <v>2789</v>
      </c>
      <c r="C109" s="40" t="s">
        <v>2650</v>
      </c>
      <c r="D109" s="34">
        <v>2.4500000000000002</v>
      </c>
      <c r="E109" s="34">
        <v>52</v>
      </c>
      <c r="F109" s="34">
        <v>6</v>
      </c>
      <c r="G109" s="34">
        <v>6</v>
      </c>
      <c r="H109" s="34">
        <v>0</v>
      </c>
      <c r="I109" s="34">
        <v>22</v>
      </c>
      <c r="J109" s="34">
        <v>28</v>
      </c>
      <c r="K109" s="34">
        <v>0</v>
      </c>
      <c r="L109" s="34">
        <v>0</v>
      </c>
      <c r="M109" s="34">
        <v>0</v>
      </c>
      <c r="N109" s="34">
        <v>0.5</v>
      </c>
      <c r="O109" s="34">
        <v>191</v>
      </c>
      <c r="P109" s="33">
        <v>47.2</v>
      </c>
      <c r="Q109" s="34">
        <v>34</v>
      </c>
      <c r="R109" s="34">
        <v>5</v>
      </c>
      <c r="S109" s="34">
        <v>20</v>
      </c>
      <c r="T109" s="34">
        <v>2</v>
      </c>
      <c r="U109" s="34">
        <v>0</v>
      </c>
      <c r="V109" s="34">
        <v>58</v>
      </c>
      <c r="W109" s="34">
        <v>1</v>
      </c>
      <c r="X109" s="34">
        <v>0</v>
      </c>
      <c r="Y109" s="34">
        <v>14</v>
      </c>
      <c r="Z109" s="34">
        <v>13</v>
      </c>
      <c r="AA109" s="24" t="s">
        <v>15</v>
      </c>
      <c r="AB109" s="24" t="s">
        <v>86</v>
      </c>
      <c r="AC109" s="24" t="s">
        <v>64</v>
      </c>
      <c r="AD109" s="23">
        <f t="shared" si="0"/>
        <v>1.1440677966101693</v>
      </c>
      <c r="AE109" s="23">
        <f t="shared" si="1"/>
        <v>3.1835593220338985</v>
      </c>
      <c r="AF109" s="23">
        <f t="shared" si="2"/>
        <v>0.27358490566037735</v>
      </c>
    </row>
    <row r="110" spans="1:32" ht="15.75" customHeight="1" x14ac:dyDescent="0.15">
      <c r="A110" s="30">
        <v>109</v>
      </c>
      <c r="B110" s="31" t="s">
        <v>2790</v>
      </c>
      <c r="C110" s="49" t="s">
        <v>2655</v>
      </c>
      <c r="D110" s="30">
        <v>0.76</v>
      </c>
      <c r="E110" s="30">
        <v>7</v>
      </c>
      <c r="F110" s="30">
        <v>6</v>
      </c>
      <c r="G110" s="30">
        <v>1</v>
      </c>
      <c r="H110" s="30">
        <v>0</v>
      </c>
      <c r="I110" s="30">
        <v>0</v>
      </c>
      <c r="J110" s="30">
        <v>0</v>
      </c>
      <c r="K110" s="30">
        <v>2</v>
      </c>
      <c r="L110" s="30">
        <v>1</v>
      </c>
      <c r="M110" s="30">
        <v>0</v>
      </c>
      <c r="N110" s="30">
        <v>0.85699999999999998</v>
      </c>
      <c r="O110" s="30">
        <v>175</v>
      </c>
      <c r="P110" s="33">
        <v>47.1</v>
      </c>
      <c r="Q110" s="30">
        <v>22</v>
      </c>
      <c r="R110" s="30">
        <v>3</v>
      </c>
      <c r="S110" s="30">
        <v>11</v>
      </c>
      <c r="T110" s="30">
        <v>0</v>
      </c>
      <c r="U110" s="30">
        <v>2</v>
      </c>
      <c r="V110" s="30">
        <v>34</v>
      </c>
      <c r="W110" s="30">
        <v>2</v>
      </c>
      <c r="X110" s="30">
        <v>0</v>
      </c>
      <c r="Y110" s="30">
        <v>6</v>
      </c>
      <c r="Z110" s="30">
        <v>4</v>
      </c>
      <c r="AA110" s="23" t="s">
        <v>15</v>
      </c>
      <c r="AB110" s="23" t="s">
        <v>122</v>
      </c>
      <c r="AC110" s="23" t="s">
        <v>105</v>
      </c>
      <c r="AD110" s="23">
        <f t="shared" si="0"/>
        <v>0.70063694267515919</v>
      </c>
      <c r="AE110" s="23">
        <f t="shared" si="1"/>
        <v>3.3323142250530786</v>
      </c>
      <c r="AF110" s="23">
        <f t="shared" si="2"/>
        <v>0.152</v>
      </c>
    </row>
    <row r="111" spans="1:32" ht="15.75" customHeight="1" x14ac:dyDescent="0.15">
      <c r="A111" s="34">
        <v>110</v>
      </c>
      <c r="B111" s="35" t="s">
        <v>2792</v>
      </c>
      <c r="C111" s="38" t="s">
        <v>2648</v>
      </c>
      <c r="D111" s="34">
        <v>1.91</v>
      </c>
      <c r="E111" s="34">
        <v>49</v>
      </c>
      <c r="F111" s="34">
        <v>2</v>
      </c>
      <c r="G111" s="34">
        <v>4</v>
      </c>
      <c r="H111" s="34">
        <v>1</v>
      </c>
      <c r="I111" s="34">
        <v>33</v>
      </c>
      <c r="J111" s="34">
        <v>35</v>
      </c>
      <c r="K111" s="34">
        <v>0</v>
      </c>
      <c r="L111" s="34">
        <v>0</v>
      </c>
      <c r="M111" s="34">
        <v>0</v>
      </c>
      <c r="N111" s="34">
        <v>0.33300000000000002</v>
      </c>
      <c r="O111" s="34">
        <v>182</v>
      </c>
      <c r="P111" s="33">
        <v>47</v>
      </c>
      <c r="Q111" s="34">
        <v>33</v>
      </c>
      <c r="R111" s="34">
        <v>2</v>
      </c>
      <c r="S111" s="34">
        <v>9</v>
      </c>
      <c r="T111" s="34">
        <v>2</v>
      </c>
      <c r="U111" s="34">
        <v>2</v>
      </c>
      <c r="V111" s="34">
        <v>33</v>
      </c>
      <c r="W111" s="34">
        <v>0</v>
      </c>
      <c r="X111" s="34">
        <v>0</v>
      </c>
      <c r="Y111" s="34">
        <v>11</v>
      </c>
      <c r="Z111" s="34">
        <v>10</v>
      </c>
      <c r="AA111" s="24" t="s">
        <v>14</v>
      </c>
      <c r="AB111" s="24" t="s">
        <v>86</v>
      </c>
      <c r="AC111" s="24" t="s">
        <v>80</v>
      </c>
      <c r="AD111" s="23">
        <f t="shared" si="0"/>
        <v>0.8936170212765957</v>
      </c>
      <c r="AE111" s="23">
        <f t="shared" si="1"/>
        <v>2.843404255319149</v>
      </c>
      <c r="AF111" s="23">
        <f t="shared" si="2"/>
        <v>0.23134328358208955</v>
      </c>
    </row>
    <row r="112" spans="1:32" ht="15.75" customHeight="1" x14ac:dyDescent="0.15">
      <c r="A112" s="30">
        <v>111</v>
      </c>
      <c r="B112" s="31" t="s">
        <v>2793</v>
      </c>
      <c r="C112" s="49" t="s">
        <v>2655</v>
      </c>
      <c r="D112" s="30">
        <v>1.74</v>
      </c>
      <c r="E112" s="30">
        <v>40</v>
      </c>
      <c r="F112" s="30">
        <v>4</v>
      </c>
      <c r="G112" s="30">
        <v>1</v>
      </c>
      <c r="H112" s="30">
        <v>0</v>
      </c>
      <c r="I112" s="30">
        <v>5</v>
      </c>
      <c r="J112" s="30">
        <v>9</v>
      </c>
      <c r="K112" s="30">
        <v>0</v>
      </c>
      <c r="L112" s="30">
        <v>0</v>
      </c>
      <c r="M112" s="30">
        <v>0</v>
      </c>
      <c r="N112" s="30">
        <v>0.8</v>
      </c>
      <c r="O112" s="30">
        <v>178</v>
      </c>
      <c r="P112" s="33">
        <v>46.2</v>
      </c>
      <c r="Q112" s="30">
        <v>29</v>
      </c>
      <c r="R112" s="30">
        <v>3</v>
      </c>
      <c r="S112" s="30">
        <v>9</v>
      </c>
      <c r="T112" s="30">
        <v>0</v>
      </c>
      <c r="U112" s="30">
        <v>1</v>
      </c>
      <c r="V112" s="30">
        <v>40</v>
      </c>
      <c r="W112" s="30">
        <v>0</v>
      </c>
      <c r="X112" s="30">
        <v>1</v>
      </c>
      <c r="Y112" s="30">
        <v>10</v>
      </c>
      <c r="Z112" s="30">
        <v>9</v>
      </c>
      <c r="AA112" s="23" t="s">
        <v>15</v>
      </c>
      <c r="AB112" s="23" t="s">
        <v>98</v>
      </c>
      <c r="AC112" s="23" t="s">
        <v>98</v>
      </c>
      <c r="AD112" s="23">
        <f t="shared" si="0"/>
        <v>0.82251082251082241</v>
      </c>
      <c r="AE112" s="23">
        <f t="shared" si="1"/>
        <v>2.881904761904762</v>
      </c>
      <c r="AF112" s="23">
        <f t="shared" si="2"/>
        <v>0.20799999999999999</v>
      </c>
    </row>
    <row r="113" spans="1:32" ht="15.75" customHeight="1" x14ac:dyDescent="0.15">
      <c r="A113" s="34">
        <v>112</v>
      </c>
      <c r="B113" s="35" t="s">
        <v>2796</v>
      </c>
      <c r="C113" s="58" t="s">
        <v>2645</v>
      </c>
      <c r="D113" s="34">
        <v>2.54</v>
      </c>
      <c r="E113" s="34">
        <v>50</v>
      </c>
      <c r="F113" s="34">
        <v>3</v>
      </c>
      <c r="G113" s="34">
        <v>3</v>
      </c>
      <c r="H113" s="34">
        <v>11</v>
      </c>
      <c r="I113" s="34">
        <v>19</v>
      </c>
      <c r="J113" s="34">
        <v>22</v>
      </c>
      <c r="K113" s="34">
        <v>0</v>
      </c>
      <c r="L113" s="34">
        <v>0</v>
      </c>
      <c r="M113" s="34">
        <v>0</v>
      </c>
      <c r="N113" s="34">
        <v>0.5</v>
      </c>
      <c r="O113" s="34">
        <v>187</v>
      </c>
      <c r="P113" s="33">
        <v>46</v>
      </c>
      <c r="Q113" s="34">
        <v>40</v>
      </c>
      <c r="R113" s="34">
        <v>2</v>
      </c>
      <c r="S113" s="34">
        <v>16</v>
      </c>
      <c r="T113" s="34">
        <v>2</v>
      </c>
      <c r="U113" s="34">
        <v>1</v>
      </c>
      <c r="V113" s="34">
        <v>37</v>
      </c>
      <c r="W113" s="34">
        <v>0</v>
      </c>
      <c r="X113" s="34">
        <v>0</v>
      </c>
      <c r="Y113" s="34">
        <v>13</v>
      </c>
      <c r="Z113" s="34">
        <v>13</v>
      </c>
      <c r="AA113" s="24" t="s">
        <v>15</v>
      </c>
      <c r="AB113" s="24" t="s">
        <v>123</v>
      </c>
      <c r="AC113" s="24" t="s">
        <v>123</v>
      </c>
      <c r="AD113" s="23">
        <f t="shared" si="0"/>
        <v>1.2173913043478262</v>
      </c>
      <c r="AE113" s="23">
        <f t="shared" si="1"/>
        <v>3.0547826086956524</v>
      </c>
      <c r="AF113" s="23">
        <f t="shared" si="2"/>
        <v>0.29457364341085274</v>
      </c>
    </row>
    <row r="114" spans="1:32" ht="15.75" customHeight="1" x14ac:dyDescent="0.15">
      <c r="A114" s="30">
        <v>113</v>
      </c>
      <c r="B114" s="31" t="s">
        <v>2794</v>
      </c>
      <c r="C114" s="55" t="s">
        <v>2652</v>
      </c>
      <c r="D114" s="30">
        <v>1.99</v>
      </c>
      <c r="E114" s="30">
        <v>48</v>
      </c>
      <c r="F114" s="30">
        <v>0</v>
      </c>
      <c r="G114" s="30">
        <v>2</v>
      </c>
      <c r="H114" s="30">
        <v>30</v>
      </c>
      <c r="I114" s="30">
        <v>8</v>
      </c>
      <c r="J114" s="30">
        <v>8</v>
      </c>
      <c r="K114" s="30">
        <v>0</v>
      </c>
      <c r="L114" s="30">
        <v>0</v>
      </c>
      <c r="M114" s="30">
        <v>0</v>
      </c>
      <c r="N114" s="30">
        <v>0</v>
      </c>
      <c r="O114" s="30">
        <v>177</v>
      </c>
      <c r="P114" s="33">
        <v>45.1</v>
      </c>
      <c r="Q114" s="30">
        <v>34</v>
      </c>
      <c r="R114" s="30">
        <v>2</v>
      </c>
      <c r="S114" s="30">
        <v>9</v>
      </c>
      <c r="T114" s="30">
        <v>0</v>
      </c>
      <c r="U114" s="30">
        <v>0</v>
      </c>
      <c r="V114" s="30">
        <v>53</v>
      </c>
      <c r="W114" s="30">
        <v>1</v>
      </c>
      <c r="X114" s="30">
        <v>0</v>
      </c>
      <c r="Y114" s="30">
        <v>10</v>
      </c>
      <c r="Z114" s="30">
        <v>10</v>
      </c>
      <c r="AA114" s="23" t="s">
        <v>15</v>
      </c>
      <c r="AB114" s="23" t="s">
        <v>112</v>
      </c>
      <c r="AC114" s="23" t="s">
        <v>105</v>
      </c>
      <c r="AD114" s="23">
        <f t="shared" si="0"/>
        <v>0.95343680709534362</v>
      </c>
      <c r="AE114" s="23">
        <f t="shared" si="1"/>
        <v>1.9448337028824836</v>
      </c>
      <c r="AF114" s="23">
        <f t="shared" si="2"/>
        <v>0.2831858407079646</v>
      </c>
    </row>
    <row r="115" spans="1:32" ht="15.75" customHeight="1" x14ac:dyDescent="0.15">
      <c r="A115" s="34">
        <v>113</v>
      </c>
      <c r="B115" s="35" t="s">
        <v>3422</v>
      </c>
      <c r="C115" s="51" t="s">
        <v>2655</v>
      </c>
      <c r="D115" s="34">
        <v>2.58</v>
      </c>
      <c r="E115" s="34">
        <v>46</v>
      </c>
      <c r="F115" s="34">
        <v>2</v>
      </c>
      <c r="G115" s="34">
        <v>2</v>
      </c>
      <c r="H115" s="34">
        <v>0</v>
      </c>
      <c r="I115" s="34">
        <v>23</v>
      </c>
      <c r="J115" s="34">
        <v>25</v>
      </c>
      <c r="K115" s="34">
        <v>0</v>
      </c>
      <c r="L115" s="34">
        <v>0</v>
      </c>
      <c r="M115" s="34">
        <v>0</v>
      </c>
      <c r="N115" s="34">
        <v>0.5</v>
      </c>
      <c r="O115" s="34">
        <v>176</v>
      </c>
      <c r="P115" s="33">
        <v>45.1</v>
      </c>
      <c r="Q115" s="34">
        <v>34</v>
      </c>
      <c r="R115" s="34">
        <v>3</v>
      </c>
      <c r="S115" s="34">
        <v>9</v>
      </c>
      <c r="T115" s="34">
        <v>0</v>
      </c>
      <c r="U115" s="34">
        <v>3</v>
      </c>
      <c r="V115" s="34">
        <v>41</v>
      </c>
      <c r="W115" s="34">
        <v>0</v>
      </c>
      <c r="X115" s="34">
        <v>0</v>
      </c>
      <c r="Y115" s="34">
        <v>14</v>
      </c>
      <c r="Z115" s="34">
        <v>13</v>
      </c>
      <c r="AA115" s="24" t="s">
        <v>15</v>
      </c>
      <c r="AB115" s="24" t="s">
        <v>72</v>
      </c>
      <c r="AC115" s="24" t="s">
        <v>72</v>
      </c>
      <c r="AD115" s="23">
        <f t="shared" si="0"/>
        <v>0.95343680709534362</v>
      </c>
      <c r="AE115" s="23">
        <f t="shared" si="1"/>
        <v>2.964789356984479</v>
      </c>
      <c r="AF115" s="23">
        <f t="shared" si="2"/>
        <v>0.25833333333333336</v>
      </c>
    </row>
    <row r="116" spans="1:32" ht="15.75" customHeight="1" x14ac:dyDescent="0.15">
      <c r="A116" s="30">
        <v>113</v>
      </c>
      <c r="B116" s="31" t="s">
        <v>2795</v>
      </c>
      <c r="C116" s="39" t="s">
        <v>2649</v>
      </c>
      <c r="D116" s="30">
        <v>4.76</v>
      </c>
      <c r="E116" s="30">
        <v>24</v>
      </c>
      <c r="F116" s="30">
        <v>3</v>
      </c>
      <c r="G116" s="30">
        <v>5</v>
      </c>
      <c r="H116" s="30">
        <v>5</v>
      </c>
      <c r="I116" s="30">
        <v>4</v>
      </c>
      <c r="J116" s="30">
        <v>6</v>
      </c>
      <c r="K116" s="30">
        <v>0</v>
      </c>
      <c r="L116" s="30">
        <v>0</v>
      </c>
      <c r="M116" s="30">
        <v>0</v>
      </c>
      <c r="N116" s="30">
        <v>0.375</v>
      </c>
      <c r="O116" s="30">
        <v>204</v>
      </c>
      <c r="P116" s="33">
        <v>45.1</v>
      </c>
      <c r="Q116" s="30">
        <v>42</v>
      </c>
      <c r="R116" s="30">
        <v>5</v>
      </c>
      <c r="S116" s="30">
        <v>23</v>
      </c>
      <c r="T116" s="30">
        <v>1</v>
      </c>
      <c r="U116" s="30">
        <v>4</v>
      </c>
      <c r="V116" s="30">
        <v>42</v>
      </c>
      <c r="W116" s="30">
        <v>3</v>
      </c>
      <c r="X116" s="30">
        <v>0</v>
      </c>
      <c r="Y116" s="30">
        <v>24</v>
      </c>
      <c r="Z116" s="30">
        <v>24</v>
      </c>
      <c r="AA116" s="23" t="s">
        <v>15</v>
      </c>
      <c r="AB116" s="23" t="s">
        <v>112</v>
      </c>
      <c r="AC116" s="23" t="s">
        <v>105</v>
      </c>
      <c r="AD116" s="23">
        <f t="shared" si="0"/>
        <v>1.4412416851441241</v>
      </c>
      <c r="AE116" s="23">
        <f t="shared" si="1"/>
        <v>4.42820399113082</v>
      </c>
      <c r="AF116" s="23">
        <f t="shared" si="2"/>
        <v>0.2868217054263566</v>
      </c>
    </row>
    <row r="117" spans="1:32" ht="15.75" customHeight="1" x14ac:dyDescent="0.15">
      <c r="A117" s="34">
        <v>116</v>
      </c>
      <c r="B117" s="35" t="s">
        <v>2797</v>
      </c>
      <c r="C117" s="48" t="s">
        <v>2647</v>
      </c>
      <c r="D117" s="34">
        <v>2.2200000000000002</v>
      </c>
      <c r="E117" s="34">
        <v>46</v>
      </c>
      <c r="F117" s="34">
        <v>3</v>
      </c>
      <c r="G117" s="34">
        <v>3</v>
      </c>
      <c r="H117" s="34">
        <v>1</v>
      </c>
      <c r="I117" s="34">
        <v>31</v>
      </c>
      <c r="J117" s="34">
        <v>34</v>
      </c>
      <c r="K117" s="34">
        <v>0</v>
      </c>
      <c r="L117" s="34">
        <v>0</v>
      </c>
      <c r="M117" s="34">
        <v>0</v>
      </c>
      <c r="N117" s="34">
        <v>0.5</v>
      </c>
      <c r="O117" s="34">
        <v>186</v>
      </c>
      <c r="P117" s="33">
        <v>44.2</v>
      </c>
      <c r="Q117" s="34">
        <v>33</v>
      </c>
      <c r="R117" s="34">
        <v>2</v>
      </c>
      <c r="S117" s="34">
        <v>19</v>
      </c>
      <c r="T117" s="34">
        <v>1</v>
      </c>
      <c r="U117" s="34">
        <v>1</v>
      </c>
      <c r="V117" s="34">
        <v>50</v>
      </c>
      <c r="W117" s="34">
        <v>3</v>
      </c>
      <c r="X117" s="34">
        <v>0</v>
      </c>
      <c r="Y117" s="34">
        <v>15</v>
      </c>
      <c r="Z117" s="34">
        <v>11</v>
      </c>
      <c r="AA117" s="24" t="s">
        <v>15</v>
      </c>
      <c r="AB117" s="24" t="s">
        <v>117</v>
      </c>
      <c r="AC117" s="24" t="s">
        <v>112</v>
      </c>
      <c r="AD117" s="23">
        <f t="shared" si="0"/>
        <v>1.1764705882352939</v>
      </c>
      <c r="AE117" s="23">
        <f t="shared" si="1"/>
        <v>2.7353846153846155</v>
      </c>
      <c r="AF117" s="23">
        <f t="shared" si="2"/>
        <v>0.27433628318584069</v>
      </c>
    </row>
    <row r="118" spans="1:32" ht="15.75" customHeight="1" x14ac:dyDescent="0.15">
      <c r="A118" s="30">
        <v>116</v>
      </c>
      <c r="B118" s="31" t="s">
        <v>2798</v>
      </c>
      <c r="C118" s="55" t="s">
        <v>2652</v>
      </c>
      <c r="D118" s="30">
        <v>3.43</v>
      </c>
      <c r="E118" s="30">
        <v>9</v>
      </c>
      <c r="F118" s="30">
        <v>2</v>
      </c>
      <c r="G118" s="30">
        <v>3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0.4</v>
      </c>
      <c r="O118" s="30">
        <v>189</v>
      </c>
      <c r="P118" s="33">
        <v>44.2</v>
      </c>
      <c r="Q118" s="30">
        <v>48</v>
      </c>
      <c r="R118" s="30">
        <v>4</v>
      </c>
      <c r="S118" s="30">
        <v>8</v>
      </c>
      <c r="T118" s="30">
        <v>0</v>
      </c>
      <c r="U118" s="30">
        <v>2</v>
      </c>
      <c r="V118" s="30">
        <v>27</v>
      </c>
      <c r="W118" s="30">
        <v>1</v>
      </c>
      <c r="X118" s="30">
        <v>0</v>
      </c>
      <c r="Y118" s="30">
        <v>19</v>
      </c>
      <c r="Z118" s="30">
        <v>17</v>
      </c>
      <c r="AA118" s="23" t="s">
        <v>15</v>
      </c>
      <c r="AB118" s="23" t="s">
        <v>122</v>
      </c>
      <c r="AC118" s="23" t="s">
        <v>112</v>
      </c>
      <c r="AD118" s="23">
        <f t="shared" si="0"/>
        <v>1.2669683257918551</v>
      </c>
      <c r="AE118" s="23">
        <f t="shared" si="1"/>
        <v>3.7534841628959277</v>
      </c>
      <c r="AF118" s="23">
        <f t="shared" si="2"/>
        <v>0.29729729729729731</v>
      </c>
    </row>
    <row r="119" spans="1:32" ht="15.75" customHeight="1" x14ac:dyDescent="0.15">
      <c r="A119" s="34">
        <v>118</v>
      </c>
      <c r="B119" s="35" t="s">
        <v>2799</v>
      </c>
      <c r="C119" s="56" t="s">
        <v>2653</v>
      </c>
      <c r="D119" s="34">
        <v>3.05</v>
      </c>
      <c r="E119" s="34">
        <v>41</v>
      </c>
      <c r="F119" s="34">
        <v>2</v>
      </c>
      <c r="G119" s="34">
        <v>3</v>
      </c>
      <c r="H119" s="34">
        <v>0</v>
      </c>
      <c r="I119" s="34">
        <v>6</v>
      </c>
      <c r="J119" s="34">
        <v>8</v>
      </c>
      <c r="K119" s="34">
        <v>0</v>
      </c>
      <c r="L119" s="34">
        <v>0</v>
      </c>
      <c r="M119" s="34">
        <v>0</v>
      </c>
      <c r="N119" s="34">
        <v>0.4</v>
      </c>
      <c r="O119" s="34">
        <v>179</v>
      </c>
      <c r="P119" s="33">
        <v>44.1</v>
      </c>
      <c r="Q119" s="34">
        <v>34</v>
      </c>
      <c r="R119" s="34">
        <v>4</v>
      </c>
      <c r="S119" s="34">
        <v>14</v>
      </c>
      <c r="T119" s="34">
        <v>1</v>
      </c>
      <c r="U119" s="34">
        <v>3</v>
      </c>
      <c r="V119" s="34">
        <v>40</v>
      </c>
      <c r="W119" s="34">
        <v>2</v>
      </c>
      <c r="X119" s="34">
        <v>0</v>
      </c>
      <c r="Y119" s="34">
        <v>15</v>
      </c>
      <c r="Z119" s="34">
        <v>15</v>
      </c>
      <c r="AA119" s="24" t="s">
        <v>15</v>
      </c>
      <c r="AB119" s="24" t="s">
        <v>105</v>
      </c>
      <c r="AC119" s="24" t="s">
        <v>105</v>
      </c>
      <c r="AD119" s="23">
        <f t="shared" si="0"/>
        <v>1.0884353741496597</v>
      </c>
      <c r="AE119" s="23">
        <f t="shared" si="1"/>
        <v>3.573514739229025</v>
      </c>
      <c r="AF119" s="23">
        <f t="shared" si="2"/>
        <v>0.25641025641025639</v>
      </c>
    </row>
    <row r="120" spans="1:32" ht="15.75" customHeight="1" x14ac:dyDescent="0.15">
      <c r="A120" s="30">
        <v>118</v>
      </c>
      <c r="B120" s="31" t="s">
        <v>2800</v>
      </c>
      <c r="C120" s="54" t="s">
        <v>2650</v>
      </c>
      <c r="D120" s="30">
        <v>2.64</v>
      </c>
      <c r="E120" s="30">
        <v>8</v>
      </c>
      <c r="F120" s="30">
        <v>3</v>
      </c>
      <c r="G120" s="30">
        <v>2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0.6</v>
      </c>
      <c r="O120" s="30">
        <v>191</v>
      </c>
      <c r="P120" s="33">
        <v>44.1</v>
      </c>
      <c r="Q120" s="30">
        <v>31</v>
      </c>
      <c r="R120" s="30">
        <v>2</v>
      </c>
      <c r="S120" s="30">
        <v>22</v>
      </c>
      <c r="T120" s="30">
        <v>1</v>
      </c>
      <c r="U120" s="30">
        <v>4</v>
      </c>
      <c r="V120" s="30">
        <v>45</v>
      </c>
      <c r="W120" s="30">
        <v>3</v>
      </c>
      <c r="X120" s="30">
        <v>0</v>
      </c>
      <c r="Y120" s="30">
        <v>14</v>
      </c>
      <c r="Z120" s="30">
        <v>13</v>
      </c>
      <c r="AA120" s="23" t="s">
        <v>15</v>
      </c>
      <c r="AB120" s="23" t="s">
        <v>90</v>
      </c>
      <c r="AC120" s="23" t="s">
        <v>90</v>
      </c>
      <c r="AD120" s="23">
        <f t="shared" si="0"/>
        <v>1.201814058956916</v>
      </c>
      <c r="AE120" s="23">
        <f t="shared" si="1"/>
        <v>3.369433106575964</v>
      </c>
      <c r="AF120" s="23">
        <f t="shared" si="2"/>
        <v>0.24786324786324787</v>
      </c>
    </row>
    <row r="121" spans="1:32" ht="15.75" customHeight="1" x14ac:dyDescent="0.15">
      <c r="A121" s="34">
        <v>120</v>
      </c>
      <c r="B121" s="35" t="s">
        <v>2801</v>
      </c>
      <c r="C121" s="43" t="s">
        <v>2649</v>
      </c>
      <c r="D121" s="34">
        <v>3.71</v>
      </c>
      <c r="E121" s="34">
        <v>40</v>
      </c>
      <c r="F121" s="34">
        <v>0</v>
      </c>
      <c r="G121" s="34">
        <v>2</v>
      </c>
      <c r="H121" s="34">
        <v>0</v>
      </c>
      <c r="I121" s="34">
        <v>7</v>
      </c>
      <c r="J121" s="34">
        <v>7</v>
      </c>
      <c r="K121" s="34">
        <v>0</v>
      </c>
      <c r="L121" s="34">
        <v>0</v>
      </c>
      <c r="M121" s="34">
        <v>0</v>
      </c>
      <c r="N121" s="34">
        <v>0</v>
      </c>
      <c r="O121" s="34">
        <v>179</v>
      </c>
      <c r="P121" s="33">
        <v>43.2</v>
      </c>
      <c r="Q121" s="34">
        <v>34</v>
      </c>
      <c r="R121" s="34">
        <v>4</v>
      </c>
      <c r="S121" s="34">
        <v>13</v>
      </c>
      <c r="T121" s="34">
        <v>1</v>
      </c>
      <c r="U121" s="34">
        <v>3</v>
      </c>
      <c r="V121" s="34">
        <v>46</v>
      </c>
      <c r="W121" s="34">
        <v>0</v>
      </c>
      <c r="X121" s="34">
        <v>0</v>
      </c>
      <c r="Y121" s="34">
        <v>18</v>
      </c>
      <c r="Z121" s="34">
        <v>18</v>
      </c>
      <c r="AA121" s="24" t="s">
        <v>15</v>
      </c>
      <c r="AB121" s="24" t="s">
        <v>117</v>
      </c>
      <c r="AC121" s="24" t="s">
        <v>117</v>
      </c>
      <c r="AD121" s="23">
        <f t="shared" si="0"/>
        <v>1.0879629629629628</v>
      </c>
      <c r="AE121" s="23">
        <f t="shared" si="1"/>
        <v>3.235740740740741</v>
      </c>
      <c r="AF121" s="23">
        <f t="shared" si="2"/>
        <v>0.26785714285714285</v>
      </c>
    </row>
    <row r="122" spans="1:32" ht="15.75" customHeight="1" x14ac:dyDescent="0.15">
      <c r="A122" s="30">
        <v>121</v>
      </c>
      <c r="B122" s="31" t="s">
        <v>2802</v>
      </c>
      <c r="C122" s="39" t="s">
        <v>2649</v>
      </c>
      <c r="D122" s="30">
        <v>3.74</v>
      </c>
      <c r="E122" s="30">
        <v>50</v>
      </c>
      <c r="F122" s="30">
        <v>2</v>
      </c>
      <c r="G122" s="30">
        <v>4</v>
      </c>
      <c r="H122" s="30">
        <v>5</v>
      </c>
      <c r="I122" s="30">
        <v>20</v>
      </c>
      <c r="J122" s="30">
        <v>22</v>
      </c>
      <c r="K122" s="30">
        <v>0</v>
      </c>
      <c r="L122" s="30">
        <v>0</v>
      </c>
      <c r="M122" s="30">
        <v>0</v>
      </c>
      <c r="N122" s="30">
        <v>0.33300000000000002</v>
      </c>
      <c r="O122" s="30">
        <v>181</v>
      </c>
      <c r="P122" s="33">
        <v>43.1</v>
      </c>
      <c r="Q122" s="30">
        <v>45</v>
      </c>
      <c r="R122" s="30">
        <v>5</v>
      </c>
      <c r="S122" s="30">
        <v>9</v>
      </c>
      <c r="T122" s="30">
        <v>2</v>
      </c>
      <c r="U122" s="30">
        <v>1</v>
      </c>
      <c r="V122" s="30">
        <v>42</v>
      </c>
      <c r="W122" s="30">
        <v>0</v>
      </c>
      <c r="X122" s="30">
        <v>0</v>
      </c>
      <c r="Y122" s="30">
        <v>21</v>
      </c>
      <c r="Z122" s="30">
        <v>18</v>
      </c>
      <c r="AA122" s="23" t="s">
        <v>15</v>
      </c>
      <c r="AB122" s="23" t="s">
        <v>122</v>
      </c>
      <c r="AC122" s="23" t="s">
        <v>105</v>
      </c>
      <c r="AD122" s="23">
        <f t="shared" si="0"/>
        <v>1.2529002320185614</v>
      </c>
      <c r="AE122" s="23">
        <f t="shared" si="1"/>
        <v>3.2360092807424596</v>
      </c>
      <c r="AF122" s="23">
        <f t="shared" si="2"/>
        <v>0.32786885245901637</v>
      </c>
    </row>
    <row r="123" spans="1:32" ht="15.75" customHeight="1" x14ac:dyDescent="0.15">
      <c r="A123" s="34">
        <v>121</v>
      </c>
      <c r="B123" s="35" t="s">
        <v>2808</v>
      </c>
      <c r="C123" s="58" t="s">
        <v>2645</v>
      </c>
      <c r="D123" s="34">
        <v>3.74</v>
      </c>
      <c r="E123" s="34">
        <v>46</v>
      </c>
      <c r="F123" s="34">
        <v>2</v>
      </c>
      <c r="G123" s="34">
        <v>1</v>
      </c>
      <c r="H123" s="34">
        <v>0</v>
      </c>
      <c r="I123" s="34">
        <v>11</v>
      </c>
      <c r="J123" s="34">
        <v>13</v>
      </c>
      <c r="K123" s="34">
        <v>0</v>
      </c>
      <c r="L123" s="34">
        <v>0</v>
      </c>
      <c r="M123" s="34">
        <v>0</v>
      </c>
      <c r="N123" s="34">
        <v>0.66700000000000004</v>
      </c>
      <c r="O123" s="34">
        <v>182</v>
      </c>
      <c r="P123" s="33">
        <v>43.1</v>
      </c>
      <c r="Q123" s="34">
        <v>41</v>
      </c>
      <c r="R123" s="34">
        <v>5</v>
      </c>
      <c r="S123" s="34">
        <v>13</v>
      </c>
      <c r="T123" s="34">
        <v>0</v>
      </c>
      <c r="U123" s="34">
        <v>2</v>
      </c>
      <c r="V123" s="34">
        <v>27</v>
      </c>
      <c r="W123" s="34">
        <v>1</v>
      </c>
      <c r="X123" s="34">
        <v>0</v>
      </c>
      <c r="Y123" s="34">
        <v>21</v>
      </c>
      <c r="Z123" s="34">
        <v>18</v>
      </c>
      <c r="AA123" s="24" t="s">
        <v>15</v>
      </c>
      <c r="AB123" s="24" t="s">
        <v>129</v>
      </c>
      <c r="AC123" s="24" t="s">
        <v>112</v>
      </c>
      <c r="AD123" s="23">
        <f t="shared" si="0"/>
        <v>1.2529002320185614</v>
      </c>
      <c r="AE123" s="23">
        <f t="shared" si="1"/>
        <v>4.4193039443155451</v>
      </c>
      <c r="AF123" s="23">
        <f t="shared" si="2"/>
        <v>0.26666666666666666</v>
      </c>
    </row>
    <row r="124" spans="1:32" ht="15.75" customHeight="1" x14ac:dyDescent="0.15">
      <c r="A124" s="30">
        <v>121</v>
      </c>
      <c r="B124" s="31" t="s">
        <v>2803</v>
      </c>
      <c r="C124" s="55" t="s">
        <v>2652</v>
      </c>
      <c r="D124" s="30">
        <v>3.12</v>
      </c>
      <c r="E124" s="30">
        <v>46</v>
      </c>
      <c r="F124" s="30">
        <v>2</v>
      </c>
      <c r="G124" s="30">
        <v>2</v>
      </c>
      <c r="H124" s="30">
        <v>0</v>
      </c>
      <c r="I124" s="30">
        <v>16</v>
      </c>
      <c r="J124" s="30">
        <v>18</v>
      </c>
      <c r="K124" s="30">
        <v>0</v>
      </c>
      <c r="L124" s="30">
        <v>0</v>
      </c>
      <c r="M124" s="30">
        <v>0</v>
      </c>
      <c r="N124" s="30">
        <v>0.5</v>
      </c>
      <c r="O124" s="30">
        <v>186</v>
      </c>
      <c r="P124" s="33">
        <v>43.1</v>
      </c>
      <c r="Q124" s="30">
        <v>44</v>
      </c>
      <c r="R124" s="30">
        <v>4</v>
      </c>
      <c r="S124" s="30">
        <v>13</v>
      </c>
      <c r="T124" s="30">
        <v>0</v>
      </c>
      <c r="U124" s="30">
        <v>6</v>
      </c>
      <c r="V124" s="30">
        <v>39</v>
      </c>
      <c r="W124" s="30">
        <v>3</v>
      </c>
      <c r="X124" s="30">
        <v>0</v>
      </c>
      <c r="Y124" s="30">
        <v>18</v>
      </c>
      <c r="Z124" s="30">
        <v>15</v>
      </c>
      <c r="AA124" s="23" t="s">
        <v>15</v>
      </c>
      <c r="AB124" s="23" t="s">
        <v>129</v>
      </c>
      <c r="AC124" s="23" t="s">
        <v>117</v>
      </c>
      <c r="AD124" s="23">
        <f t="shared" si="0"/>
        <v>1.3225058004640371</v>
      </c>
      <c r="AE124" s="23">
        <f t="shared" si="1"/>
        <v>3.8392575406032483</v>
      </c>
      <c r="AF124" s="23">
        <f t="shared" si="2"/>
        <v>0.32258064516129031</v>
      </c>
    </row>
    <row r="125" spans="1:32" ht="15.75" customHeight="1" x14ac:dyDescent="0.15">
      <c r="A125" s="34">
        <v>121</v>
      </c>
      <c r="B125" s="35" t="s">
        <v>2804</v>
      </c>
      <c r="C125" s="48" t="s">
        <v>2647</v>
      </c>
      <c r="D125" s="34">
        <v>5.19</v>
      </c>
      <c r="E125" s="34">
        <v>8</v>
      </c>
      <c r="F125" s="34">
        <v>2</v>
      </c>
      <c r="G125" s="34">
        <v>4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0.33300000000000002</v>
      </c>
      <c r="O125" s="34">
        <v>187</v>
      </c>
      <c r="P125" s="33">
        <v>43.1</v>
      </c>
      <c r="Q125" s="34">
        <v>40</v>
      </c>
      <c r="R125" s="34">
        <v>6</v>
      </c>
      <c r="S125" s="34">
        <v>19</v>
      </c>
      <c r="T125" s="34">
        <v>0</v>
      </c>
      <c r="U125" s="34">
        <v>3</v>
      </c>
      <c r="V125" s="34">
        <v>41</v>
      </c>
      <c r="W125" s="34">
        <v>0</v>
      </c>
      <c r="X125" s="34">
        <v>0</v>
      </c>
      <c r="Y125" s="34">
        <v>27</v>
      </c>
      <c r="Z125" s="34">
        <v>25</v>
      </c>
      <c r="AA125" s="24" t="s">
        <v>15</v>
      </c>
      <c r="AB125" s="24" t="s">
        <v>98</v>
      </c>
      <c r="AC125" s="24" t="s">
        <v>98</v>
      </c>
      <c r="AD125" s="23">
        <f t="shared" si="0"/>
        <v>1.3689095127610209</v>
      </c>
      <c r="AE125" s="23">
        <f t="shared" si="1"/>
        <v>4.5585150812064965</v>
      </c>
      <c r="AF125" s="23">
        <f t="shared" si="2"/>
        <v>0.28813559322033899</v>
      </c>
    </row>
    <row r="126" spans="1:32" ht="15.75" customHeight="1" x14ac:dyDescent="0.15">
      <c r="A126" s="30">
        <v>125</v>
      </c>
      <c r="B126" s="31" t="s">
        <v>2805</v>
      </c>
      <c r="C126" s="41" t="s">
        <v>2651</v>
      </c>
      <c r="D126" s="30">
        <v>2.93</v>
      </c>
      <c r="E126" s="30">
        <v>53</v>
      </c>
      <c r="F126" s="30">
        <v>4</v>
      </c>
      <c r="G126" s="30">
        <v>3</v>
      </c>
      <c r="H126" s="30">
        <v>0</v>
      </c>
      <c r="I126" s="30">
        <v>13</v>
      </c>
      <c r="J126" s="30">
        <v>17</v>
      </c>
      <c r="K126" s="30">
        <v>0</v>
      </c>
      <c r="L126" s="30">
        <v>0</v>
      </c>
      <c r="M126" s="30">
        <v>0</v>
      </c>
      <c r="N126" s="30">
        <v>0.57099999999999995</v>
      </c>
      <c r="O126" s="30">
        <v>177</v>
      </c>
      <c r="P126" s="33">
        <v>43</v>
      </c>
      <c r="Q126" s="30">
        <v>32</v>
      </c>
      <c r="R126" s="30">
        <v>5</v>
      </c>
      <c r="S126" s="30">
        <v>14</v>
      </c>
      <c r="T126" s="30">
        <v>2</v>
      </c>
      <c r="U126" s="30">
        <v>2</v>
      </c>
      <c r="V126" s="30">
        <v>48</v>
      </c>
      <c r="W126" s="30">
        <v>2</v>
      </c>
      <c r="X126" s="30">
        <v>0</v>
      </c>
      <c r="Y126" s="30">
        <v>18</v>
      </c>
      <c r="Z126" s="30">
        <v>14</v>
      </c>
      <c r="AA126" s="23" t="s">
        <v>15</v>
      </c>
      <c r="AB126" s="23" t="s">
        <v>80</v>
      </c>
      <c r="AC126" s="23" t="s">
        <v>72</v>
      </c>
      <c r="AD126" s="23">
        <f t="shared" si="0"/>
        <v>1.069767441860465</v>
      </c>
      <c r="AE126" s="23">
        <f t="shared" si="1"/>
        <v>3.3758139534883722</v>
      </c>
      <c r="AF126" s="23">
        <f t="shared" si="2"/>
        <v>0.25471698113207547</v>
      </c>
    </row>
    <row r="127" spans="1:32" ht="15.75" customHeight="1" x14ac:dyDescent="0.15">
      <c r="A127" s="34">
        <v>125</v>
      </c>
      <c r="B127" s="35" t="s">
        <v>2806</v>
      </c>
      <c r="C127" s="38" t="s">
        <v>2648</v>
      </c>
      <c r="D127" s="34">
        <v>3.77</v>
      </c>
      <c r="E127" s="34">
        <v>30</v>
      </c>
      <c r="F127" s="34">
        <v>2</v>
      </c>
      <c r="G127" s="34">
        <v>1</v>
      </c>
      <c r="H127" s="34">
        <v>0</v>
      </c>
      <c r="I127" s="34">
        <v>1</v>
      </c>
      <c r="J127" s="34">
        <v>3</v>
      </c>
      <c r="K127" s="34">
        <v>0</v>
      </c>
      <c r="L127" s="34">
        <v>0</v>
      </c>
      <c r="M127" s="34">
        <v>0</v>
      </c>
      <c r="N127" s="34">
        <v>0.66700000000000004</v>
      </c>
      <c r="O127" s="34">
        <v>181</v>
      </c>
      <c r="P127" s="33">
        <v>43</v>
      </c>
      <c r="Q127" s="34">
        <v>42</v>
      </c>
      <c r="R127" s="34">
        <v>5</v>
      </c>
      <c r="S127" s="34">
        <v>13</v>
      </c>
      <c r="T127" s="34">
        <v>0</v>
      </c>
      <c r="U127" s="34">
        <v>1</v>
      </c>
      <c r="V127" s="34">
        <v>24</v>
      </c>
      <c r="W127" s="34">
        <v>0</v>
      </c>
      <c r="X127" s="34">
        <v>0</v>
      </c>
      <c r="Y127" s="34">
        <v>19</v>
      </c>
      <c r="Z127" s="34">
        <v>18</v>
      </c>
      <c r="AA127" s="24" t="s">
        <v>15</v>
      </c>
      <c r="AB127" s="24" t="s">
        <v>117</v>
      </c>
      <c r="AC127" s="24" t="s">
        <v>117</v>
      </c>
      <c r="AD127" s="23">
        <f t="shared" si="0"/>
        <v>1.2790697674418605</v>
      </c>
      <c r="AE127" s="23">
        <f t="shared" si="1"/>
        <v>4.4920930232558138</v>
      </c>
      <c r="AF127" s="23">
        <f t="shared" si="2"/>
        <v>0.26811594202898553</v>
      </c>
    </row>
    <row r="128" spans="1:32" ht="15.75" customHeight="1" x14ac:dyDescent="0.15">
      <c r="A128" s="30">
        <v>127</v>
      </c>
      <c r="B128" s="31" t="s">
        <v>2807</v>
      </c>
      <c r="C128" s="49" t="s">
        <v>2655</v>
      </c>
      <c r="D128" s="30">
        <v>1.48</v>
      </c>
      <c r="E128" s="30">
        <v>45</v>
      </c>
      <c r="F128" s="30">
        <v>1</v>
      </c>
      <c r="G128" s="30">
        <v>2</v>
      </c>
      <c r="H128" s="30">
        <v>0</v>
      </c>
      <c r="I128" s="30">
        <v>18</v>
      </c>
      <c r="J128" s="30">
        <v>19</v>
      </c>
      <c r="K128" s="30">
        <v>0</v>
      </c>
      <c r="L128" s="30">
        <v>0</v>
      </c>
      <c r="M128" s="30">
        <v>0</v>
      </c>
      <c r="N128" s="30">
        <v>0.33300000000000002</v>
      </c>
      <c r="O128" s="30">
        <v>171</v>
      </c>
      <c r="P128" s="33">
        <v>42.2</v>
      </c>
      <c r="Q128" s="30">
        <v>26</v>
      </c>
      <c r="R128" s="30">
        <v>3</v>
      </c>
      <c r="S128" s="30">
        <v>16</v>
      </c>
      <c r="T128" s="30">
        <v>0</v>
      </c>
      <c r="U128" s="30">
        <v>4</v>
      </c>
      <c r="V128" s="30">
        <v>52</v>
      </c>
      <c r="W128" s="30">
        <v>2</v>
      </c>
      <c r="X128" s="30">
        <v>2</v>
      </c>
      <c r="Y128" s="30">
        <v>8</v>
      </c>
      <c r="Z128" s="30">
        <v>7</v>
      </c>
      <c r="AA128" s="23" t="s">
        <v>15</v>
      </c>
      <c r="AB128" s="23" t="s">
        <v>90</v>
      </c>
      <c r="AC128" s="23" t="s">
        <v>90</v>
      </c>
      <c r="AD128" s="23">
        <f t="shared" si="0"/>
        <v>0.99526066350710896</v>
      </c>
      <c r="AE128" s="23">
        <f t="shared" si="1"/>
        <v>3.0015165876777252</v>
      </c>
      <c r="AF128" s="23">
        <f t="shared" si="2"/>
        <v>0.23958333333333334</v>
      </c>
    </row>
    <row r="129" spans="1:32" ht="15.75" customHeight="1" x14ac:dyDescent="0.15">
      <c r="A129" s="34">
        <v>128</v>
      </c>
      <c r="B129" s="35" t="s">
        <v>2809</v>
      </c>
      <c r="C129" s="45" t="s">
        <v>2651</v>
      </c>
      <c r="D129" s="34">
        <v>1.7</v>
      </c>
      <c r="E129" s="34">
        <v>45</v>
      </c>
      <c r="F129" s="34">
        <v>1</v>
      </c>
      <c r="G129" s="34">
        <v>4</v>
      </c>
      <c r="H129" s="34">
        <v>31</v>
      </c>
      <c r="I129" s="34">
        <v>4</v>
      </c>
      <c r="J129" s="34">
        <v>5</v>
      </c>
      <c r="K129" s="34">
        <v>0</v>
      </c>
      <c r="L129" s="34">
        <v>0</v>
      </c>
      <c r="M129" s="34">
        <v>0</v>
      </c>
      <c r="N129" s="34">
        <v>0.2</v>
      </c>
      <c r="O129" s="34">
        <v>176</v>
      </c>
      <c r="P129" s="33">
        <v>42.1</v>
      </c>
      <c r="Q129" s="34">
        <v>32</v>
      </c>
      <c r="R129" s="34">
        <v>2</v>
      </c>
      <c r="S129" s="34">
        <v>13</v>
      </c>
      <c r="T129" s="34">
        <v>0</v>
      </c>
      <c r="U129" s="34">
        <v>3</v>
      </c>
      <c r="V129" s="34">
        <v>47</v>
      </c>
      <c r="W129" s="34">
        <v>2</v>
      </c>
      <c r="X129" s="34">
        <v>0</v>
      </c>
      <c r="Y129" s="34">
        <v>9</v>
      </c>
      <c r="Z129" s="34">
        <v>8</v>
      </c>
      <c r="AA129" s="24" t="s">
        <v>15</v>
      </c>
      <c r="AB129" s="24" t="s">
        <v>86</v>
      </c>
      <c r="AC129" s="24" t="s">
        <v>80</v>
      </c>
      <c r="AD129" s="23">
        <f t="shared" si="0"/>
        <v>1.0688836104513064</v>
      </c>
      <c r="AE129" s="23">
        <f t="shared" si="1"/>
        <v>2.6449406175771975</v>
      </c>
      <c r="AF129" s="23">
        <f t="shared" si="2"/>
        <v>0.27027027027027029</v>
      </c>
    </row>
    <row r="130" spans="1:32" ht="15.75" customHeight="1" x14ac:dyDescent="0.15">
      <c r="A130" s="30">
        <v>129</v>
      </c>
      <c r="B130" s="31" t="s">
        <v>2810</v>
      </c>
      <c r="C130" s="55" t="s">
        <v>2652</v>
      </c>
      <c r="D130" s="30">
        <v>1.94</v>
      </c>
      <c r="E130" s="30">
        <v>39</v>
      </c>
      <c r="F130" s="30">
        <v>2</v>
      </c>
      <c r="G130" s="30">
        <v>1</v>
      </c>
      <c r="H130" s="30">
        <v>0</v>
      </c>
      <c r="I130" s="30">
        <v>16</v>
      </c>
      <c r="J130" s="30">
        <v>18</v>
      </c>
      <c r="K130" s="30">
        <v>0</v>
      </c>
      <c r="L130" s="30">
        <v>0</v>
      </c>
      <c r="M130" s="30">
        <v>0</v>
      </c>
      <c r="N130" s="30">
        <v>0.66700000000000004</v>
      </c>
      <c r="O130" s="30">
        <v>168</v>
      </c>
      <c r="P130" s="33">
        <v>41.2</v>
      </c>
      <c r="Q130" s="30">
        <v>27</v>
      </c>
      <c r="R130" s="30">
        <v>2</v>
      </c>
      <c r="S130" s="30">
        <v>15</v>
      </c>
      <c r="T130" s="30">
        <v>0</v>
      </c>
      <c r="U130" s="30">
        <v>2</v>
      </c>
      <c r="V130" s="30">
        <v>44</v>
      </c>
      <c r="W130" s="30">
        <v>3</v>
      </c>
      <c r="X130" s="30">
        <v>0</v>
      </c>
      <c r="Y130" s="30">
        <v>13</v>
      </c>
      <c r="Z130" s="30">
        <v>9</v>
      </c>
      <c r="AA130" s="23" t="s">
        <v>15</v>
      </c>
      <c r="AB130" s="23" t="s">
        <v>112</v>
      </c>
      <c r="AC130" s="23" t="s">
        <v>112</v>
      </c>
      <c r="AD130" s="23">
        <f t="shared" si="0"/>
        <v>1.0194174757281553</v>
      </c>
      <c r="AE130" s="23">
        <f t="shared" si="1"/>
        <v>2.8530097087378641</v>
      </c>
      <c r="AF130" s="23">
        <f t="shared" si="2"/>
        <v>0.23809523809523808</v>
      </c>
    </row>
    <row r="131" spans="1:32" ht="15.75" customHeight="1" x14ac:dyDescent="0.15">
      <c r="A131" s="34">
        <v>129</v>
      </c>
      <c r="B131" s="35" t="s">
        <v>2811</v>
      </c>
      <c r="C131" s="48" t="s">
        <v>2647</v>
      </c>
      <c r="D131" s="34">
        <v>1.51</v>
      </c>
      <c r="E131" s="34">
        <v>32</v>
      </c>
      <c r="F131" s="34">
        <v>3</v>
      </c>
      <c r="G131" s="34">
        <v>0</v>
      </c>
      <c r="H131" s="34">
        <v>2</v>
      </c>
      <c r="I131" s="34">
        <v>4</v>
      </c>
      <c r="J131" s="34">
        <v>7</v>
      </c>
      <c r="K131" s="34">
        <v>0</v>
      </c>
      <c r="L131" s="34">
        <v>0</v>
      </c>
      <c r="M131" s="34">
        <v>0</v>
      </c>
      <c r="N131" s="34">
        <v>1</v>
      </c>
      <c r="O131" s="34">
        <v>166</v>
      </c>
      <c r="P131" s="33">
        <v>41.2</v>
      </c>
      <c r="Q131" s="34">
        <v>30</v>
      </c>
      <c r="R131" s="34">
        <v>1</v>
      </c>
      <c r="S131" s="34">
        <v>15</v>
      </c>
      <c r="T131" s="34">
        <v>0</v>
      </c>
      <c r="U131" s="34">
        <v>0</v>
      </c>
      <c r="V131" s="34">
        <v>40</v>
      </c>
      <c r="W131" s="34">
        <v>1</v>
      </c>
      <c r="X131" s="34">
        <v>0</v>
      </c>
      <c r="Y131" s="34">
        <v>9</v>
      </c>
      <c r="Z131" s="34">
        <v>7</v>
      </c>
      <c r="AA131" s="24" t="s">
        <v>15</v>
      </c>
      <c r="AB131" s="24" t="s">
        <v>98</v>
      </c>
      <c r="AC131" s="24" t="s">
        <v>72</v>
      </c>
      <c r="AD131" s="23">
        <f t="shared" si="0"/>
        <v>1.0922330097087378</v>
      </c>
      <c r="AE131" s="23">
        <f t="shared" si="1"/>
        <v>2.5860194174757281</v>
      </c>
      <c r="AF131" s="23">
        <f t="shared" si="2"/>
        <v>0.26363636363636361</v>
      </c>
    </row>
    <row r="132" spans="1:32" ht="15.75" customHeight="1" x14ac:dyDescent="0.15">
      <c r="A132" s="30">
        <v>129</v>
      </c>
      <c r="B132" s="31" t="s">
        <v>2812</v>
      </c>
      <c r="C132" s="44" t="s">
        <v>2653</v>
      </c>
      <c r="D132" s="30">
        <v>3.89</v>
      </c>
      <c r="E132" s="30">
        <v>7</v>
      </c>
      <c r="F132" s="30">
        <v>1</v>
      </c>
      <c r="G132" s="30">
        <v>2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0.33300000000000002</v>
      </c>
      <c r="O132" s="30">
        <v>168</v>
      </c>
      <c r="P132" s="33">
        <v>41.2</v>
      </c>
      <c r="Q132" s="30">
        <v>39</v>
      </c>
      <c r="R132" s="30">
        <v>5</v>
      </c>
      <c r="S132" s="30">
        <v>9</v>
      </c>
      <c r="T132" s="30">
        <v>0</v>
      </c>
      <c r="U132" s="30">
        <v>0</v>
      </c>
      <c r="V132" s="30">
        <v>21</v>
      </c>
      <c r="W132" s="30">
        <v>0</v>
      </c>
      <c r="X132" s="30">
        <v>0</v>
      </c>
      <c r="Y132" s="30">
        <v>20</v>
      </c>
      <c r="Z132" s="30">
        <v>18</v>
      </c>
      <c r="AA132" s="23" t="s">
        <v>15</v>
      </c>
      <c r="AB132" s="23" t="s">
        <v>129</v>
      </c>
      <c r="AC132" s="23" t="s">
        <v>105</v>
      </c>
      <c r="AD132" s="23">
        <f t="shared" si="0"/>
        <v>1.1650485436893203</v>
      </c>
      <c r="AE132" s="23">
        <f t="shared" si="1"/>
        <v>4.3335922330097087</v>
      </c>
      <c r="AF132" s="23">
        <f t="shared" si="2"/>
        <v>0.25563909774436089</v>
      </c>
    </row>
    <row r="133" spans="1:32" ht="15.75" customHeight="1" x14ac:dyDescent="0.15">
      <c r="A133" s="34">
        <v>132</v>
      </c>
      <c r="B133" s="35" t="s">
        <v>2813</v>
      </c>
      <c r="C133" s="40" t="s">
        <v>2650</v>
      </c>
      <c r="D133" s="34">
        <v>3.05</v>
      </c>
      <c r="E133" s="34">
        <v>45</v>
      </c>
      <c r="F133" s="34">
        <v>1</v>
      </c>
      <c r="G133" s="34">
        <v>2</v>
      </c>
      <c r="H133" s="34">
        <v>0</v>
      </c>
      <c r="I133" s="34">
        <v>15</v>
      </c>
      <c r="J133" s="34">
        <v>16</v>
      </c>
      <c r="K133" s="34">
        <v>0</v>
      </c>
      <c r="L133" s="34">
        <v>0</v>
      </c>
      <c r="M133" s="34">
        <v>0</v>
      </c>
      <c r="N133" s="34">
        <v>0.33300000000000002</v>
      </c>
      <c r="O133" s="34">
        <v>173</v>
      </c>
      <c r="P133" s="33">
        <v>41.1</v>
      </c>
      <c r="Q133" s="34">
        <v>36</v>
      </c>
      <c r="R133" s="34">
        <v>2</v>
      </c>
      <c r="S133" s="34">
        <v>13</v>
      </c>
      <c r="T133" s="34">
        <v>0</v>
      </c>
      <c r="U133" s="34">
        <v>1</v>
      </c>
      <c r="V133" s="34">
        <v>31</v>
      </c>
      <c r="W133" s="34">
        <v>1</v>
      </c>
      <c r="X133" s="34">
        <v>0</v>
      </c>
      <c r="Y133" s="34">
        <v>16</v>
      </c>
      <c r="Z133" s="34">
        <v>14</v>
      </c>
      <c r="AA133" s="24" t="s">
        <v>15</v>
      </c>
      <c r="AB133" s="24" t="s">
        <v>123</v>
      </c>
      <c r="AC133" s="24" t="s">
        <v>112</v>
      </c>
      <c r="AD133" s="23">
        <f t="shared" si="0"/>
        <v>1.192214111922141</v>
      </c>
      <c r="AE133" s="23">
        <f t="shared" si="1"/>
        <v>3.2659854014598539</v>
      </c>
      <c r="AF133" s="23">
        <f t="shared" si="2"/>
        <v>0.26984126984126983</v>
      </c>
    </row>
    <row r="134" spans="1:32" ht="15.75" customHeight="1" x14ac:dyDescent="0.15">
      <c r="A134" s="30">
        <v>132</v>
      </c>
      <c r="B134" s="31" t="s">
        <v>2814</v>
      </c>
      <c r="C134" s="44" t="s">
        <v>2653</v>
      </c>
      <c r="D134" s="30">
        <v>4.1399999999999997</v>
      </c>
      <c r="E134" s="30">
        <v>42</v>
      </c>
      <c r="F134" s="30">
        <v>2</v>
      </c>
      <c r="G134" s="30">
        <v>1</v>
      </c>
      <c r="H134" s="30">
        <v>0</v>
      </c>
      <c r="I134" s="30">
        <v>11</v>
      </c>
      <c r="J134" s="30">
        <v>13</v>
      </c>
      <c r="K134" s="30">
        <v>0</v>
      </c>
      <c r="L134" s="30">
        <v>0</v>
      </c>
      <c r="M134" s="30">
        <v>0</v>
      </c>
      <c r="N134" s="30">
        <v>0.66700000000000004</v>
      </c>
      <c r="O134" s="30">
        <v>173</v>
      </c>
      <c r="P134" s="33">
        <v>41.1</v>
      </c>
      <c r="Q134" s="30">
        <v>40</v>
      </c>
      <c r="R134" s="30">
        <v>7</v>
      </c>
      <c r="S134" s="30">
        <v>7</v>
      </c>
      <c r="T134" s="30">
        <v>1</v>
      </c>
      <c r="U134" s="30">
        <v>1</v>
      </c>
      <c r="V134" s="30">
        <v>38</v>
      </c>
      <c r="W134" s="30">
        <v>0</v>
      </c>
      <c r="X134" s="30">
        <v>0</v>
      </c>
      <c r="Y134" s="30">
        <v>19</v>
      </c>
      <c r="Z134" s="30">
        <v>19</v>
      </c>
      <c r="AA134" s="23" t="s">
        <v>15</v>
      </c>
      <c r="AB134" s="23" t="s">
        <v>98</v>
      </c>
      <c r="AC134" s="23" t="s">
        <v>80</v>
      </c>
      <c r="AD134" s="23">
        <f t="shared" si="0"/>
        <v>1.1435523114355231</v>
      </c>
      <c r="AE134" s="23">
        <f t="shared" si="1"/>
        <v>3.995912408759124</v>
      </c>
      <c r="AF134" s="23">
        <f t="shared" si="2"/>
        <v>0.27731092436974791</v>
      </c>
    </row>
    <row r="135" spans="1:32" ht="15.75" customHeight="1" x14ac:dyDescent="0.15">
      <c r="A135" s="34">
        <v>132</v>
      </c>
      <c r="B135" s="35" t="s">
        <v>2815</v>
      </c>
      <c r="C135" s="56" t="s">
        <v>2653</v>
      </c>
      <c r="D135" s="34">
        <v>2.4</v>
      </c>
      <c r="E135" s="34">
        <v>42</v>
      </c>
      <c r="F135" s="34">
        <v>7</v>
      </c>
      <c r="G135" s="34">
        <v>1</v>
      </c>
      <c r="H135" s="34">
        <v>1</v>
      </c>
      <c r="I135" s="34">
        <v>19</v>
      </c>
      <c r="J135" s="34">
        <v>26</v>
      </c>
      <c r="K135" s="34">
        <v>0</v>
      </c>
      <c r="L135" s="34">
        <v>0</v>
      </c>
      <c r="M135" s="34">
        <v>0</v>
      </c>
      <c r="N135" s="34">
        <v>0.875</v>
      </c>
      <c r="O135" s="34">
        <v>167</v>
      </c>
      <c r="P135" s="33">
        <v>41.1</v>
      </c>
      <c r="Q135" s="34">
        <v>32</v>
      </c>
      <c r="R135" s="34">
        <v>4</v>
      </c>
      <c r="S135" s="34">
        <v>11</v>
      </c>
      <c r="T135" s="34">
        <v>0</v>
      </c>
      <c r="U135" s="34">
        <v>0</v>
      </c>
      <c r="V135" s="34">
        <v>38</v>
      </c>
      <c r="W135" s="34">
        <v>0</v>
      </c>
      <c r="X135" s="34">
        <v>0</v>
      </c>
      <c r="Y135" s="34">
        <v>11</v>
      </c>
      <c r="Z135" s="34">
        <v>11</v>
      </c>
      <c r="AA135" s="24" t="s">
        <v>15</v>
      </c>
      <c r="AB135" s="24" t="s">
        <v>80</v>
      </c>
      <c r="AC135" s="24" t="s">
        <v>64</v>
      </c>
      <c r="AD135" s="23">
        <f t="shared" si="0"/>
        <v>1.0462287104622872</v>
      </c>
      <c r="AE135" s="23">
        <f t="shared" si="1"/>
        <v>3.3389781021897811</v>
      </c>
      <c r="AF135" s="23">
        <f t="shared" si="2"/>
        <v>0.24561403508771928</v>
      </c>
    </row>
    <row r="136" spans="1:32" ht="15.75" customHeight="1" x14ac:dyDescent="0.15">
      <c r="A136" s="30">
        <v>135</v>
      </c>
      <c r="B136" s="31" t="s">
        <v>2817</v>
      </c>
      <c r="C136" s="39" t="s">
        <v>2649</v>
      </c>
      <c r="D136" s="30">
        <v>2.85</v>
      </c>
      <c r="E136" s="30">
        <v>43</v>
      </c>
      <c r="F136" s="30">
        <v>3</v>
      </c>
      <c r="G136" s="30">
        <v>2</v>
      </c>
      <c r="H136" s="30">
        <v>0</v>
      </c>
      <c r="I136" s="30">
        <v>8</v>
      </c>
      <c r="J136" s="30">
        <v>11</v>
      </c>
      <c r="K136" s="30">
        <v>0</v>
      </c>
      <c r="L136" s="30">
        <v>0</v>
      </c>
      <c r="M136" s="30">
        <v>0</v>
      </c>
      <c r="N136" s="30">
        <v>0.6</v>
      </c>
      <c r="O136" s="30">
        <v>170</v>
      </c>
      <c r="P136" s="33">
        <v>41</v>
      </c>
      <c r="Q136" s="30">
        <v>28</v>
      </c>
      <c r="R136" s="30">
        <v>2</v>
      </c>
      <c r="S136" s="30">
        <v>18</v>
      </c>
      <c r="T136" s="30">
        <v>1</v>
      </c>
      <c r="U136" s="30">
        <v>1</v>
      </c>
      <c r="V136" s="30">
        <v>31</v>
      </c>
      <c r="W136" s="30">
        <v>4</v>
      </c>
      <c r="X136" s="30">
        <v>0</v>
      </c>
      <c r="Y136" s="30">
        <v>15</v>
      </c>
      <c r="Z136" s="30">
        <v>13</v>
      </c>
      <c r="AA136" s="23" t="s">
        <v>15</v>
      </c>
      <c r="AB136" s="23" t="s">
        <v>105</v>
      </c>
      <c r="AC136" s="23" t="s">
        <v>86</v>
      </c>
      <c r="AD136" s="23">
        <f t="shared" si="0"/>
        <v>1.1219512195121952</v>
      </c>
      <c r="AE136" s="23">
        <f t="shared" si="1"/>
        <v>3.5590243902439025</v>
      </c>
      <c r="AF136" s="23">
        <f t="shared" si="2"/>
        <v>0.22222222222222221</v>
      </c>
    </row>
    <row r="137" spans="1:32" ht="15.75" customHeight="1" x14ac:dyDescent="0.15">
      <c r="A137" s="34">
        <v>135</v>
      </c>
      <c r="B137" s="35" t="s">
        <v>2816</v>
      </c>
      <c r="C137" s="43" t="s">
        <v>2649</v>
      </c>
      <c r="D137" s="34">
        <v>5.49</v>
      </c>
      <c r="E137" s="34">
        <v>8</v>
      </c>
      <c r="F137" s="34">
        <v>1</v>
      </c>
      <c r="G137" s="34">
        <v>5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0.16700000000000001</v>
      </c>
      <c r="O137" s="34">
        <v>183</v>
      </c>
      <c r="P137" s="33">
        <v>41</v>
      </c>
      <c r="Q137" s="34">
        <v>42</v>
      </c>
      <c r="R137" s="34">
        <v>6</v>
      </c>
      <c r="S137" s="34">
        <v>17</v>
      </c>
      <c r="T137" s="34">
        <v>1</v>
      </c>
      <c r="U137" s="34">
        <v>3</v>
      </c>
      <c r="V137" s="34">
        <v>27</v>
      </c>
      <c r="W137" s="34">
        <v>1</v>
      </c>
      <c r="X137" s="34">
        <v>0</v>
      </c>
      <c r="Y137" s="34">
        <v>33</v>
      </c>
      <c r="Z137" s="34">
        <v>25</v>
      </c>
      <c r="AA137" s="24" t="s">
        <v>15</v>
      </c>
      <c r="AB137" s="24" t="s">
        <v>153</v>
      </c>
      <c r="AC137" s="24" t="s">
        <v>153</v>
      </c>
      <c r="AD137" s="23">
        <f t="shared" si="0"/>
        <v>1.4390243902439024</v>
      </c>
      <c r="AE137" s="23">
        <f t="shared" si="1"/>
        <v>5.0956097560975611</v>
      </c>
      <c r="AF137" s="23">
        <f t="shared" si="2"/>
        <v>0.27906976744186046</v>
      </c>
    </row>
    <row r="138" spans="1:32" ht="15.75" customHeight="1" x14ac:dyDescent="0.15">
      <c r="A138" s="30">
        <v>137</v>
      </c>
      <c r="B138" s="31" t="s">
        <v>2818</v>
      </c>
      <c r="C138" s="47" t="s">
        <v>2654</v>
      </c>
      <c r="D138" s="30">
        <v>1.1299999999999999</v>
      </c>
      <c r="E138" s="30">
        <v>41</v>
      </c>
      <c r="F138" s="30">
        <v>1</v>
      </c>
      <c r="G138" s="30">
        <v>2</v>
      </c>
      <c r="H138" s="30">
        <v>0</v>
      </c>
      <c r="I138" s="30">
        <v>13</v>
      </c>
      <c r="J138" s="30">
        <v>14</v>
      </c>
      <c r="K138" s="30">
        <v>0</v>
      </c>
      <c r="L138" s="30">
        <v>0</v>
      </c>
      <c r="M138" s="30">
        <v>0</v>
      </c>
      <c r="N138" s="30">
        <v>0.33300000000000002</v>
      </c>
      <c r="O138" s="30">
        <v>158</v>
      </c>
      <c r="P138" s="33">
        <v>40</v>
      </c>
      <c r="Q138" s="30">
        <v>25</v>
      </c>
      <c r="R138" s="30">
        <v>1</v>
      </c>
      <c r="S138" s="30">
        <v>14</v>
      </c>
      <c r="T138" s="30">
        <v>0</v>
      </c>
      <c r="U138" s="30">
        <v>0</v>
      </c>
      <c r="V138" s="30">
        <v>27</v>
      </c>
      <c r="W138" s="30">
        <v>0</v>
      </c>
      <c r="X138" s="30">
        <v>0</v>
      </c>
      <c r="Y138" s="30">
        <v>5</v>
      </c>
      <c r="Z138" s="30">
        <v>5</v>
      </c>
      <c r="AA138" s="23" t="s">
        <v>15</v>
      </c>
      <c r="AB138" s="23" t="s">
        <v>129</v>
      </c>
      <c r="AC138" s="23" t="s">
        <v>129</v>
      </c>
      <c r="AD138" s="23">
        <f t="shared" si="0"/>
        <v>0.97499999999999998</v>
      </c>
      <c r="AE138" s="23">
        <f t="shared" si="1"/>
        <v>3.145</v>
      </c>
      <c r="AF138" s="23">
        <f t="shared" si="2"/>
        <v>0.20689655172413793</v>
      </c>
    </row>
    <row r="139" spans="1:32" ht="15.75" customHeight="1" x14ac:dyDescent="0.15">
      <c r="A139" s="34">
        <v>137</v>
      </c>
      <c r="B139" s="35" t="s">
        <v>2819</v>
      </c>
      <c r="C139" s="57" t="s">
        <v>2654</v>
      </c>
      <c r="D139" s="34">
        <v>3.38</v>
      </c>
      <c r="E139" s="34">
        <v>33</v>
      </c>
      <c r="F139" s="34">
        <v>0</v>
      </c>
      <c r="G139" s="34">
        <v>1</v>
      </c>
      <c r="H139" s="34">
        <v>0</v>
      </c>
      <c r="I139" s="34">
        <v>12</v>
      </c>
      <c r="J139" s="34">
        <v>12</v>
      </c>
      <c r="K139" s="34">
        <v>0</v>
      </c>
      <c r="L139" s="34">
        <v>0</v>
      </c>
      <c r="M139" s="34">
        <v>0</v>
      </c>
      <c r="N139" s="34">
        <v>0</v>
      </c>
      <c r="O139" s="34">
        <v>169</v>
      </c>
      <c r="P139" s="33">
        <v>40</v>
      </c>
      <c r="Q139" s="34">
        <v>35</v>
      </c>
      <c r="R139" s="34">
        <v>3</v>
      </c>
      <c r="S139" s="34">
        <v>12</v>
      </c>
      <c r="T139" s="34">
        <v>0</v>
      </c>
      <c r="U139" s="34">
        <v>3</v>
      </c>
      <c r="V139" s="34">
        <v>33</v>
      </c>
      <c r="W139" s="34">
        <v>0</v>
      </c>
      <c r="X139" s="34">
        <v>0</v>
      </c>
      <c r="Y139" s="34">
        <v>15</v>
      </c>
      <c r="Z139" s="34">
        <v>15</v>
      </c>
      <c r="AA139" s="24" t="s">
        <v>27</v>
      </c>
      <c r="AB139" s="24" t="s">
        <v>72</v>
      </c>
      <c r="AC139" s="24" t="s">
        <v>64</v>
      </c>
      <c r="AD139" s="23">
        <f t="shared" si="0"/>
        <v>1.175</v>
      </c>
      <c r="AE139" s="23">
        <f t="shared" si="1"/>
        <v>3.5700000000000003</v>
      </c>
      <c r="AF139" s="23">
        <f t="shared" si="2"/>
        <v>0.2711864406779661</v>
      </c>
    </row>
    <row r="140" spans="1:32" ht="15.75" customHeight="1" x14ac:dyDescent="0.15">
      <c r="A140" s="30">
        <v>139</v>
      </c>
      <c r="B140" s="31" t="s">
        <v>2820</v>
      </c>
      <c r="C140" s="41" t="s">
        <v>2651</v>
      </c>
      <c r="D140" s="30">
        <v>3.86</v>
      </c>
      <c r="E140" s="30">
        <v>45</v>
      </c>
      <c r="F140" s="30">
        <v>3</v>
      </c>
      <c r="G140" s="30">
        <v>2</v>
      </c>
      <c r="H140" s="30">
        <v>0</v>
      </c>
      <c r="I140" s="30">
        <v>7</v>
      </c>
      <c r="J140" s="30">
        <v>10</v>
      </c>
      <c r="K140" s="30">
        <v>0</v>
      </c>
      <c r="L140" s="30">
        <v>0</v>
      </c>
      <c r="M140" s="30">
        <v>0</v>
      </c>
      <c r="N140" s="30">
        <v>0.6</v>
      </c>
      <c r="O140" s="30">
        <v>170</v>
      </c>
      <c r="P140" s="33">
        <v>39.200000000000003</v>
      </c>
      <c r="Q140" s="30">
        <v>35</v>
      </c>
      <c r="R140" s="30">
        <v>5</v>
      </c>
      <c r="S140" s="30">
        <v>19</v>
      </c>
      <c r="T140" s="30">
        <v>3</v>
      </c>
      <c r="U140" s="30">
        <v>1</v>
      </c>
      <c r="V140" s="30">
        <v>24</v>
      </c>
      <c r="W140" s="30">
        <v>0</v>
      </c>
      <c r="X140" s="30">
        <v>0</v>
      </c>
      <c r="Y140" s="30">
        <v>17</v>
      </c>
      <c r="Z140" s="30">
        <v>17</v>
      </c>
      <c r="AA140" s="23" t="s">
        <v>15</v>
      </c>
      <c r="AB140" s="23" t="s">
        <v>117</v>
      </c>
      <c r="AC140" s="23" t="s">
        <v>117</v>
      </c>
      <c r="AD140" s="23">
        <f t="shared" si="0"/>
        <v>1.3775510204081631</v>
      </c>
      <c r="AE140" s="23">
        <f t="shared" si="1"/>
        <v>4.8546938775510204</v>
      </c>
      <c r="AF140" s="23">
        <f t="shared" si="2"/>
        <v>0.25423728813559321</v>
      </c>
    </row>
    <row r="141" spans="1:32" ht="15.75" customHeight="1" x14ac:dyDescent="0.15">
      <c r="A141" s="34">
        <v>139</v>
      </c>
      <c r="B141" s="35" t="s">
        <v>2824</v>
      </c>
      <c r="C141" s="58" t="s">
        <v>2645</v>
      </c>
      <c r="D141" s="34">
        <v>3.18</v>
      </c>
      <c r="E141" s="34">
        <v>9</v>
      </c>
      <c r="F141" s="34">
        <v>3</v>
      </c>
      <c r="G141" s="34">
        <v>4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0.42899999999999999</v>
      </c>
      <c r="O141" s="34">
        <v>168</v>
      </c>
      <c r="P141" s="33">
        <v>39.200000000000003</v>
      </c>
      <c r="Q141" s="34">
        <v>38</v>
      </c>
      <c r="R141" s="34">
        <v>4</v>
      </c>
      <c r="S141" s="34">
        <v>12</v>
      </c>
      <c r="T141" s="34">
        <v>0</v>
      </c>
      <c r="U141" s="34">
        <v>4</v>
      </c>
      <c r="V141" s="34">
        <v>25</v>
      </c>
      <c r="W141" s="34">
        <v>0</v>
      </c>
      <c r="X141" s="34">
        <v>0</v>
      </c>
      <c r="Y141" s="34">
        <v>15</v>
      </c>
      <c r="Z141" s="34">
        <v>14</v>
      </c>
      <c r="AA141" s="24" t="s">
        <v>15</v>
      </c>
      <c r="AB141" s="24" t="s">
        <v>162</v>
      </c>
      <c r="AC141" s="24" t="s">
        <v>162</v>
      </c>
      <c r="AD141" s="23">
        <f t="shared" si="0"/>
        <v>1.2755102040816326</v>
      </c>
      <c r="AE141" s="23">
        <f t="shared" si="1"/>
        <v>4.3955102040816332</v>
      </c>
      <c r="AF141" s="23">
        <f t="shared" si="2"/>
        <v>0.27642276422764228</v>
      </c>
    </row>
    <row r="142" spans="1:32" ht="15.75" customHeight="1" x14ac:dyDescent="0.15">
      <c r="A142" s="30">
        <v>141</v>
      </c>
      <c r="B142" s="31" t="s">
        <v>2821</v>
      </c>
      <c r="C142" s="41" t="s">
        <v>2651</v>
      </c>
      <c r="D142" s="30">
        <v>4.58</v>
      </c>
      <c r="E142" s="30">
        <v>45</v>
      </c>
      <c r="F142" s="30">
        <v>4</v>
      </c>
      <c r="G142" s="30">
        <v>4</v>
      </c>
      <c r="H142" s="30">
        <v>0</v>
      </c>
      <c r="I142" s="30">
        <v>18</v>
      </c>
      <c r="J142" s="30">
        <v>22</v>
      </c>
      <c r="K142" s="30">
        <v>0</v>
      </c>
      <c r="L142" s="30">
        <v>0</v>
      </c>
      <c r="M142" s="30">
        <v>0</v>
      </c>
      <c r="N142" s="30">
        <v>0.5</v>
      </c>
      <c r="O142" s="30">
        <v>169</v>
      </c>
      <c r="P142" s="33">
        <v>39.1</v>
      </c>
      <c r="Q142" s="30">
        <v>37</v>
      </c>
      <c r="R142" s="30">
        <v>4</v>
      </c>
      <c r="S142" s="30">
        <v>12</v>
      </c>
      <c r="T142" s="30">
        <v>1</v>
      </c>
      <c r="U142" s="30">
        <v>2</v>
      </c>
      <c r="V142" s="30">
        <v>42</v>
      </c>
      <c r="W142" s="30">
        <v>0</v>
      </c>
      <c r="X142" s="30">
        <v>0</v>
      </c>
      <c r="Y142" s="30">
        <v>20</v>
      </c>
      <c r="Z142" s="30">
        <v>20</v>
      </c>
      <c r="AA142" s="23" t="s">
        <v>15</v>
      </c>
      <c r="AB142" s="23" t="s">
        <v>123</v>
      </c>
      <c r="AC142" s="23" t="s">
        <v>112</v>
      </c>
      <c r="AD142" s="23">
        <f t="shared" si="0"/>
        <v>1.2531969309462916</v>
      </c>
      <c r="AE142" s="23">
        <f t="shared" si="1"/>
        <v>3.2990281329923277</v>
      </c>
      <c r="AF142" s="23">
        <f t="shared" si="2"/>
        <v>0.30555555555555558</v>
      </c>
    </row>
    <row r="143" spans="1:32" ht="15.75" customHeight="1" x14ac:dyDescent="0.15">
      <c r="A143" s="34">
        <v>141</v>
      </c>
      <c r="B143" s="35" t="s">
        <v>2822</v>
      </c>
      <c r="C143" s="56" t="s">
        <v>2653</v>
      </c>
      <c r="D143" s="34">
        <v>3.43</v>
      </c>
      <c r="E143" s="34">
        <v>40</v>
      </c>
      <c r="F143" s="34">
        <v>1</v>
      </c>
      <c r="G143" s="34">
        <v>1</v>
      </c>
      <c r="H143" s="34">
        <v>2</v>
      </c>
      <c r="I143" s="34">
        <v>4</v>
      </c>
      <c r="J143" s="34">
        <v>5</v>
      </c>
      <c r="K143" s="34">
        <v>0</v>
      </c>
      <c r="L143" s="34">
        <v>0</v>
      </c>
      <c r="M143" s="34">
        <v>0</v>
      </c>
      <c r="N143" s="34">
        <v>0.5</v>
      </c>
      <c r="O143" s="34">
        <v>162</v>
      </c>
      <c r="P143" s="33">
        <v>39.1</v>
      </c>
      <c r="Q143" s="34">
        <v>30</v>
      </c>
      <c r="R143" s="34">
        <v>5</v>
      </c>
      <c r="S143" s="34">
        <v>16</v>
      </c>
      <c r="T143" s="34">
        <v>0</v>
      </c>
      <c r="U143" s="34">
        <v>2</v>
      </c>
      <c r="V143" s="34">
        <v>25</v>
      </c>
      <c r="W143" s="34">
        <v>0</v>
      </c>
      <c r="X143" s="34">
        <v>0</v>
      </c>
      <c r="Y143" s="34">
        <v>15</v>
      </c>
      <c r="Z143" s="34">
        <v>15</v>
      </c>
      <c r="AA143" s="24" t="s">
        <v>15</v>
      </c>
      <c r="AB143" s="24" t="s">
        <v>135</v>
      </c>
      <c r="AC143" s="24" t="s">
        <v>123</v>
      </c>
      <c r="AD143" s="23">
        <f t="shared" si="0"/>
        <v>1.1764705882352942</v>
      </c>
      <c r="AE143" s="23">
        <f t="shared" si="1"/>
        <v>4.8847058823529412</v>
      </c>
      <c r="AF143" s="23">
        <f t="shared" si="2"/>
        <v>0.21929824561403508</v>
      </c>
    </row>
    <row r="144" spans="1:32" ht="15.75" customHeight="1" x14ac:dyDescent="0.15">
      <c r="A144" s="30">
        <v>143</v>
      </c>
      <c r="B144" s="31" t="s">
        <v>2823</v>
      </c>
      <c r="C144" s="47" t="s">
        <v>2654</v>
      </c>
      <c r="D144" s="30">
        <v>2.56</v>
      </c>
      <c r="E144" s="30">
        <v>51</v>
      </c>
      <c r="F144" s="30">
        <v>3</v>
      </c>
      <c r="G144" s="30">
        <v>1</v>
      </c>
      <c r="H144" s="30">
        <v>0</v>
      </c>
      <c r="I144" s="30">
        <v>24</v>
      </c>
      <c r="J144" s="30">
        <v>27</v>
      </c>
      <c r="K144" s="30">
        <v>0</v>
      </c>
      <c r="L144" s="30">
        <v>0</v>
      </c>
      <c r="M144" s="30">
        <v>0</v>
      </c>
      <c r="N144" s="30">
        <v>0.75</v>
      </c>
      <c r="O144" s="30">
        <v>155</v>
      </c>
      <c r="P144" s="33">
        <v>38.200000000000003</v>
      </c>
      <c r="Q144" s="30">
        <v>32</v>
      </c>
      <c r="R144" s="30">
        <v>3</v>
      </c>
      <c r="S144" s="30">
        <v>6</v>
      </c>
      <c r="T144" s="30">
        <v>1</v>
      </c>
      <c r="U144" s="30">
        <v>1</v>
      </c>
      <c r="V144" s="30">
        <v>40</v>
      </c>
      <c r="W144" s="30">
        <v>0</v>
      </c>
      <c r="X144" s="30">
        <v>0</v>
      </c>
      <c r="Y144" s="30">
        <v>11</v>
      </c>
      <c r="Z144" s="30">
        <v>11</v>
      </c>
      <c r="AA144" s="23" t="s">
        <v>15</v>
      </c>
      <c r="AB144" s="23" t="s">
        <v>117</v>
      </c>
      <c r="AC144" s="23" t="s">
        <v>112</v>
      </c>
      <c r="AD144" s="23">
        <f t="shared" si="0"/>
        <v>0.9947643979057591</v>
      </c>
      <c r="AE144" s="23">
        <f t="shared" si="1"/>
        <v>2.517905759162304</v>
      </c>
      <c r="AF144" s="23">
        <f t="shared" si="2"/>
        <v>0.27884615384615385</v>
      </c>
    </row>
    <row r="145" spans="1:32" ht="15.75" customHeight="1" x14ac:dyDescent="0.15">
      <c r="A145" s="34">
        <v>144</v>
      </c>
      <c r="B145" s="35" t="s">
        <v>2825</v>
      </c>
      <c r="C145" s="36" t="s">
        <v>2646</v>
      </c>
      <c r="D145" s="34">
        <v>2.61</v>
      </c>
      <c r="E145" s="34">
        <v>46</v>
      </c>
      <c r="F145" s="34">
        <v>2</v>
      </c>
      <c r="G145" s="34">
        <v>3</v>
      </c>
      <c r="H145" s="34">
        <v>2</v>
      </c>
      <c r="I145" s="34">
        <v>22</v>
      </c>
      <c r="J145" s="34">
        <v>24</v>
      </c>
      <c r="K145" s="34">
        <v>0</v>
      </c>
      <c r="L145" s="34">
        <v>0</v>
      </c>
      <c r="M145" s="34">
        <v>0</v>
      </c>
      <c r="N145" s="34">
        <v>0.4</v>
      </c>
      <c r="O145" s="34">
        <v>162</v>
      </c>
      <c r="P145" s="33">
        <v>38</v>
      </c>
      <c r="Q145" s="34">
        <v>34</v>
      </c>
      <c r="R145" s="34">
        <v>3</v>
      </c>
      <c r="S145" s="34">
        <v>15</v>
      </c>
      <c r="T145" s="34">
        <v>3</v>
      </c>
      <c r="U145" s="34">
        <v>1</v>
      </c>
      <c r="V145" s="34">
        <v>23</v>
      </c>
      <c r="W145" s="34">
        <v>0</v>
      </c>
      <c r="X145" s="34">
        <v>0</v>
      </c>
      <c r="Y145" s="34">
        <v>14</v>
      </c>
      <c r="Z145" s="34">
        <v>11</v>
      </c>
      <c r="AA145" s="24" t="s">
        <v>15</v>
      </c>
      <c r="AB145" s="24" t="s">
        <v>37</v>
      </c>
      <c r="AC145" s="24" t="s">
        <v>37</v>
      </c>
      <c r="AD145" s="23">
        <f t="shared" si="0"/>
        <v>1.2894736842105263</v>
      </c>
      <c r="AE145" s="23">
        <f t="shared" si="1"/>
        <v>3.9621052631578948</v>
      </c>
      <c r="AF145" s="23">
        <f t="shared" si="2"/>
        <v>0.26495726495726496</v>
      </c>
    </row>
    <row r="146" spans="1:32" ht="15.75" customHeight="1" x14ac:dyDescent="0.15">
      <c r="A146" s="30">
        <v>144</v>
      </c>
      <c r="B146" s="31" t="s">
        <v>2826</v>
      </c>
      <c r="C146" s="52" t="s">
        <v>2646</v>
      </c>
      <c r="D146" s="30">
        <v>4.03</v>
      </c>
      <c r="E146" s="30">
        <v>42</v>
      </c>
      <c r="F146" s="30">
        <v>2</v>
      </c>
      <c r="G146" s="30">
        <v>3</v>
      </c>
      <c r="H146" s="30">
        <v>0</v>
      </c>
      <c r="I146" s="30">
        <v>11</v>
      </c>
      <c r="J146" s="30">
        <v>13</v>
      </c>
      <c r="K146" s="30">
        <v>0</v>
      </c>
      <c r="L146" s="30">
        <v>0</v>
      </c>
      <c r="M146" s="30">
        <v>0</v>
      </c>
      <c r="N146" s="30">
        <v>0.4</v>
      </c>
      <c r="O146" s="30">
        <v>160</v>
      </c>
      <c r="P146" s="33">
        <v>38</v>
      </c>
      <c r="Q146" s="30">
        <v>33</v>
      </c>
      <c r="R146" s="30">
        <v>7</v>
      </c>
      <c r="S146" s="30">
        <v>14</v>
      </c>
      <c r="T146" s="30">
        <v>2</v>
      </c>
      <c r="U146" s="30">
        <v>1</v>
      </c>
      <c r="V146" s="30">
        <v>31</v>
      </c>
      <c r="W146" s="30">
        <v>1</v>
      </c>
      <c r="X146" s="30">
        <v>0</v>
      </c>
      <c r="Y146" s="30">
        <v>17</v>
      </c>
      <c r="Z146" s="30">
        <v>17</v>
      </c>
      <c r="AA146" s="23" t="s">
        <v>15</v>
      </c>
      <c r="AB146" s="23" t="s">
        <v>99</v>
      </c>
      <c r="AC146" s="23" t="s">
        <v>86</v>
      </c>
      <c r="AD146" s="23">
        <f t="shared" si="0"/>
        <v>1.236842105263158</v>
      </c>
      <c r="AE146" s="23">
        <f t="shared" si="1"/>
        <v>4.9094736842105267</v>
      </c>
      <c r="AF146" s="23">
        <f t="shared" si="2"/>
        <v>0.24761904761904763</v>
      </c>
    </row>
    <row r="147" spans="1:32" ht="15.75" customHeight="1" x14ac:dyDescent="0.15">
      <c r="A147" s="34">
        <v>144</v>
      </c>
      <c r="B147" s="35" t="s">
        <v>2827</v>
      </c>
      <c r="C147" s="36" t="s">
        <v>2646</v>
      </c>
      <c r="D147" s="34">
        <v>4.26</v>
      </c>
      <c r="E147" s="34">
        <v>40</v>
      </c>
      <c r="F147" s="34">
        <v>1</v>
      </c>
      <c r="G147" s="34">
        <v>4</v>
      </c>
      <c r="H147" s="34">
        <v>1</v>
      </c>
      <c r="I147" s="34">
        <v>18</v>
      </c>
      <c r="J147" s="34">
        <v>19</v>
      </c>
      <c r="K147" s="34">
        <v>0</v>
      </c>
      <c r="L147" s="34">
        <v>0</v>
      </c>
      <c r="M147" s="34">
        <v>0</v>
      </c>
      <c r="N147" s="34">
        <v>0.2</v>
      </c>
      <c r="O147" s="34">
        <v>157</v>
      </c>
      <c r="P147" s="33">
        <v>38</v>
      </c>
      <c r="Q147" s="34">
        <v>32</v>
      </c>
      <c r="R147" s="34">
        <v>3</v>
      </c>
      <c r="S147" s="34">
        <v>10</v>
      </c>
      <c r="T147" s="34">
        <v>0</v>
      </c>
      <c r="U147" s="34">
        <v>2</v>
      </c>
      <c r="V147" s="34">
        <v>37</v>
      </c>
      <c r="W147" s="34">
        <v>0</v>
      </c>
      <c r="X147" s="34">
        <v>0</v>
      </c>
      <c r="Y147" s="34">
        <v>20</v>
      </c>
      <c r="Z147" s="34">
        <v>18</v>
      </c>
      <c r="AA147" s="24" t="s">
        <v>15</v>
      </c>
      <c r="AB147" s="24" t="s">
        <v>72</v>
      </c>
      <c r="AC147" s="24" t="s">
        <v>72</v>
      </c>
      <c r="AD147" s="23">
        <f t="shared" si="0"/>
        <v>1.1052631578947369</v>
      </c>
      <c r="AE147" s="23">
        <f t="shared" si="1"/>
        <v>3.1463157894736842</v>
      </c>
      <c r="AF147" s="23">
        <f t="shared" si="2"/>
        <v>0.27619047619047621</v>
      </c>
    </row>
    <row r="148" spans="1:32" ht="15.75" customHeight="1" x14ac:dyDescent="0.15">
      <c r="A148" s="30">
        <v>144</v>
      </c>
      <c r="B148" s="31" t="s">
        <v>2828</v>
      </c>
      <c r="C148" s="39" t="s">
        <v>2649</v>
      </c>
      <c r="D148" s="30">
        <v>1.42</v>
      </c>
      <c r="E148" s="30">
        <v>40</v>
      </c>
      <c r="F148" s="30">
        <v>2</v>
      </c>
      <c r="G148" s="30">
        <v>3</v>
      </c>
      <c r="H148" s="30">
        <v>0</v>
      </c>
      <c r="I148" s="30">
        <v>10</v>
      </c>
      <c r="J148" s="30">
        <v>12</v>
      </c>
      <c r="K148" s="30">
        <v>0</v>
      </c>
      <c r="L148" s="30">
        <v>0</v>
      </c>
      <c r="M148" s="30">
        <v>0</v>
      </c>
      <c r="N148" s="30">
        <v>0.4</v>
      </c>
      <c r="O148" s="30">
        <v>158</v>
      </c>
      <c r="P148" s="33">
        <v>38</v>
      </c>
      <c r="Q148" s="30">
        <v>20</v>
      </c>
      <c r="R148" s="30">
        <v>2</v>
      </c>
      <c r="S148" s="30">
        <v>20</v>
      </c>
      <c r="T148" s="30">
        <v>3</v>
      </c>
      <c r="U148" s="30">
        <v>4</v>
      </c>
      <c r="V148" s="30">
        <v>41</v>
      </c>
      <c r="W148" s="30">
        <v>0</v>
      </c>
      <c r="X148" s="30">
        <v>0</v>
      </c>
      <c r="Y148" s="30">
        <v>9</v>
      </c>
      <c r="Z148" s="30">
        <v>6</v>
      </c>
      <c r="AA148" s="23" t="s">
        <v>15</v>
      </c>
      <c r="AB148" s="23" t="s">
        <v>98</v>
      </c>
      <c r="AC148" s="23" t="s">
        <v>98</v>
      </c>
      <c r="AD148" s="23">
        <f t="shared" si="0"/>
        <v>1.0526315789473684</v>
      </c>
      <c r="AE148" s="23">
        <f t="shared" si="1"/>
        <v>3.3042105263157895</v>
      </c>
      <c r="AF148" s="23">
        <f t="shared" si="2"/>
        <v>0.20454545454545456</v>
      </c>
    </row>
    <row r="149" spans="1:32" ht="15.75" customHeight="1" x14ac:dyDescent="0.15">
      <c r="A149" s="34">
        <v>144</v>
      </c>
      <c r="B149" s="35" t="s">
        <v>2829</v>
      </c>
      <c r="C149" s="40" t="s">
        <v>2650</v>
      </c>
      <c r="D149" s="34">
        <v>3.32</v>
      </c>
      <c r="E149" s="34">
        <v>27</v>
      </c>
      <c r="F149" s="34">
        <v>0</v>
      </c>
      <c r="G149" s="34">
        <v>1</v>
      </c>
      <c r="H149" s="34">
        <v>0</v>
      </c>
      <c r="I149" s="34">
        <v>2</v>
      </c>
      <c r="J149" s="34">
        <v>2</v>
      </c>
      <c r="K149" s="34">
        <v>0</v>
      </c>
      <c r="L149" s="34">
        <v>0</v>
      </c>
      <c r="M149" s="34">
        <v>0</v>
      </c>
      <c r="N149" s="34">
        <v>0</v>
      </c>
      <c r="O149" s="34">
        <v>164</v>
      </c>
      <c r="P149" s="33">
        <v>38</v>
      </c>
      <c r="Q149" s="34">
        <v>33</v>
      </c>
      <c r="R149" s="34">
        <v>2</v>
      </c>
      <c r="S149" s="34">
        <v>18</v>
      </c>
      <c r="T149" s="34">
        <v>2</v>
      </c>
      <c r="U149" s="34">
        <v>1</v>
      </c>
      <c r="V149" s="34">
        <v>33</v>
      </c>
      <c r="W149" s="34">
        <v>0</v>
      </c>
      <c r="X149" s="34">
        <v>0</v>
      </c>
      <c r="Y149" s="34">
        <v>16</v>
      </c>
      <c r="Z149" s="34">
        <v>14</v>
      </c>
      <c r="AA149" s="24" t="s">
        <v>15</v>
      </c>
      <c r="AB149" s="24" t="s">
        <v>90</v>
      </c>
      <c r="AC149" s="24" t="s">
        <v>90</v>
      </c>
      <c r="AD149" s="23">
        <f t="shared" si="0"/>
        <v>1.3421052631578947</v>
      </c>
      <c r="AE149" s="23">
        <f t="shared" si="1"/>
        <v>3.4094736842105267</v>
      </c>
      <c r="AF149" s="23">
        <f t="shared" si="2"/>
        <v>0.28703703703703703</v>
      </c>
    </row>
    <row r="150" spans="1:32" ht="15.75" customHeight="1" x14ac:dyDescent="0.15">
      <c r="A150" s="30">
        <v>144</v>
      </c>
      <c r="B150" s="31" t="s">
        <v>2830</v>
      </c>
      <c r="C150" s="41" t="s">
        <v>2651</v>
      </c>
      <c r="D150" s="30">
        <v>6.39</v>
      </c>
      <c r="E150" s="30">
        <v>8</v>
      </c>
      <c r="F150" s="30">
        <v>2</v>
      </c>
      <c r="G150" s="30">
        <v>4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0.33300000000000002</v>
      </c>
      <c r="O150" s="30">
        <v>177</v>
      </c>
      <c r="P150" s="33">
        <v>38</v>
      </c>
      <c r="Q150" s="30">
        <v>39</v>
      </c>
      <c r="R150" s="30">
        <v>4</v>
      </c>
      <c r="S150" s="30">
        <v>20</v>
      </c>
      <c r="T150" s="30">
        <v>1</v>
      </c>
      <c r="U150" s="30">
        <v>3</v>
      </c>
      <c r="V150" s="30">
        <v>40</v>
      </c>
      <c r="W150" s="30">
        <v>3</v>
      </c>
      <c r="X150" s="30">
        <v>0</v>
      </c>
      <c r="Y150" s="30">
        <v>27</v>
      </c>
      <c r="Z150" s="30">
        <v>27</v>
      </c>
      <c r="AA150" s="23" t="s">
        <v>15</v>
      </c>
      <c r="AB150" s="23" t="s">
        <v>99</v>
      </c>
      <c r="AC150" s="23" t="s">
        <v>98</v>
      </c>
      <c r="AD150" s="23">
        <f t="shared" si="0"/>
        <v>1.5526315789473684</v>
      </c>
      <c r="AE150" s="23">
        <f t="shared" si="1"/>
        <v>4.12</v>
      </c>
      <c r="AF150" s="23">
        <f t="shared" si="2"/>
        <v>0.32110091743119268</v>
      </c>
    </row>
    <row r="151" spans="1:32" ht="15.75" customHeight="1" x14ac:dyDescent="0.15">
      <c r="A151" s="34">
        <v>150</v>
      </c>
      <c r="B151" s="35" t="s">
        <v>2831</v>
      </c>
      <c r="C151" s="43" t="s">
        <v>2649</v>
      </c>
      <c r="D151" s="34">
        <v>3.86</v>
      </c>
      <c r="E151" s="34">
        <v>41</v>
      </c>
      <c r="F151" s="34">
        <v>2</v>
      </c>
      <c r="G151" s="34">
        <v>7</v>
      </c>
      <c r="H151" s="34">
        <v>21</v>
      </c>
      <c r="I151" s="34">
        <v>2</v>
      </c>
      <c r="J151" s="34">
        <v>4</v>
      </c>
      <c r="K151" s="34">
        <v>0</v>
      </c>
      <c r="L151" s="34">
        <v>0</v>
      </c>
      <c r="M151" s="34">
        <v>0</v>
      </c>
      <c r="N151" s="34">
        <v>0.222</v>
      </c>
      <c r="O151" s="34">
        <v>179</v>
      </c>
      <c r="P151" s="33">
        <v>37.1</v>
      </c>
      <c r="Q151" s="34">
        <v>32</v>
      </c>
      <c r="R151" s="34">
        <v>4</v>
      </c>
      <c r="S151" s="34">
        <v>28</v>
      </c>
      <c r="T151" s="34">
        <v>2</v>
      </c>
      <c r="U151" s="34">
        <v>4</v>
      </c>
      <c r="V151" s="34">
        <v>55</v>
      </c>
      <c r="W151" s="34">
        <v>1</v>
      </c>
      <c r="X151" s="34">
        <v>0</v>
      </c>
      <c r="Y151" s="34">
        <v>18</v>
      </c>
      <c r="Z151" s="34">
        <v>16</v>
      </c>
      <c r="AA151" s="24" t="s">
        <v>15</v>
      </c>
      <c r="AB151" s="24" t="s">
        <v>86</v>
      </c>
      <c r="AC151" s="24" t="s">
        <v>86</v>
      </c>
      <c r="AD151" s="23">
        <f t="shared" si="0"/>
        <v>1.6172506738544474</v>
      </c>
      <c r="AE151" s="23">
        <f t="shared" si="1"/>
        <v>3.982533692722372</v>
      </c>
      <c r="AF151" s="23">
        <f t="shared" si="2"/>
        <v>0.32558139534883723</v>
      </c>
    </row>
    <row r="152" spans="1:32" ht="15.75" customHeight="1" x14ac:dyDescent="0.15">
      <c r="A152" s="30">
        <v>150</v>
      </c>
      <c r="B152" s="31" t="s">
        <v>2832</v>
      </c>
      <c r="C152" s="47" t="s">
        <v>2654</v>
      </c>
      <c r="D152" s="30">
        <v>1.93</v>
      </c>
      <c r="E152" s="30">
        <v>7</v>
      </c>
      <c r="F152" s="30">
        <v>3</v>
      </c>
      <c r="G152" s="30">
        <v>3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0.5</v>
      </c>
      <c r="O152" s="30">
        <v>153</v>
      </c>
      <c r="P152" s="33">
        <v>37.1</v>
      </c>
      <c r="Q152" s="30">
        <v>30</v>
      </c>
      <c r="R152" s="30">
        <v>2</v>
      </c>
      <c r="S152" s="30">
        <v>13</v>
      </c>
      <c r="T152" s="30">
        <v>1</v>
      </c>
      <c r="U152" s="30">
        <v>0</v>
      </c>
      <c r="V152" s="30">
        <v>42</v>
      </c>
      <c r="W152" s="30">
        <v>0</v>
      </c>
      <c r="X152" s="30">
        <v>0</v>
      </c>
      <c r="Y152" s="30">
        <v>9</v>
      </c>
      <c r="Z152" s="30">
        <v>8</v>
      </c>
      <c r="AA152" s="23" t="s">
        <v>15</v>
      </c>
      <c r="AB152" s="23" t="s">
        <v>123</v>
      </c>
      <c r="AC152" s="23" t="s">
        <v>123</v>
      </c>
      <c r="AD152" s="23">
        <f t="shared" si="0"/>
        <v>1.1590296495956873</v>
      </c>
      <c r="AE152" s="23">
        <f t="shared" si="1"/>
        <v>2.5270080862533693</v>
      </c>
      <c r="AF152" s="23">
        <f t="shared" si="2"/>
        <v>0.29473684210526313</v>
      </c>
    </row>
    <row r="153" spans="1:32" ht="15.75" customHeight="1" x14ac:dyDescent="0.15">
      <c r="A153" s="34">
        <v>152</v>
      </c>
      <c r="B153" s="35" t="s">
        <v>2845</v>
      </c>
      <c r="C153" s="58" t="s">
        <v>2645</v>
      </c>
      <c r="D153" s="34">
        <v>4.8600000000000003</v>
      </c>
      <c r="E153" s="34">
        <v>9</v>
      </c>
      <c r="F153" s="34">
        <v>1</v>
      </c>
      <c r="G153" s="34">
        <v>2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0.33300000000000002</v>
      </c>
      <c r="O153" s="34">
        <v>165</v>
      </c>
      <c r="P153" s="33">
        <v>37</v>
      </c>
      <c r="Q153" s="34">
        <v>48</v>
      </c>
      <c r="R153" s="34">
        <v>5</v>
      </c>
      <c r="S153" s="34">
        <v>4</v>
      </c>
      <c r="T153" s="34">
        <v>0</v>
      </c>
      <c r="U153" s="34">
        <v>1</v>
      </c>
      <c r="V153" s="34">
        <v>34</v>
      </c>
      <c r="W153" s="34">
        <v>2</v>
      </c>
      <c r="X153" s="34">
        <v>0</v>
      </c>
      <c r="Y153" s="34">
        <v>23</v>
      </c>
      <c r="Z153" s="34">
        <v>20</v>
      </c>
      <c r="AA153" s="24" t="s">
        <v>15</v>
      </c>
      <c r="AB153" s="24" t="s">
        <v>99</v>
      </c>
      <c r="AC153" s="24" t="s">
        <v>99</v>
      </c>
      <c r="AD153" s="23">
        <f t="shared" si="0"/>
        <v>1.4054054054054055</v>
      </c>
      <c r="AE153" s="23">
        <f t="shared" si="1"/>
        <v>3.4443243243243247</v>
      </c>
      <c r="AF153" s="23">
        <f t="shared" si="2"/>
        <v>0.35537190082644626</v>
      </c>
    </row>
    <row r="154" spans="1:32" ht="15.75" customHeight="1" x14ac:dyDescent="0.15">
      <c r="A154" s="30">
        <v>152</v>
      </c>
      <c r="B154" s="31" t="s">
        <v>2833</v>
      </c>
      <c r="C154" s="54" t="s">
        <v>2650</v>
      </c>
      <c r="D154" s="30">
        <v>4.62</v>
      </c>
      <c r="E154" s="30">
        <v>8</v>
      </c>
      <c r="F154" s="30">
        <v>3</v>
      </c>
      <c r="G154" s="30">
        <v>4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0.42899999999999999</v>
      </c>
      <c r="O154" s="30">
        <v>159</v>
      </c>
      <c r="P154" s="33">
        <v>37</v>
      </c>
      <c r="Q154" s="30">
        <v>36</v>
      </c>
      <c r="R154" s="30">
        <v>5</v>
      </c>
      <c r="S154" s="30">
        <v>14</v>
      </c>
      <c r="T154" s="30">
        <v>1</v>
      </c>
      <c r="U154" s="30">
        <v>2</v>
      </c>
      <c r="V154" s="30">
        <v>26</v>
      </c>
      <c r="W154" s="30">
        <v>1</v>
      </c>
      <c r="X154" s="30">
        <v>0</v>
      </c>
      <c r="Y154" s="30">
        <v>25</v>
      </c>
      <c r="Z154" s="30">
        <v>19</v>
      </c>
      <c r="AA154" s="23" t="s">
        <v>14</v>
      </c>
      <c r="AB154" s="23" t="s">
        <v>86</v>
      </c>
      <c r="AC154" s="23" t="s">
        <v>86</v>
      </c>
      <c r="AD154" s="23">
        <f t="shared" si="0"/>
        <v>1.3513513513513513</v>
      </c>
      <c r="AE154" s="23">
        <f t="shared" si="1"/>
        <v>4.6875675675675677</v>
      </c>
      <c r="AF154" s="23">
        <f t="shared" si="2"/>
        <v>0.27927927927927926</v>
      </c>
    </row>
    <row r="155" spans="1:32" ht="15.75" customHeight="1" x14ac:dyDescent="0.15">
      <c r="A155" s="34">
        <v>152</v>
      </c>
      <c r="B155" s="35" t="s">
        <v>2834</v>
      </c>
      <c r="C155" s="43" t="s">
        <v>2649</v>
      </c>
      <c r="D155" s="34">
        <v>3.16</v>
      </c>
      <c r="E155" s="34">
        <v>8</v>
      </c>
      <c r="F155" s="34">
        <v>1</v>
      </c>
      <c r="G155" s="34">
        <v>2</v>
      </c>
      <c r="H155" s="34">
        <v>0</v>
      </c>
      <c r="I155" s="34">
        <v>1</v>
      </c>
      <c r="J155" s="34">
        <v>1</v>
      </c>
      <c r="K155" s="34">
        <v>0</v>
      </c>
      <c r="L155" s="34">
        <v>0</v>
      </c>
      <c r="M155" s="34">
        <v>0</v>
      </c>
      <c r="N155" s="34">
        <v>0.33300000000000002</v>
      </c>
      <c r="O155" s="34">
        <v>145</v>
      </c>
      <c r="P155" s="33">
        <v>37</v>
      </c>
      <c r="Q155" s="34">
        <v>23</v>
      </c>
      <c r="R155" s="34">
        <v>4</v>
      </c>
      <c r="S155" s="34">
        <v>13</v>
      </c>
      <c r="T155" s="34">
        <v>2</v>
      </c>
      <c r="U155" s="34">
        <v>0</v>
      </c>
      <c r="V155" s="34">
        <v>22</v>
      </c>
      <c r="W155" s="34">
        <v>1</v>
      </c>
      <c r="X155" s="34">
        <v>0</v>
      </c>
      <c r="Y155" s="34">
        <v>14</v>
      </c>
      <c r="Z155" s="34">
        <v>13</v>
      </c>
      <c r="AA155" s="24" t="s">
        <v>15</v>
      </c>
      <c r="AB155" s="24" t="s">
        <v>80</v>
      </c>
      <c r="AC155" s="24" t="s">
        <v>57</v>
      </c>
      <c r="AD155" s="23">
        <f t="shared" si="0"/>
        <v>0.97297297297297303</v>
      </c>
      <c r="AE155" s="23">
        <f t="shared" si="1"/>
        <v>4.228108108108108</v>
      </c>
      <c r="AF155" s="23">
        <f t="shared" si="2"/>
        <v>0.18269230769230768</v>
      </c>
    </row>
    <row r="156" spans="1:32" ht="15.75" customHeight="1" x14ac:dyDescent="0.15">
      <c r="A156" s="30">
        <v>155</v>
      </c>
      <c r="B156" s="31" t="s">
        <v>2835</v>
      </c>
      <c r="C156" s="49" t="s">
        <v>2655</v>
      </c>
      <c r="D156" s="30">
        <v>1.98</v>
      </c>
      <c r="E156" s="30">
        <v>34</v>
      </c>
      <c r="F156" s="30">
        <v>1</v>
      </c>
      <c r="G156" s="30">
        <v>0</v>
      </c>
      <c r="H156" s="30">
        <v>0</v>
      </c>
      <c r="I156" s="30">
        <v>1</v>
      </c>
      <c r="J156" s="30">
        <v>2</v>
      </c>
      <c r="K156" s="30">
        <v>0</v>
      </c>
      <c r="L156" s="30">
        <v>0</v>
      </c>
      <c r="M156" s="30">
        <v>0</v>
      </c>
      <c r="N156" s="30">
        <v>1</v>
      </c>
      <c r="O156" s="30">
        <v>157</v>
      </c>
      <c r="P156" s="33">
        <v>36.1</v>
      </c>
      <c r="Q156" s="30">
        <v>35</v>
      </c>
      <c r="R156" s="30">
        <v>1</v>
      </c>
      <c r="S156" s="30">
        <v>20</v>
      </c>
      <c r="T156" s="30">
        <v>0</v>
      </c>
      <c r="U156" s="30">
        <v>1</v>
      </c>
      <c r="V156" s="30">
        <v>30</v>
      </c>
      <c r="W156" s="30">
        <v>0</v>
      </c>
      <c r="X156" s="30">
        <v>0</v>
      </c>
      <c r="Y156" s="30">
        <v>11</v>
      </c>
      <c r="Z156" s="30">
        <v>8</v>
      </c>
      <c r="AA156" s="23" t="s">
        <v>15</v>
      </c>
      <c r="AB156" s="23" t="s">
        <v>86</v>
      </c>
      <c r="AC156" s="23" t="s">
        <v>64</v>
      </c>
      <c r="AD156" s="23">
        <f t="shared" si="0"/>
        <v>1.523545706371191</v>
      </c>
      <c r="AE156" s="23">
        <f t="shared" si="1"/>
        <v>3.5632132963988923</v>
      </c>
      <c r="AF156" s="23">
        <f t="shared" si="2"/>
        <v>0.32380952380952382</v>
      </c>
    </row>
    <row r="157" spans="1:32" ht="15.75" customHeight="1" x14ac:dyDescent="0.15">
      <c r="A157" s="34">
        <v>156</v>
      </c>
      <c r="B157" s="35" t="s">
        <v>2836</v>
      </c>
      <c r="C157" s="51" t="s">
        <v>2655</v>
      </c>
      <c r="D157" s="34">
        <v>2.75</v>
      </c>
      <c r="E157" s="34">
        <v>38</v>
      </c>
      <c r="F157" s="34">
        <v>3</v>
      </c>
      <c r="G157" s="34">
        <v>0</v>
      </c>
      <c r="H157" s="34">
        <v>0</v>
      </c>
      <c r="I157" s="34">
        <v>10</v>
      </c>
      <c r="J157" s="34">
        <v>13</v>
      </c>
      <c r="K157" s="34">
        <v>0</v>
      </c>
      <c r="L157" s="34">
        <v>0</v>
      </c>
      <c r="M157" s="34">
        <v>0</v>
      </c>
      <c r="N157" s="34">
        <v>1</v>
      </c>
      <c r="O157" s="34">
        <v>150</v>
      </c>
      <c r="P157" s="33">
        <v>36</v>
      </c>
      <c r="Q157" s="34">
        <v>29</v>
      </c>
      <c r="R157" s="34">
        <v>7</v>
      </c>
      <c r="S157" s="34">
        <v>14</v>
      </c>
      <c r="T157" s="34">
        <v>0</v>
      </c>
      <c r="U157" s="34">
        <v>2</v>
      </c>
      <c r="V157" s="34">
        <v>26</v>
      </c>
      <c r="W157" s="34">
        <v>0</v>
      </c>
      <c r="X157" s="34">
        <v>0</v>
      </c>
      <c r="Y157" s="34">
        <v>11</v>
      </c>
      <c r="Z157" s="34">
        <v>11</v>
      </c>
      <c r="AA157" s="24" t="s">
        <v>15</v>
      </c>
      <c r="AB157" s="24" t="s">
        <v>129</v>
      </c>
      <c r="AC157" s="24" t="s">
        <v>129</v>
      </c>
      <c r="AD157" s="23">
        <f t="shared" si="0"/>
        <v>1.1944444444444444</v>
      </c>
      <c r="AE157" s="23">
        <f t="shared" si="1"/>
        <v>5.5366666666666671</v>
      </c>
      <c r="AF157" s="23">
        <f t="shared" si="2"/>
        <v>0.21782178217821782</v>
      </c>
    </row>
    <row r="158" spans="1:32" ht="15.75" customHeight="1" x14ac:dyDescent="0.15">
      <c r="A158" s="30">
        <v>156</v>
      </c>
      <c r="B158" s="31" t="s">
        <v>2837</v>
      </c>
      <c r="C158" s="32" t="s">
        <v>2645</v>
      </c>
      <c r="D158" s="30">
        <v>3.25</v>
      </c>
      <c r="E158" s="30">
        <v>8</v>
      </c>
      <c r="F158" s="30">
        <v>4</v>
      </c>
      <c r="G158" s="30">
        <v>2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0.66700000000000004</v>
      </c>
      <c r="O158" s="30">
        <v>158</v>
      </c>
      <c r="P158" s="33">
        <v>36</v>
      </c>
      <c r="Q158" s="30">
        <v>33</v>
      </c>
      <c r="R158" s="30">
        <v>4</v>
      </c>
      <c r="S158" s="30">
        <v>15</v>
      </c>
      <c r="T158" s="30">
        <v>0</v>
      </c>
      <c r="U158" s="30">
        <v>3</v>
      </c>
      <c r="V158" s="30">
        <v>34</v>
      </c>
      <c r="W158" s="30">
        <v>1</v>
      </c>
      <c r="X158" s="30">
        <v>0</v>
      </c>
      <c r="Y158" s="30">
        <v>18</v>
      </c>
      <c r="Z158" s="30">
        <v>13</v>
      </c>
      <c r="AA158" s="23" t="s">
        <v>15</v>
      </c>
      <c r="AB158" s="23" t="s">
        <v>162</v>
      </c>
      <c r="AC158" s="23" t="s">
        <v>162</v>
      </c>
      <c r="AD158" s="23">
        <f t="shared" si="0"/>
        <v>1.3333333333333333</v>
      </c>
      <c r="AE158" s="23">
        <f t="shared" si="1"/>
        <v>4.1755555555555555</v>
      </c>
      <c r="AF158" s="23">
        <f t="shared" si="2"/>
        <v>0.28431372549019607</v>
      </c>
    </row>
    <row r="159" spans="1:32" ht="15.75" customHeight="1" x14ac:dyDescent="0.15">
      <c r="A159" s="34">
        <v>158</v>
      </c>
      <c r="B159" s="35" t="s">
        <v>2838</v>
      </c>
      <c r="C159" s="38" t="s">
        <v>2648</v>
      </c>
      <c r="D159" s="34">
        <v>3.79</v>
      </c>
      <c r="E159" s="34">
        <v>27</v>
      </c>
      <c r="F159" s="34">
        <v>1</v>
      </c>
      <c r="G159" s="34">
        <v>0</v>
      </c>
      <c r="H159" s="34">
        <v>0</v>
      </c>
      <c r="I159" s="34">
        <v>1</v>
      </c>
      <c r="J159" s="34">
        <v>2</v>
      </c>
      <c r="K159" s="34">
        <v>0</v>
      </c>
      <c r="L159" s="34">
        <v>0</v>
      </c>
      <c r="M159" s="34">
        <v>0</v>
      </c>
      <c r="N159" s="34">
        <v>1</v>
      </c>
      <c r="O159" s="34">
        <v>150</v>
      </c>
      <c r="P159" s="33">
        <v>35.200000000000003</v>
      </c>
      <c r="Q159" s="34">
        <v>33</v>
      </c>
      <c r="R159" s="34">
        <v>5</v>
      </c>
      <c r="S159" s="34">
        <v>11</v>
      </c>
      <c r="T159" s="34">
        <v>0</v>
      </c>
      <c r="U159" s="34">
        <v>0</v>
      </c>
      <c r="V159" s="34">
        <v>27</v>
      </c>
      <c r="W159" s="34">
        <v>1</v>
      </c>
      <c r="X159" s="34">
        <v>0</v>
      </c>
      <c r="Y159" s="34">
        <v>17</v>
      </c>
      <c r="Z159" s="34">
        <v>15</v>
      </c>
      <c r="AA159" s="24" t="s">
        <v>15</v>
      </c>
      <c r="AB159" s="24" t="s">
        <v>64</v>
      </c>
      <c r="AC159" s="24" t="s">
        <v>64</v>
      </c>
      <c r="AD159" s="23">
        <f t="shared" si="0"/>
        <v>1.25</v>
      </c>
      <c r="AE159" s="23">
        <f t="shared" si="1"/>
        <v>4.37</v>
      </c>
      <c r="AF159" s="23">
        <f t="shared" si="2"/>
        <v>0.26168224299065418</v>
      </c>
    </row>
    <row r="160" spans="1:32" ht="15.75" customHeight="1" x14ac:dyDescent="0.15">
      <c r="A160" s="30">
        <v>159</v>
      </c>
      <c r="B160" s="31" t="s">
        <v>2839</v>
      </c>
      <c r="C160" s="47" t="s">
        <v>2654</v>
      </c>
      <c r="D160" s="30">
        <v>2.29</v>
      </c>
      <c r="E160" s="30">
        <v>50</v>
      </c>
      <c r="F160" s="30">
        <v>4</v>
      </c>
      <c r="G160" s="30">
        <v>1</v>
      </c>
      <c r="H160" s="30">
        <v>0</v>
      </c>
      <c r="I160" s="30">
        <v>18</v>
      </c>
      <c r="J160" s="30">
        <v>22</v>
      </c>
      <c r="K160" s="30">
        <v>0</v>
      </c>
      <c r="L160" s="30">
        <v>0</v>
      </c>
      <c r="M160" s="30">
        <v>0</v>
      </c>
      <c r="N160" s="30">
        <v>0.8</v>
      </c>
      <c r="O160" s="30">
        <v>141</v>
      </c>
      <c r="P160" s="33">
        <v>35.1</v>
      </c>
      <c r="Q160" s="30">
        <v>25</v>
      </c>
      <c r="R160" s="30">
        <v>2</v>
      </c>
      <c r="S160" s="30">
        <v>14</v>
      </c>
      <c r="T160" s="30">
        <v>2</v>
      </c>
      <c r="U160" s="30">
        <v>2</v>
      </c>
      <c r="V160" s="30">
        <v>26</v>
      </c>
      <c r="W160" s="30">
        <v>0</v>
      </c>
      <c r="X160" s="30">
        <v>0</v>
      </c>
      <c r="Y160" s="30">
        <v>9</v>
      </c>
      <c r="Z160" s="30">
        <v>9</v>
      </c>
      <c r="AA160" s="23" t="s">
        <v>15</v>
      </c>
      <c r="AB160" s="23" t="s">
        <v>80</v>
      </c>
      <c r="AC160" s="23" t="s">
        <v>80</v>
      </c>
      <c r="AD160" s="23">
        <f t="shared" si="0"/>
        <v>1.1111111111111112</v>
      </c>
      <c r="AE160" s="23">
        <f t="shared" si="1"/>
        <v>3.575840455840456</v>
      </c>
      <c r="AF160" s="23">
        <f t="shared" si="2"/>
        <v>0.24210526315789474</v>
      </c>
    </row>
    <row r="161" spans="1:32" ht="15.75" customHeight="1" x14ac:dyDescent="0.15">
      <c r="A161" s="34">
        <v>159</v>
      </c>
      <c r="B161" s="35" t="s">
        <v>2840</v>
      </c>
      <c r="C161" s="50" t="s">
        <v>198</v>
      </c>
      <c r="D161" s="34">
        <v>1.53</v>
      </c>
      <c r="E161" s="34">
        <v>37</v>
      </c>
      <c r="F161" s="34">
        <v>2</v>
      </c>
      <c r="G161" s="34">
        <v>2</v>
      </c>
      <c r="H161" s="34">
        <v>1</v>
      </c>
      <c r="I161" s="34">
        <v>26</v>
      </c>
      <c r="J161" s="34">
        <v>28</v>
      </c>
      <c r="K161" s="34">
        <v>0</v>
      </c>
      <c r="L161" s="34">
        <v>0</v>
      </c>
      <c r="M161" s="34">
        <v>0</v>
      </c>
      <c r="N161" s="34">
        <v>0.5</v>
      </c>
      <c r="O161" s="34">
        <v>145</v>
      </c>
      <c r="P161" s="33">
        <v>35.1</v>
      </c>
      <c r="Q161" s="34">
        <v>25</v>
      </c>
      <c r="R161" s="34">
        <v>0</v>
      </c>
      <c r="S161" s="34">
        <v>10</v>
      </c>
      <c r="T161" s="34">
        <v>1</v>
      </c>
      <c r="U161" s="34">
        <v>2</v>
      </c>
      <c r="V161" s="34">
        <v>45</v>
      </c>
      <c r="W161" s="34">
        <v>2</v>
      </c>
      <c r="X161" s="34">
        <v>0</v>
      </c>
      <c r="Y161" s="34">
        <v>8</v>
      </c>
      <c r="Z161" s="34">
        <v>6</v>
      </c>
      <c r="AA161" s="24" t="s">
        <v>15</v>
      </c>
      <c r="AB161" s="24" t="s">
        <v>90</v>
      </c>
      <c r="AC161" s="24" t="s">
        <v>90</v>
      </c>
      <c r="AD161" s="23">
        <f t="shared" si="0"/>
        <v>0.99715099715099709</v>
      </c>
      <c r="AE161" s="23">
        <f t="shared" si="1"/>
        <v>1.4960683760683762</v>
      </c>
      <c r="AF161" s="23">
        <f t="shared" si="2"/>
        <v>0.28735632183908044</v>
      </c>
    </row>
    <row r="162" spans="1:32" ht="15.75" customHeight="1" x14ac:dyDescent="0.15">
      <c r="A162" s="30">
        <v>161</v>
      </c>
      <c r="B162" s="31" t="s">
        <v>2841</v>
      </c>
      <c r="C162" s="55" t="s">
        <v>2652</v>
      </c>
      <c r="D162" s="30">
        <v>4.8899999999999997</v>
      </c>
      <c r="E162" s="30">
        <v>41</v>
      </c>
      <c r="F162" s="30">
        <v>3</v>
      </c>
      <c r="G162" s="30">
        <v>4</v>
      </c>
      <c r="H162" s="30">
        <v>0</v>
      </c>
      <c r="I162" s="30">
        <v>10</v>
      </c>
      <c r="J162" s="30">
        <v>13</v>
      </c>
      <c r="K162" s="30">
        <v>0</v>
      </c>
      <c r="L162" s="30">
        <v>0</v>
      </c>
      <c r="M162" s="30">
        <v>0</v>
      </c>
      <c r="N162" s="30">
        <v>0.42899999999999999</v>
      </c>
      <c r="O162" s="30">
        <v>158</v>
      </c>
      <c r="P162" s="33">
        <v>35</v>
      </c>
      <c r="Q162" s="30">
        <v>37</v>
      </c>
      <c r="R162" s="30">
        <v>6</v>
      </c>
      <c r="S162" s="30">
        <v>17</v>
      </c>
      <c r="T162" s="30">
        <v>0</v>
      </c>
      <c r="U162" s="30">
        <v>2</v>
      </c>
      <c r="V162" s="30">
        <v>41</v>
      </c>
      <c r="W162" s="30">
        <v>1</v>
      </c>
      <c r="X162" s="30">
        <v>0</v>
      </c>
      <c r="Y162" s="30">
        <v>20</v>
      </c>
      <c r="Z162" s="30">
        <v>19</v>
      </c>
      <c r="AA162" s="23" t="s">
        <v>14</v>
      </c>
      <c r="AB162" s="23" t="s">
        <v>105</v>
      </c>
      <c r="AC162" s="23" t="s">
        <v>99</v>
      </c>
      <c r="AD162" s="23">
        <f t="shared" si="0"/>
        <v>1.5428571428571429</v>
      </c>
      <c r="AE162" s="23">
        <f t="shared" si="1"/>
        <v>4.6342857142857143</v>
      </c>
      <c r="AF162" s="23">
        <f t="shared" si="2"/>
        <v>0.33695652173913043</v>
      </c>
    </row>
    <row r="163" spans="1:32" ht="15.75" customHeight="1" x14ac:dyDescent="0.15">
      <c r="A163" s="34">
        <v>161</v>
      </c>
      <c r="B163" s="35" t="s">
        <v>2842</v>
      </c>
      <c r="C163" s="38" t="s">
        <v>2648</v>
      </c>
      <c r="D163" s="34">
        <v>3.09</v>
      </c>
      <c r="E163" s="34">
        <v>39</v>
      </c>
      <c r="F163" s="34">
        <v>1</v>
      </c>
      <c r="G163" s="34">
        <v>0</v>
      </c>
      <c r="H163" s="34">
        <v>0</v>
      </c>
      <c r="I163" s="34">
        <v>4</v>
      </c>
      <c r="J163" s="34">
        <v>5</v>
      </c>
      <c r="K163" s="34">
        <v>0</v>
      </c>
      <c r="L163" s="34">
        <v>0</v>
      </c>
      <c r="M163" s="34">
        <v>0</v>
      </c>
      <c r="N163" s="34">
        <v>1</v>
      </c>
      <c r="O163" s="34">
        <v>146</v>
      </c>
      <c r="P163" s="33">
        <v>35</v>
      </c>
      <c r="Q163" s="34">
        <v>22</v>
      </c>
      <c r="R163" s="34">
        <v>3</v>
      </c>
      <c r="S163" s="34">
        <v>14</v>
      </c>
      <c r="T163" s="34">
        <v>0</v>
      </c>
      <c r="U163" s="34">
        <v>5</v>
      </c>
      <c r="V163" s="34">
        <v>22</v>
      </c>
      <c r="W163" s="34">
        <v>4</v>
      </c>
      <c r="X163" s="34">
        <v>1</v>
      </c>
      <c r="Y163" s="34">
        <v>12</v>
      </c>
      <c r="Z163" s="34">
        <v>12</v>
      </c>
      <c r="AA163" s="24" t="s">
        <v>15</v>
      </c>
      <c r="AB163" s="24" t="s">
        <v>123</v>
      </c>
      <c r="AC163" s="24" t="s">
        <v>123</v>
      </c>
      <c r="AD163" s="23">
        <f t="shared" si="0"/>
        <v>1.0285714285714285</v>
      </c>
      <c r="AE163" s="23">
        <f t="shared" si="1"/>
        <v>4.6057142857142859</v>
      </c>
      <c r="AF163" s="23">
        <f t="shared" si="2"/>
        <v>0.18627450980392157</v>
      </c>
    </row>
    <row r="164" spans="1:32" ht="15.75" customHeight="1" x14ac:dyDescent="0.15">
      <c r="A164" s="30">
        <v>161</v>
      </c>
      <c r="B164" s="31" t="s">
        <v>2843</v>
      </c>
      <c r="C164" s="44" t="s">
        <v>2653</v>
      </c>
      <c r="D164" s="30">
        <v>3.86</v>
      </c>
      <c r="E164" s="30">
        <v>29</v>
      </c>
      <c r="F164" s="30">
        <v>2</v>
      </c>
      <c r="G164" s="30">
        <v>1</v>
      </c>
      <c r="H164" s="30">
        <v>0</v>
      </c>
      <c r="I164" s="30">
        <v>1</v>
      </c>
      <c r="J164" s="30">
        <v>3</v>
      </c>
      <c r="K164" s="30">
        <v>0</v>
      </c>
      <c r="L164" s="30">
        <v>0</v>
      </c>
      <c r="M164" s="30">
        <v>0</v>
      </c>
      <c r="N164" s="30">
        <v>0.66700000000000004</v>
      </c>
      <c r="O164" s="30">
        <v>150</v>
      </c>
      <c r="P164" s="33">
        <v>35</v>
      </c>
      <c r="Q164" s="30">
        <v>29</v>
      </c>
      <c r="R164" s="30">
        <v>1</v>
      </c>
      <c r="S164" s="30">
        <v>16</v>
      </c>
      <c r="T164" s="30">
        <v>0</v>
      </c>
      <c r="U164" s="30">
        <v>4</v>
      </c>
      <c r="V164" s="30">
        <v>40</v>
      </c>
      <c r="W164" s="30">
        <v>0</v>
      </c>
      <c r="X164" s="30">
        <v>0</v>
      </c>
      <c r="Y164" s="30">
        <v>17</v>
      </c>
      <c r="Z164" s="30">
        <v>15</v>
      </c>
      <c r="AA164" s="23" t="s">
        <v>15</v>
      </c>
      <c r="AB164" s="23" t="s">
        <v>117</v>
      </c>
      <c r="AC164" s="23" t="s">
        <v>98</v>
      </c>
      <c r="AD164" s="23">
        <f t="shared" si="0"/>
        <v>1.2857142857142858</v>
      </c>
      <c r="AE164" s="23">
        <f t="shared" si="1"/>
        <v>2.92</v>
      </c>
      <c r="AF164" s="23">
        <f t="shared" si="2"/>
        <v>0.3146067415730337</v>
      </c>
    </row>
    <row r="165" spans="1:32" ht="15.75" customHeight="1" x14ac:dyDescent="0.15">
      <c r="A165" s="34">
        <v>161</v>
      </c>
      <c r="B165" s="35" t="s">
        <v>2844</v>
      </c>
      <c r="C165" s="38" t="s">
        <v>2648</v>
      </c>
      <c r="D165" s="34">
        <v>2.31</v>
      </c>
      <c r="E165" s="34">
        <v>21</v>
      </c>
      <c r="F165" s="34">
        <v>3</v>
      </c>
      <c r="G165" s="34">
        <v>0</v>
      </c>
      <c r="H165" s="34">
        <v>0</v>
      </c>
      <c r="I165" s="34">
        <v>0</v>
      </c>
      <c r="J165" s="34">
        <v>3</v>
      </c>
      <c r="K165" s="34">
        <v>0</v>
      </c>
      <c r="L165" s="34">
        <v>0</v>
      </c>
      <c r="M165" s="34">
        <v>0</v>
      </c>
      <c r="N165" s="34">
        <v>1</v>
      </c>
      <c r="O165" s="34">
        <v>136</v>
      </c>
      <c r="P165" s="33">
        <v>35</v>
      </c>
      <c r="Q165" s="34">
        <v>27</v>
      </c>
      <c r="R165" s="34">
        <v>2</v>
      </c>
      <c r="S165" s="34">
        <v>14</v>
      </c>
      <c r="T165" s="34">
        <v>0</v>
      </c>
      <c r="U165" s="34">
        <v>1</v>
      </c>
      <c r="V165" s="34">
        <v>21</v>
      </c>
      <c r="W165" s="34">
        <v>0</v>
      </c>
      <c r="X165" s="34">
        <v>0</v>
      </c>
      <c r="Y165" s="34">
        <v>12</v>
      </c>
      <c r="Z165" s="34">
        <v>9</v>
      </c>
      <c r="AA165" s="24" t="s">
        <v>15</v>
      </c>
      <c r="AB165" s="24" t="s">
        <v>86</v>
      </c>
      <c r="AC165" s="24" t="s">
        <v>86</v>
      </c>
      <c r="AD165" s="23">
        <f t="shared" si="0"/>
        <v>1.1714285714285715</v>
      </c>
      <c r="AE165" s="23">
        <f t="shared" si="1"/>
        <v>3.9485714285714288</v>
      </c>
      <c r="AF165" s="23">
        <f t="shared" si="2"/>
        <v>0.25510204081632654</v>
      </c>
    </row>
    <row r="166" spans="1:32" ht="15.75" customHeight="1" x14ac:dyDescent="0.15">
      <c r="A166" s="30">
        <v>165</v>
      </c>
      <c r="B166" s="31" t="s">
        <v>2846</v>
      </c>
      <c r="C166" s="52" t="s">
        <v>2646</v>
      </c>
      <c r="D166" s="30">
        <v>2.6</v>
      </c>
      <c r="E166" s="30">
        <v>43</v>
      </c>
      <c r="F166" s="30">
        <v>4</v>
      </c>
      <c r="G166" s="30">
        <v>1</v>
      </c>
      <c r="H166" s="30">
        <v>1</v>
      </c>
      <c r="I166" s="30">
        <v>19</v>
      </c>
      <c r="J166" s="30">
        <v>23</v>
      </c>
      <c r="K166" s="30">
        <v>0</v>
      </c>
      <c r="L166" s="30">
        <v>0</v>
      </c>
      <c r="M166" s="30">
        <v>0</v>
      </c>
      <c r="N166" s="30">
        <v>0.8</v>
      </c>
      <c r="O166" s="30">
        <v>142</v>
      </c>
      <c r="P166" s="33">
        <v>34.200000000000003</v>
      </c>
      <c r="Q166" s="30">
        <v>29</v>
      </c>
      <c r="R166" s="30">
        <v>3</v>
      </c>
      <c r="S166" s="30">
        <v>9</v>
      </c>
      <c r="T166" s="30">
        <v>1</v>
      </c>
      <c r="U166" s="30">
        <v>0</v>
      </c>
      <c r="V166" s="30">
        <v>53</v>
      </c>
      <c r="W166" s="30">
        <v>0</v>
      </c>
      <c r="X166" s="30">
        <v>0</v>
      </c>
      <c r="Y166" s="30">
        <v>10</v>
      </c>
      <c r="Z166" s="30">
        <v>10</v>
      </c>
      <c r="AA166" s="23" t="s">
        <v>15</v>
      </c>
      <c r="AB166" s="23" t="s">
        <v>90</v>
      </c>
      <c r="AC166" s="23" t="s">
        <v>90</v>
      </c>
      <c r="AD166" s="23">
        <f t="shared" si="0"/>
        <v>1.1111111111111109</v>
      </c>
      <c r="AE166" s="23">
        <f t="shared" si="1"/>
        <v>1.8626900584795323</v>
      </c>
      <c r="AF166" s="23">
        <f t="shared" si="2"/>
        <v>0.34210526315789475</v>
      </c>
    </row>
    <row r="167" spans="1:32" ht="15.75" customHeight="1" x14ac:dyDescent="0.15">
      <c r="A167" s="34">
        <v>166</v>
      </c>
      <c r="B167" s="35" t="s">
        <v>2847</v>
      </c>
      <c r="C167" s="57" t="s">
        <v>2654</v>
      </c>
      <c r="D167" s="34">
        <v>2.65</v>
      </c>
      <c r="E167" s="34">
        <v>7</v>
      </c>
      <c r="F167" s="34">
        <v>2</v>
      </c>
      <c r="G167" s="34">
        <v>1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0.66700000000000004</v>
      </c>
      <c r="O167" s="34">
        <v>147</v>
      </c>
      <c r="P167" s="33">
        <v>34</v>
      </c>
      <c r="Q167" s="34">
        <v>22</v>
      </c>
      <c r="R167" s="34">
        <v>0</v>
      </c>
      <c r="S167" s="34">
        <v>21</v>
      </c>
      <c r="T167" s="34">
        <v>0</v>
      </c>
      <c r="U167" s="34">
        <v>5</v>
      </c>
      <c r="V167" s="34">
        <v>38</v>
      </c>
      <c r="W167" s="34">
        <v>0</v>
      </c>
      <c r="X167" s="34">
        <v>0</v>
      </c>
      <c r="Y167" s="34">
        <v>10</v>
      </c>
      <c r="Z167" s="34">
        <v>10</v>
      </c>
      <c r="AA167" s="24" t="s">
        <v>15</v>
      </c>
      <c r="AB167" s="24" t="s">
        <v>154</v>
      </c>
      <c r="AC167" s="24" t="s">
        <v>167</v>
      </c>
      <c r="AD167" s="23">
        <f t="shared" si="0"/>
        <v>1.2647058823529411</v>
      </c>
      <c r="AE167" s="23">
        <f t="shared" si="1"/>
        <v>3.1788235294117646</v>
      </c>
      <c r="AF167" s="23">
        <f t="shared" si="2"/>
        <v>0.26506024096385544</v>
      </c>
    </row>
    <row r="168" spans="1:32" ht="15.75" customHeight="1" x14ac:dyDescent="0.15">
      <c r="A168" s="30">
        <v>166</v>
      </c>
      <c r="B168" s="31" t="s">
        <v>2848</v>
      </c>
      <c r="C168" s="44" t="s">
        <v>2653</v>
      </c>
      <c r="D168" s="30">
        <v>3.18</v>
      </c>
      <c r="E168" s="30">
        <v>6</v>
      </c>
      <c r="F168" s="30">
        <v>1</v>
      </c>
      <c r="G168" s="30">
        <v>3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0.25</v>
      </c>
      <c r="O168" s="30">
        <v>133</v>
      </c>
      <c r="P168" s="33">
        <v>34</v>
      </c>
      <c r="Q168" s="30">
        <v>22</v>
      </c>
      <c r="R168" s="30">
        <v>2</v>
      </c>
      <c r="S168" s="30">
        <v>11</v>
      </c>
      <c r="T168" s="30">
        <v>0</v>
      </c>
      <c r="U168" s="30">
        <v>1</v>
      </c>
      <c r="V168" s="30">
        <v>32</v>
      </c>
      <c r="W168" s="30">
        <v>1</v>
      </c>
      <c r="X168" s="30">
        <v>0</v>
      </c>
      <c r="Y168" s="30">
        <v>12</v>
      </c>
      <c r="Z168" s="30">
        <v>12</v>
      </c>
      <c r="AA168" s="23" t="s">
        <v>15</v>
      </c>
      <c r="AB168" s="23" t="s">
        <v>122</v>
      </c>
      <c r="AC168" s="23" t="s">
        <v>105</v>
      </c>
      <c r="AD168" s="23">
        <f t="shared" si="0"/>
        <v>0.97058823529411764</v>
      </c>
      <c r="AE168" s="23">
        <f t="shared" si="1"/>
        <v>3.0611764705882356</v>
      </c>
      <c r="AF168" s="23">
        <f t="shared" si="2"/>
        <v>0.22988505747126436</v>
      </c>
    </row>
    <row r="169" spans="1:32" ht="15.75" customHeight="1" x14ac:dyDescent="0.15">
      <c r="A169" s="34">
        <v>168</v>
      </c>
      <c r="B169" s="35" t="s">
        <v>2849</v>
      </c>
      <c r="C169" s="51" t="s">
        <v>2655</v>
      </c>
      <c r="D169" s="34">
        <v>4.8099999999999996</v>
      </c>
      <c r="E169" s="34">
        <v>8</v>
      </c>
      <c r="F169" s="34">
        <v>2</v>
      </c>
      <c r="G169" s="34">
        <v>3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0.4</v>
      </c>
      <c r="O169" s="34">
        <v>149</v>
      </c>
      <c r="P169" s="33">
        <v>33.200000000000003</v>
      </c>
      <c r="Q169" s="34">
        <v>40</v>
      </c>
      <c r="R169" s="34">
        <v>5</v>
      </c>
      <c r="S169" s="34">
        <v>12</v>
      </c>
      <c r="T169" s="34">
        <v>0</v>
      </c>
      <c r="U169" s="34">
        <v>1</v>
      </c>
      <c r="V169" s="34">
        <v>31</v>
      </c>
      <c r="W169" s="34">
        <v>0</v>
      </c>
      <c r="X169" s="34">
        <v>0</v>
      </c>
      <c r="Y169" s="34">
        <v>18</v>
      </c>
      <c r="Z169" s="34">
        <v>18</v>
      </c>
      <c r="AA169" s="24" t="s">
        <v>15</v>
      </c>
      <c r="AB169" s="24" t="s">
        <v>98</v>
      </c>
      <c r="AC169" s="24" t="s">
        <v>72</v>
      </c>
      <c r="AD169" s="23">
        <f t="shared" si="0"/>
        <v>1.5662650602409638</v>
      </c>
      <c r="AE169" s="23">
        <f t="shared" si="1"/>
        <v>4.3850602409638553</v>
      </c>
      <c r="AF169" s="23">
        <f t="shared" si="2"/>
        <v>0.35</v>
      </c>
    </row>
    <row r="170" spans="1:32" ht="15.75" customHeight="1" x14ac:dyDescent="0.15">
      <c r="A170" s="30">
        <v>168</v>
      </c>
      <c r="B170" s="31" t="s">
        <v>2850</v>
      </c>
      <c r="C170" s="53" t="s">
        <v>198</v>
      </c>
      <c r="D170" s="30">
        <v>4.54</v>
      </c>
      <c r="E170" s="30">
        <v>7</v>
      </c>
      <c r="F170" s="30">
        <v>2</v>
      </c>
      <c r="G170" s="30">
        <v>3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0.4</v>
      </c>
      <c r="O170" s="30">
        <v>148</v>
      </c>
      <c r="P170" s="33">
        <v>33.200000000000003</v>
      </c>
      <c r="Q170" s="30">
        <v>34</v>
      </c>
      <c r="R170" s="30">
        <v>4</v>
      </c>
      <c r="S170" s="30">
        <v>13</v>
      </c>
      <c r="T170" s="30">
        <v>0</v>
      </c>
      <c r="U170" s="30">
        <v>1</v>
      </c>
      <c r="V170" s="30">
        <v>26</v>
      </c>
      <c r="W170" s="30">
        <v>0</v>
      </c>
      <c r="X170" s="30">
        <v>0</v>
      </c>
      <c r="Y170" s="30">
        <v>18</v>
      </c>
      <c r="Z170" s="30">
        <v>17</v>
      </c>
      <c r="AA170" s="23" t="s">
        <v>15</v>
      </c>
      <c r="AB170" s="23" t="s">
        <v>117</v>
      </c>
      <c r="AC170" s="23" t="s">
        <v>117</v>
      </c>
      <c r="AD170" s="23">
        <f t="shared" si="0"/>
        <v>1.4156626506024095</v>
      </c>
      <c r="AE170" s="23">
        <f t="shared" si="1"/>
        <v>4.3850602409638553</v>
      </c>
      <c r="AF170" s="23">
        <f t="shared" si="2"/>
        <v>0.28846153846153844</v>
      </c>
    </row>
    <row r="171" spans="1:32" ht="15.75" customHeight="1" x14ac:dyDescent="0.15">
      <c r="A171" s="34">
        <v>170</v>
      </c>
      <c r="B171" s="35" t="s">
        <v>2851</v>
      </c>
      <c r="C171" s="57" t="s">
        <v>2654</v>
      </c>
      <c r="D171" s="34">
        <v>4.59</v>
      </c>
      <c r="E171" s="34">
        <v>6</v>
      </c>
      <c r="F171" s="34">
        <v>1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0.5</v>
      </c>
      <c r="O171" s="34">
        <v>148</v>
      </c>
      <c r="P171" s="33">
        <v>33.1</v>
      </c>
      <c r="Q171" s="34">
        <v>36</v>
      </c>
      <c r="R171" s="34">
        <v>3</v>
      </c>
      <c r="S171" s="34">
        <v>13</v>
      </c>
      <c r="T171" s="34">
        <v>0</v>
      </c>
      <c r="U171" s="34">
        <v>1</v>
      </c>
      <c r="V171" s="34">
        <v>26</v>
      </c>
      <c r="W171" s="34">
        <v>0</v>
      </c>
      <c r="X171" s="34">
        <v>0</v>
      </c>
      <c r="Y171" s="34">
        <v>17</v>
      </c>
      <c r="Z171" s="34">
        <v>17</v>
      </c>
      <c r="AA171" s="24" t="s">
        <v>15</v>
      </c>
      <c r="AB171" s="24" t="s">
        <v>37</v>
      </c>
      <c r="AC171" s="24" t="s">
        <v>27</v>
      </c>
      <c r="AD171" s="23">
        <f t="shared" si="0"/>
        <v>1.4803625377643503</v>
      </c>
      <c r="AE171" s="23">
        <f t="shared" si="1"/>
        <v>3.9961329305135953</v>
      </c>
      <c r="AF171" s="23">
        <f t="shared" si="2"/>
        <v>0.31428571428571428</v>
      </c>
    </row>
    <row r="172" spans="1:32" ht="15.75" customHeight="1" x14ac:dyDescent="0.15">
      <c r="A172" s="30">
        <v>171</v>
      </c>
      <c r="B172" s="31" t="s">
        <v>2852</v>
      </c>
      <c r="C172" s="53" t="s">
        <v>198</v>
      </c>
      <c r="D172" s="30">
        <v>4.68</v>
      </c>
      <c r="E172" s="30">
        <v>36</v>
      </c>
      <c r="F172" s="30">
        <v>2</v>
      </c>
      <c r="G172" s="30">
        <v>2</v>
      </c>
      <c r="H172" s="30">
        <v>0</v>
      </c>
      <c r="I172" s="30">
        <v>6</v>
      </c>
      <c r="J172" s="30">
        <v>8</v>
      </c>
      <c r="K172" s="30">
        <v>0</v>
      </c>
      <c r="L172" s="30">
        <v>0</v>
      </c>
      <c r="M172" s="30">
        <v>0</v>
      </c>
      <c r="N172" s="30">
        <v>0.5</v>
      </c>
      <c r="O172" s="30">
        <v>142</v>
      </c>
      <c r="P172" s="33">
        <v>32.200000000000003</v>
      </c>
      <c r="Q172" s="30">
        <v>27</v>
      </c>
      <c r="R172" s="30">
        <v>4</v>
      </c>
      <c r="S172" s="30">
        <v>20</v>
      </c>
      <c r="T172" s="30">
        <v>1</v>
      </c>
      <c r="U172" s="30">
        <v>1</v>
      </c>
      <c r="V172" s="30">
        <v>34</v>
      </c>
      <c r="W172" s="30">
        <v>0</v>
      </c>
      <c r="X172" s="30">
        <v>0</v>
      </c>
      <c r="Y172" s="30">
        <v>17</v>
      </c>
      <c r="Z172" s="30">
        <v>17</v>
      </c>
      <c r="AA172" s="23" t="s">
        <v>15</v>
      </c>
      <c r="AB172" s="23" t="s">
        <v>98</v>
      </c>
      <c r="AC172" s="23" t="s">
        <v>98</v>
      </c>
      <c r="AD172" s="23">
        <f t="shared" si="0"/>
        <v>1.4596273291925466</v>
      </c>
      <c r="AE172" s="23">
        <f t="shared" si="1"/>
        <v>4.486459627329193</v>
      </c>
      <c r="AF172" s="23">
        <f t="shared" si="2"/>
        <v>0.28048780487804881</v>
      </c>
    </row>
    <row r="173" spans="1:32" ht="15.75" customHeight="1" x14ac:dyDescent="0.15">
      <c r="A173" s="34">
        <v>171</v>
      </c>
      <c r="B173" s="35" t="s">
        <v>2853</v>
      </c>
      <c r="C173" s="40" t="s">
        <v>2650</v>
      </c>
      <c r="D173" s="34">
        <v>1.1000000000000001</v>
      </c>
      <c r="E173" s="34">
        <v>33</v>
      </c>
      <c r="F173" s="34">
        <v>1</v>
      </c>
      <c r="G173" s="34">
        <v>0</v>
      </c>
      <c r="H173" s="34">
        <v>1</v>
      </c>
      <c r="I173" s="34">
        <v>21</v>
      </c>
      <c r="J173" s="34">
        <v>22</v>
      </c>
      <c r="K173" s="34">
        <v>0</v>
      </c>
      <c r="L173" s="34">
        <v>0</v>
      </c>
      <c r="M173" s="34">
        <v>0</v>
      </c>
      <c r="N173" s="34">
        <v>1</v>
      </c>
      <c r="O173" s="34">
        <v>121</v>
      </c>
      <c r="P173" s="33">
        <v>32.200000000000003</v>
      </c>
      <c r="Q173" s="34">
        <v>20</v>
      </c>
      <c r="R173" s="34">
        <v>1</v>
      </c>
      <c r="S173" s="34">
        <v>6</v>
      </c>
      <c r="T173" s="34">
        <v>0</v>
      </c>
      <c r="U173" s="34">
        <v>0</v>
      </c>
      <c r="V173" s="34">
        <v>22</v>
      </c>
      <c r="W173" s="34">
        <v>0</v>
      </c>
      <c r="X173" s="34">
        <v>0</v>
      </c>
      <c r="Y173" s="34">
        <v>6</v>
      </c>
      <c r="Z173" s="34">
        <v>4</v>
      </c>
      <c r="AA173" s="24" t="s">
        <v>15</v>
      </c>
      <c r="AB173" s="24" t="s">
        <v>105</v>
      </c>
      <c r="AC173" s="24" t="s">
        <v>105</v>
      </c>
      <c r="AD173" s="23">
        <f t="shared" si="0"/>
        <v>0.80745341614906829</v>
      </c>
      <c r="AE173" s="23">
        <f t="shared" si="1"/>
        <v>2.7162732919254662</v>
      </c>
      <c r="AF173" s="23">
        <f t="shared" si="2"/>
        <v>0.20652173913043478</v>
      </c>
    </row>
    <row r="174" spans="1:32" ht="15.75" customHeight="1" x14ac:dyDescent="0.15">
      <c r="A174" s="30">
        <v>173</v>
      </c>
      <c r="B174" s="31" t="s">
        <v>2854</v>
      </c>
      <c r="C174" s="37" t="s">
        <v>2647</v>
      </c>
      <c r="D174" s="30">
        <v>4.26</v>
      </c>
      <c r="E174" s="30">
        <v>37</v>
      </c>
      <c r="F174" s="30">
        <v>4</v>
      </c>
      <c r="G174" s="30">
        <v>1</v>
      </c>
      <c r="H174" s="30">
        <v>1</v>
      </c>
      <c r="I174" s="30">
        <v>10</v>
      </c>
      <c r="J174" s="30">
        <v>14</v>
      </c>
      <c r="K174" s="30">
        <v>0</v>
      </c>
      <c r="L174" s="30">
        <v>0</v>
      </c>
      <c r="M174" s="30">
        <v>0</v>
      </c>
      <c r="N174" s="30">
        <v>0.8</v>
      </c>
      <c r="O174" s="30">
        <v>136</v>
      </c>
      <c r="P174" s="33">
        <v>31.2</v>
      </c>
      <c r="Q174" s="30">
        <v>33</v>
      </c>
      <c r="R174" s="30">
        <v>2</v>
      </c>
      <c r="S174" s="30">
        <v>7</v>
      </c>
      <c r="T174" s="30">
        <v>1</v>
      </c>
      <c r="U174" s="30">
        <v>1</v>
      </c>
      <c r="V174" s="30">
        <v>33</v>
      </c>
      <c r="W174" s="30">
        <v>1</v>
      </c>
      <c r="X174" s="30">
        <v>0</v>
      </c>
      <c r="Y174" s="30">
        <v>18</v>
      </c>
      <c r="Z174" s="30">
        <v>15</v>
      </c>
      <c r="AA174" s="23" t="s">
        <v>15</v>
      </c>
      <c r="AB174" s="23" t="s">
        <v>64</v>
      </c>
      <c r="AC174" s="23" t="s">
        <v>64</v>
      </c>
      <c r="AD174" s="23">
        <f t="shared" si="0"/>
        <v>1.2820512820512822</v>
      </c>
      <c r="AE174" s="23">
        <f t="shared" si="1"/>
        <v>2.5110256410256411</v>
      </c>
      <c r="AF174" s="23">
        <f t="shared" si="2"/>
        <v>0.33695652173913043</v>
      </c>
    </row>
    <row r="175" spans="1:32" ht="15.75" customHeight="1" x14ac:dyDescent="0.15">
      <c r="A175" s="34">
        <v>174</v>
      </c>
      <c r="B175" s="35" t="s">
        <v>2855</v>
      </c>
      <c r="C175" s="50" t="s">
        <v>198</v>
      </c>
      <c r="D175" s="34">
        <v>3.45</v>
      </c>
      <c r="E175" s="34">
        <v>28</v>
      </c>
      <c r="F175" s="34">
        <v>1</v>
      </c>
      <c r="G175" s="34">
        <v>2</v>
      </c>
      <c r="H175" s="34">
        <v>0</v>
      </c>
      <c r="I175" s="34">
        <v>0</v>
      </c>
      <c r="J175" s="34">
        <v>1</v>
      </c>
      <c r="K175" s="34">
        <v>0</v>
      </c>
      <c r="L175" s="34">
        <v>0</v>
      </c>
      <c r="M175" s="34">
        <v>0</v>
      </c>
      <c r="N175" s="34">
        <v>0.33300000000000002</v>
      </c>
      <c r="O175" s="34">
        <v>127</v>
      </c>
      <c r="P175" s="33">
        <v>31.1</v>
      </c>
      <c r="Q175" s="34">
        <v>23</v>
      </c>
      <c r="R175" s="34">
        <v>1</v>
      </c>
      <c r="S175" s="34">
        <v>13</v>
      </c>
      <c r="T175" s="34">
        <v>0</v>
      </c>
      <c r="U175" s="34">
        <v>2</v>
      </c>
      <c r="V175" s="34">
        <v>32</v>
      </c>
      <c r="W175" s="34">
        <v>1</v>
      </c>
      <c r="X175" s="34">
        <v>0</v>
      </c>
      <c r="Y175" s="34">
        <v>12</v>
      </c>
      <c r="Z175" s="34">
        <v>12</v>
      </c>
      <c r="AA175" s="24" t="s">
        <v>15</v>
      </c>
      <c r="AB175" s="24" t="s">
        <v>117</v>
      </c>
      <c r="AC175" s="24" t="s">
        <v>117</v>
      </c>
      <c r="AD175" s="23">
        <f t="shared" si="0"/>
        <v>1.157556270096463</v>
      </c>
      <c r="AE175" s="23">
        <f t="shared" si="1"/>
        <v>2.9270739549839231</v>
      </c>
      <c r="AF175" s="23">
        <f t="shared" si="2"/>
        <v>0.27848101265822783</v>
      </c>
    </row>
    <row r="176" spans="1:32" ht="15.75" customHeight="1" x14ac:dyDescent="0.15">
      <c r="A176" s="30">
        <v>174</v>
      </c>
      <c r="B176" s="31" t="s">
        <v>2856</v>
      </c>
      <c r="C176" s="55" t="s">
        <v>2652</v>
      </c>
      <c r="D176" s="30">
        <v>6.32</v>
      </c>
      <c r="E176" s="30">
        <v>25</v>
      </c>
      <c r="F176" s="30">
        <v>0</v>
      </c>
      <c r="G176" s="30">
        <v>2</v>
      </c>
      <c r="H176" s="30">
        <v>0</v>
      </c>
      <c r="I176" s="30">
        <v>4</v>
      </c>
      <c r="J176" s="30">
        <v>4</v>
      </c>
      <c r="K176" s="30">
        <v>0</v>
      </c>
      <c r="L176" s="30">
        <v>0</v>
      </c>
      <c r="M176" s="30">
        <v>0</v>
      </c>
      <c r="N176" s="30">
        <v>0</v>
      </c>
      <c r="O176" s="30">
        <v>134</v>
      </c>
      <c r="P176" s="33">
        <v>31.1</v>
      </c>
      <c r="Q176" s="30">
        <v>26</v>
      </c>
      <c r="R176" s="30">
        <v>4</v>
      </c>
      <c r="S176" s="30">
        <v>14</v>
      </c>
      <c r="T176" s="30">
        <v>0</v>
      </c>
      <c r="U176" s="30">
        <v>0</v>
      </c>
      <c r="V176" s="30">
        <v>25</v>
      </c>
      <c r="W176" s="30">
        <v>2</v>
      </c>
      <c r="X176" s="30">
        <v>0</v>
      </c>
      <c r="Y176" s="30">
        <v>22</v>
      </c>
      <c r="Z176" s="30">
        <v>22</v>
      </c>
      <c r="AA176" s="23" t="s">
        <v>15</v>
      </c>
      <c r="AB176" s="23" t="s">
        <v>72</v>
      </c>
      <c r="AC176" s="23" t="s">
        <v>72</v>
      </c>
      <c r="AD176" s="23">
        <f t="shared" si="0"/>
        <v>1.2861736334405145</v>
      </c>
      <c r="AE176" s="23">
        <f t="shared" si="1"/>
        <v>4.5347909967845661</v>
      </c>
      <c r="AF176" s="23">
        <f t="shared" si="2"/>
        <v>0.24175824175824176</v>
      </c>
    </row>
    <row r="177" spans="1:32" ht="15.75" customHeight="1" x14ac:dyDescent="0.15">
      <c r="A177" s="34">
        <v>176</v>
      </c>
      <c r="B177" s="35" t="s">
        <v>2857</v>
      </c>
      <c r="C177" s="48" t="s">
        <v>2647</v>
      </c>
      <c r="D177" s="34">
        <v>3.52</v>
      </c>
      <c r="E177" s="34">
        <v>31</v>
      </c>
      <c r="F177" s="34">
        <v>2</v>
      </c>
      <c r="G177" s="34">
        <v>1</v>
      </c>
      <c r="H177" s="34">
        <v>18</v>
      </c>
      <c r="I177" s="34">
        <v>2</v>
      </c>
      <c r="J177" s="34">
        <v>4</v>
      </c>
      <c r="K177" s="34">
        <v>0</v>
      </c>
      <c r="L177" s="34">
        <v>0</v>
      </c>
      <c r="M177" s="34">
        <v>0</v>
      </c>
      <c r="N177" s="34">
        <v>0.66700000000000004</v>
      </c>
      <c r="O177" s="34">
        <v>130</v>
      </c>
      <c r="P177" s="33">
        <v>30.2</v>
      </c>
      <c r="Q177" s="34">
        <v>26</v>
      </c>
      <c r="R177" s="34">
        <v>7</v>
      </c>
      <c r="S177" s="34">
        <v>15</v>
      </c>
      <c r="T177" s="34">
        <v>0</v>
      </c>
      <c r="U177" s="34">
        <v>0</v>
      </c>
      <c r="V177" s="34">
        <v>31</v>
      </c>
      <c r="W177" s="34">
        <v>0</v>
      </c>
      <c r="X177" s="34">
        <v>1</v>
      </c>
      <c r="Y177" s="34">
        <v>13</v>
      </c>
      <c r="Z177" s="34">
        <v>12</v>
      </c>
      <c r="AA177" s="24" t="s">
        <v>15</v>
      </c>
      <c r="AB177" s="24" t="s">
        <v>162</v>
      </c>
      <c r="AC177" s="24" t="s">
        <v>117</v>
      </c>
      <c r="AD177" s="23">
        <f t="shared" si="0"/>
        <v>1.3576158940397351</v>
      </c>
      <c r="AE177" s="23">
        <f t="shared" si="1"/>
        <v>5.5703311258278152</v>
      </c>
      <c r="AF177" s="23">
        <f t="shared" si="2"/>
        <v>0.24675324675324675</v>
      </c>
    </row>
    <row r="178" spans="1:32" ht="15.75" customHeight="1" x14ac:dyDescent="0.15">
      <c r="A178" s="30">
        <v>176</v>
      </c>
      <c r="B178" s="31" t="s">
        <v>2858</v>
      </c>
      <c r="C178" s="52" t="s">
        <v>2646</v>
      </c>
      <c r="D178" s="30">
        <v>2.64</v>
      </c>
      <c r="E178" s="30">
        <v>22</v>
      </c>
      <c r="F178" s="30">
        <v>2</v>
      </c>
      <c r="G178" s="30">
        <v>1</v>
      </c>
      <c r="H178" s="30">
        <v>0</v>
      </c>
      <c r="I178" s="30">
        <v>8</v>
      </c>
      <c r="J178" s="30">
        <v>9</v>
      </c>
      <c r="K178" s="30">
        <v>0</v>
      </c>
      <c r="L178" s="30">
        <v>0</v>
      </c>
      <c r="M178" s="30">
        <v>0</v>
      </c>
      <c r="N178" s="30">
        <v>0.66700000000000004</v>
      </c>
      <c r="O178" s="30">
        <v>123</v>
      </c>
      <c r="P178" s="33">
        <v>30.2</v>
      </c>
      <c r="Q178" s="30">
        <v>22</v>
      </c>
      <c r="R178" s="30">
        <v>1</v>
      </c>
      <c r="S178" s="30">
        <v>13</v>
      </c>
      <c r="T178" s="30">
        <v>0</v>
      </c>
      <c r="U178" s="30">
        <v>0</v>
      </c>
      <c r="V178" s="30">
        <v>28</v>
      </c>
      <c r="W178" s="30">
        <v>1</v>
      </c>
      <c r="X178" s="30">
        <v>0</v>
      </c>
      <c r="Y178" s="30">
        <v>10</v>
      </c>
      <c r="Z178" s="30">
        <v>9</v>
      </c>
      <c r="AA178" s="23" t="s">
        <v>15</v>
      </c>
      <c r="AB178" s="23" t="s">
        <v>112</v>
      </c>
      <c r="AC178" s="23" t="s">
        <v>99</v>
      </c>
      <c r="AD178" s="23">
        <f t="shared" si="0"/>
        <v>1.1589403973509933</v>
      </c>
      <c r="AE178" s="23">
        <f t="shared" si="1"/>
        <v>2.9875496688741725</v>
      </c>
      <c r="AF178" s="23">
        <f t="shared" si="2"/>
        <v>0.25925925925925924</v>
      </c>
    </row>
    <row r="179" spans="1:32" ht="15.75" customHeight="1" x14ac:dyDescent="0.15">
      <c r="A179" s="34">
        <v>176</v>
      </c>
      <c r="B179" s="35" t="s">
        <v>2874</v>
      </c>
      <c r="C179" s="58" t="s">
        <v>2645</v>
      </c>
      <c r="D179" s="34">
        <v>3.82</v>
      </c>
      <c r="E179" s="34">
        <v>7</v>
      </c>
      <c r="F179" s="34">
        <v>1</v>
      </c>
      <c r="G179" s="34">
        <v>3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0.25</v>
      </c>
      <c r="O179" s="34">
        <v>131</v>
      </c>
      <c r="P179" s="33">
        <v>30.2</v>
      </c>
      <c r="Q179" s="34">
        <v>29</v>
      </c>
      <c r="R179" s="34">
        <v>3</v>
      </c>
      <c r="S179" s="34">
        <v>11</v>
      </c>
      <c r="T179" s="34">
        <v>1</v>
      </c>
      <c r="U179" s="34">
        <v>1</v>
      </c>
      <c r="V179" s="34">
        <v>34</v>
      </c>
      <c r="W179" s="34">
        <v>1</v>
      </c>
      <c r="X179" s="34">
        <v>0</v>
      </c>
      <c r="Y179" s="34">
        <v>13</v>
      </c>
      <c r="Z179" s="34">
        <v>13</v>
      </c>
      <c r="AA179" s="24" t="s">
        <v>15</v>
      </c>
      <c r="AB179" s="24" t="s">
        <v>86</v>
      </c>
      <c r="AC179" s="24" t="s">
        <v>86</v>
      </c>
      <c r="AD179" s="23">
        <f t="shared" si="0"/>
        <v>1.3245033112582782</v>
      </c>
      <c r="AE179" s="23">
        <f t="shared" si="1"/>
        <v>3.2524503311258277</v>
      </c>
      <c r="AF179" s="23">
        <f t="shared" si="2"/>
        <v>0.32098765432098764</v>
      </c>
    </row>
    <row r="180" spans="1:32" ht="15.75" customHeight="1" x14ac:dyDescent="0.15">
      <c r="A180" s="30">
        <v>179</v>
      </c>
      <c r="B180" s="31" t="s">
        <v>2859</v>
      </c>
      <c r="C180" s="54" t="s">
        <v>2650</v>
      </c>
      <c r="D180" s="30">
        <v>3.26</v>
      </c>
      <c r="E180" s="30">
        <v>32</v>
      </c>
      <c r="F180" s="30">
        <v>0</v>
      </c>
      <c r="G180" s="30">
        <v>1</v>
      </c>
      <c r="H180" s="30">
        <v>0</v>
      </c>
      <c r="I180" s="30">
        <v>4</v>
      </c>
      <c r="J180" s="30">
        <v>4</v>
      </c>
      <c r="K180" s="30">
        <v>0</v>
      </c>
      <c r="L180" s="30">
        <v>0</v>
      </c>
      <c r="M180" s="30">
        <v>0</v>
      </c>
      <c r="N180" s="30">
        <v>0</v>
      </c>
      <c r="O180" s="30">
        <v>140</v>
      </c>
      <c r="P180" s="33">
        <v>30.1</v>
      </c>
      <c r="Q180" s="30">
        <v>31</v>
      </c>
      <c r="R180" s="30">
        <v>5</v>
      </c>
      <c r="S180" s="30">
        <v>15</v>
      </c>
      <c r="T180" s="30">
        <v>4</v>
      </c>
      <c r="U180" s="30">
        <v>1</v>
      </c>
      <c r="V180" s="30">
        <v>24</v>
      </c>
      <c r="W180" s="30">
        <v>2</v>
      </c>
      <c r="X180" s="30">
        <v>0</v>
      </c>
      <c r="Y180" s="30">
        <v>16</v>
      </c>
      <c r="Z180" s="30">
        <v>11</v>
      </c>
      <c r="AA180" s="23" t="s">
        <v>15</v>
      </c>
      <c r="AB180" s="23" t="s">
        <v>90</v>
      </c>
      <c r="AC180" s="23" t="s">
        <v>90</v>
      </c>
      <c r="AD180" s="23">
        <f t="shared" si="0"/>
        <v>1.5282392026578073</v>
      </c>
      <c r="AE180" s="23">
        <f t="shared" si="1"/>
        <v>4.8807973421926913</v>
      </c>
      <c r="AF180" s="23">
        <f t="shared" si="2"/>
        <v>0.2857142857142857</v>
      </c>
    </row>
    <row r="181" spans="1:32" ht="15.75" customHeight="1" x14ac:dyDescent="0.15">
      <c r="A181" s="34">
        <v>180</v>
      </c>
      <c r="B181" s="35" t="s">
        <v>2860</v>
      </c>
      <c r="C181" s="43" t="s">
        <v>2649</v>
      </c>
      <c r="D181" s="34">
        <v>3.3</v>
      </c>
      <c r="E181" s="34">
        <v>34</v>
      </c>
      <c r="F181" s="34">
        <v>0</v>
      </c>
      <c r="G181" s="34">
        <v>1</v>
      </c>
      <c r="H181" s="34">
        <v>0</v>
      </c>
      <c r="I181" s="34">
        <v>4</v>
      </c>
      <c r="J181" s="34">
        <v>4</v>
      </c>
      <c r="K181" s="34">
        <v>0</v>
      </c>
      <c r="L181" s="34">
        <v>0</v>
      </c>
      <c r="M181" s="34">
        <v>0</v>
      </c>
      <c r="N181" s="34">
        <v>0</v>
      </c>
      <c r="O181" s="34">
        <v>126</v>
      </c>
      <c r="P181" s="33">
        <v>30</v>
      </c>
      <c r="Q181" s="34">
        <v>23</v>
      </c>
      <c r="R181" s="34">
        <v>2</v>
      </c>
      <c r="S181" s="34">
        <v>14</v>
      </c>
      <c r="T181" s="34">
        <v>1</v>
      </c>
      <c r="U181" s="34">
        <v>1</v>
      </c>
      <c r="V181" s="34">
        <v>23</v>
      </c>
      <c r="W181" s="34">
        <v>0</v>
      </c>
      <c r="X181" s="34">
        <v>0</v>
      </c>
      <c r="Y181" s="34">
        <v>11</v>
      </c>
      <c r="Z181" s="34">
        <v>11</v>
      </c>
      <c r="AA181" s="24" t="s">
        <v>15</v>
      </c>
      <c r="AB181" s="24" t="s">
        <v>72</v>
      </c>
      <c r="AC181" s="24" t="s">
        <v>72</v>
      </c>
      <c r="AD181" s="23">
        <f t="shared" si="0"/>
        <v>1.2333333333333334</v>
      </c>
      <c r="AE181" s="23">
        <f t="shared" si="1"/>
        <v>3.8533333333333335</v>
      </c>
      <c r="AF181" s="23">
        <f t="shared" si="2"/>
        <v>0.24705882352941178</v>
      </c>
    </row>
    <row r="182" spans="1:32" ht="15.75" customHeight="1" x14ac:dyDescent="0.15">
      <c r="A182" s="30">
        <v>180</v>
      </c>
      <c r="B182" s="31" t="s">
        <v>2861</v>
      </c>
      <c r="C182" s="54" t="s">
        <v>2650</v>
      </c>
      <c r="D182" s="30">
        <v>6.9</v>
      </c>
      <c r="E182" s="30">
        <v>7</v>
      </c>
      <c r="F182" s="30">
        <v>0</v>
      </c>
      <c r="G182" s="30">
        <v>3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144</v>
      </c>
      <c r="P182" s="33">
        <v>30</v>
      </c>
      <c r="Q182" s="30">
        <v>37</v>
      </c>
      <c r="R182" s="30">
        <v>6</v>
      </c>
      <c r="S182" s="30">
        <v>15</v>
      </c>
      <c r="T182" s="30">
        <v>0</v>
      </c>
      <c r="U182" s="30">
        <v>1</v>
      </c>
      <c r="V182" s="30">
        <v>31</v>
      </c>
      <c r="W182" s="30">
        <v>0</v>
      </c>
      <c r="X182" s="30">
        <v>0</v>
      </c>
      <c r="Y182" s="30">
        <v>25</v>
      </c>
      <c r="Z182" s="30">
        <v>23</v>
      </c>
      <c r="AA182" s="23" t="s">
        <v>15</v>
      </c>
      <c r="AB182" s="23" t="s">
        <v>122</v>
      </c>
      <c r="AC182" s="23" t="s">
        <v>99</v>
      </c>
      <c r="AD182" s="23">
        <f t="shared" si="0"/>
        <v>1.7333333333333334</v>
      </c>
      <c r="AE182" s="23">
        <f t="shared" si="1"/>
        <v>5.2533333333333339</v>
      </c>
      <c r="AF182" s="23">
        <f t="shared" si="2"/>
        <v>0.34065934065934067</v>
      </c>
    </row>
    <row r="183" spans="1:32" ht="15.75" customHeight="1" x14ac:dyDescent="0.15">
      <c r="A183" s="34">
        <v>180</v>
      </c>
      <c r="B183" s="35" t="s">
        <v>2862</v>
      </c>
      <c r="C183" s="42" t="s">
        <v>2652</v>
      </c>
      <c r="D183" s="34">
        <v>4.2</v>
      </c>
      <c r="E183" s="34">
        <v>6</v>
      </c>
      <c r="F183" s="34">
        <v>2</v>
      </c>
      <c r="G183" s="34">
        <v>1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0.66700000000000004</v>
      </c>
      <c r="O183" s="34">
        <v>134</v>
      </c>
      <c r="P183" s="33">
        <v>30</v>
      </c>
      <c r="Q183" s="34">
        <v>33</v>
      </c>
      <c r="R183" s="34">
        <v>3</v>
      </c>
      <c r="S183" s="34">
        <v>13</v>
      </c>
      <c r="T183" s="34">
        <v>0</v>
      </c>
      <c r="U183" s="34">
        <v>4</v>
      </c>
      <c r="V183" s="34">
        <v>27</v>
      </c>
      <c r="W183" s="34">
        <v>1</v>
      </c>
      <c r="X183" s="34">
        <v>0</v>
      </c>
      <c r="Y183" s="34">
        <v>14</v>
      </c>
      <c r="Z183" s="34">
        <v>14</v>
      </c>
      <c r="AA183" s="24" t="s">
        <v>15</v>
      </c>
      <c r="AB183" s="24" t="s">
        <v>153</v>
      </c>
      <c r="AC183" s="24" t="s">
        <v>123</v>
      </c>
      <c r="AD183" s="23">
        <f t="shared" si="0"/>
        <v>1.5333333333333334</v>
      </c>
      <c r="AE183" s="23">
        <f t="shared" si="1"/>
        <v>4.32</v>
      </c>
      <c r="AF183" s="23">
        <f t="shared" si="2"/>
        <v>0.34482758620689657</v>
      </c>
    </row>
    <row r="184" spans="1:32" ht="15.75" customHeight="1" x14ac:dyDescent="0.15">
      <c r="A184" s="30">
        <v>183</v>
      </c>
      <c r="B184" s="31" t="s">
        <v>2863</v>
      </c>
      <c r="C184" s="47" t="s">
        <v>2654</v>
      </c>
      <c r="D184" s="30">
        <v>2.15</v>
      </c>
      <c r="E184" s="30">
        <v>32</v>
      </c>
      <c r="F184" s="30">
        <v>1</v>
      </c>
      <c r="G184" s="30">
        <v>1</v>
      </c>
      <c r="H184" s="30">
        <v>3</v>
      </c>
      <c r="I184" s="30">
        <v>22</v>
      </c>
      <c r="J184" s="30">
        <v>23</v>
      </c>
      <c r="K184" s="30">
        <v>0</v>
      </c>
      <c r="L184" s="30">
        <v>0</v>
      </c>
      <c r="M184" s="30">
        <v>0</v>
      </c>
      <c r="N184" s="30">
        <v>0.5</v>
      </c>
      <c r="O184" s="30">
        <v>110</v>
      </c>
      <c r="P184" s="33">
        <v>29.1</v>
      </c>
      <c r="Q184" s="30">
        <v>15</v>
      </c>
      <c r="R184" s="30">
        <v>2</v>
      </c>
      <c r="S184" s="30">
        <v>6</v>
      </c>
      <c r="T184" s="30">
        <v>0</v>
      </c>
      <c r="U184" s="30">
        <v>1</v>
      </c>
      <c r="V184" s="30">
        <v>33</v>
      </c>
      <c r="W184" s="30">
        <v>1</v>
      </c>
      <c r="X184" s="30">
        <v>0</v>
      </c>
      <c r="Y184" s="30">
        <v>11</v>
      </c>
      <c r="Z184" s="30">
        <v>7</v>
      </c>
      <c r="AA184" s="23" t="s">
        <v>15</v>
      </c>
      <c r="AB184" s="23" t="s">
        <v>86</v>
      </c>
      <c r="AC184" s="23" t="s">
        <v>86</v>
      </c>
      <c r="AD184" s="23">
        <f t="shared" si="0"/>
        <v>0.72164948453608246</v>
      </c>
      <c r="AE184" s="23">
        <f t="shared" si="1"/>
        <v>2.4670790378006875</v>
      </c>
      <c r="AF184" s="23">
        <f t="shared" si="2"/>
        <v>0.19117647058823528</v>
      </c>
    </row>
    <row r="185" spans="1:32" ht="15.75" customHeight="1" x14ac:dyDescent="0.15">
      <c r="A185" s="34">
        <v>183</v>
      </c>
      <c r="B185" s="35" t="s">
        <v>2864</v>
      </c>
      <c r="C185" s="40" t="s">
        <v>2650</v>
      </c>
      <c r="D185" s="34">
        <v>2.76</v>
      </c>
      <c r="E185" s="34">
        <v>31</v>
      </c>
      <c r="F185" s="34">
        <v>1</v>
      </c>
      <c r="G185" s="34">
        <v>1</v>
      </c>
      <c r="H185" s="34">
        <v>0</v>
      </c>
      <c r="I185" s="34">
        <v>5</v>
      </c>
      <c r="J185" s="34">
        <v>6</v>
      </c>
      <c r="K185" s="34">
        <v>0</v>
      </c>
      <c r="L185" s="34">
        <v>0</v>
      </c>
      <c r="M185" s="34">
        <v>0</v>
      </c>
      <c r="N185" s="34">
        <v>0.5</v>
      </c>
      <c r="O185" s="34">
        <v>123</v>
      </c>
      <c r="P185" s="33">
        <v>29.1</v>
      </c>
      <c r="Q185" s="34">
        <v>25</v>
      </c>
      <c r="R185" s="34">
        <v>3</v>
      </c>
      <c r="S185" s="34">
        <v>11</v>
      </c>
      <c r="T185" s="34">
        <v>1</v>
      </c>
      <c r="U185" s="34">
        <v>1</v>
      </c>
      <c r="V185" s="34">
        <v>30</v>
      </c>
      <c r="W185" s="34">
        <v>1</v>
      </c>
      <c r="X185" s="34">
        <v>1</v>
      </c>
      <c r="Y185" s="34">
        <v>10</v>
      </c>
      <c r="Z185" s="34">
        <v>9</v>
      </c>
      <c r="AA185" s="24" t="s">
        <v>15</v>
      </c>
      <c r="AB185" s="24" t="s">
        <v>98</v>
      </c>
      <c r="AC185" s="24" t="s">
        <v>90</v>
      </c>
      <c r="AD185" s="23">
        <f t="shared" si="0"/>
        <v>1.2371134020618557</v>
      </c>
      <c r="AE185" s="23">
        <f t="shared" si="1"/>
        <v>3.5323711340206185</v>
      </c>
      <c r="AF185" s="23">
        <f t="shared" si="2"/>
        <v>0.2857142857142857</v>
      </c>
    </row>
    <row r="186" spans="1:32" ht="15.75" customHeight="1" x14ac:dyDescent="0.15">
      <c r="A186" s="30">
        <v>183</v>
      </c>
      <c r="B186" s="31" t="s">
        <v>2865</v>
      </c>
      <c r="C186" s="55" t="s">
        <v>2652</v>
      </c>
      <c r="D186" s="30">
        <v>4.5999999999999996</v>
      </c>
      <c r="E186" s="30">
        <v>16</v>
      </c>
      <c r="F186" s="30">
        <v>0</v>
      </c>
      <c r="G186" s="30">
        <v>2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133</v>
      </c>
      <c r="P186" s="33">
        <v>29.1</v>
      </c>
      <c r="Q186" s="30">
        <v>37</v>
      </c>
      <c r="R186" s="30">
        <v>3</v>
      </c>
      <c r="S186" s="30">
        <v>10</v>
      </c>
      <c r="T186" s="30">
        <v>0</v>
      </c>
      <c r="U186" s="30">
        <v>4</v>
      </c>
      <c r="V186" s="30">
        <v>24</v>
      </c>
      <c r="W186" s="30">
        <v>0</v>
      </c>
      <c r="X186" s="30">
        <v>1</v>
      </c>
      <c r="Y186" s="30">
        <v>18</v>
      </c>
      <c r="Z186" s="30">
        <v>15</v>
      </c>
      <c r="AA186" s="23" t="s">
        <v>15</v>
      </c>
      <c r="AB186" s="23" t="s">
        <v>99</v>
      </c>
      <c r="AC186" s="23" t="s">
        <v>99</v>
      </c>
      <c r="AD186" s="23">
        <f t="shared" si="0"/>
        <v>1.6151202749140892</v>
      </c>
      <c r="AE186" s="23">
        <f t="shared" si="1"/>
        <v>4.2540206185567015</v>
      </c>
      <c r="AF186" s="23">
        <f t="shared" si="2"/>
        <v>0.36956521739130432</v>
      </c>
    </row>
    <row r="187" spans="1:32" ht="15.75" customHeight="1" x14ac:dyDescent="0.15">
      <c r="A187" s="34">
        <v>186</v>
      </c>
      <c r="B187" s="35" t="s">
        <v>2866</v>
      </c>
      <c r="C187" s="40" t="s">
        <v>2650</v>
      </c>
      <c r="D187" s="34">
        <v>3.45</v>
      </c>
      <c r="E187" s="34">
        <v>30</v>
      </c>
      <c r="F187" s="34">
        <v>0</v>
      </c>
      <c r="G187" s="34">
        <v>3</v>
      </c>
      <c r="H187" s="34">
        <v>0</v>
      </c>
      <c r="I187" s="34">
        <v>5</v>
      </c>
      <c r="J187" s="34">
        <v>5</v>
      </c>
      <c r="K187" s="34">
        <v>0</v>
      </c>
      <c r="L187" s="34">
        <v>0</v>
      </c>
      <c r="M187" s="34">
        <v>0</v>
      </c>
      <c r="N187" s="34">
        <v>0</v>
      </c>
      <c r="O187" s="34">
        <v>119</v>
      </c>
      <c r="P187" s="33">
        <v>28.2</v>
      </c>
      <c r="Q187" s="34">
        <v>26</v>
      </c>
      <c r="R187" s="34">
        <v>3</v>
      </c>
      <c r="S187" s="34">
        <v>8</v>
      </c>
      <c r="T187" s="34">
        <v>2</v>
      </c>
      <c r="U187" s="34">
        <v>1</v>
      </c>
      <c r="V187" s="34">
        <v>28</v>
      </c>
      <c r="W187" s="34">
        <v>2</v>
      </c>
      <c r="X187" s="34">
        <v>0</v>
      </c>
      <c r="Y187" s="34">
        <v>11</v>
      </c>
      <c r="Z187" s="34">
        <v>11</v>
      </c>
      <c r="AA187" s="24" t="s">
        <v>15</v>
      </c>
      <c r="AB187" s="24" t="s">
        <v>98</v>
      </c>
      <c r="AC187" s="24" t="s">
        <v>98</v>
      </c>
      <c r="AD187" s="23">
        <f t="shared" si="0"/>
        <v>1.2056737588652482</v>
      </c>
      <c r="AE187" s="23">
        <f t="shared" si="1"/>
        <v>3.261843971631206</v>
      </c>
      <c r="AF187" s="23">
        <f t="shared" si="2"/>
        <v>0.29870129870129869</v>
      </c>
    </row>
    <row r="188" spans="1:32" ht="15.75" customHeight="1" x14ac:dyDescent="0.15">
      <c r="A188" s="30">
        <v>186</v>
      </c>
      <c r="B188" s="31" t="s">
        <v>2867</v>
      </c>
      <c r="C188" s="37" t="s">
        <v>2647</v>
      </c>
      <c r="D188" s="30">
        <v>1.88</v>
      </c>
      <c r="E188" s="30">
        <v>23</v>
      </c>
      <c r="F188" s="30">
        <v>1</v>
      </c>
      <c r="G188" s="30">
        <v>1</v>
      </c>
      <c r="H188" s="30">
        <v>0</v>
      </c>
      <c r="I188" s="30">
        <v>2</v>
      </c>
      <c r="J188" s="30">
        <v>3</v>
      </c>
      <c r="K188" s="30">
        <v>0</v>
      </c>
      <c r="L188" s="30">
        <v>0</v>
      </c>
      <c r="M188" s="30">
        <v>0</v>
      </c>
      <c r="N188" s="30">
        <v>0.5</v>
      </c>
      <c r="O188" s="30">
        <v>106</v>
      </c>
      <c r="P188" s="33">
        <v>28.2</v>
      </c>
      <c r="Q188" s="30">
        <v>15</v>
      </c>
      <c r="R188" s="30">
        <v>4</v>
      </c>
      <c r="S188" s="30">
        <v>4</v>
      </c>
      <c r="T188" s="30">
        <v>0</v>
      </c>
      <c r="U188" s="30">
        <v>2</v>
      </c>
      <c r="V188" s="30">
        <v>33</v>
      </c>
      <c r="W188" s="30">
        <v>0</v>
      </c>
      <c r="X188" s="30">
        <v>0</v>
      </c>
      <c r="Y188" s="30">
        <v>7</v>
      </c>
      <c r="Z188" s="30">
        <v>6</v>
      </c>
      <c r="AA188" s="23" t="s">
        <v>15</v>
      </c>
      <c r="AB188" s="23" t="s">
        <v>86</v>
      </c>
      <c r="AC188" s="23" t="s">
        <v>86</v>
      </c>
      <c r="AD188" s="23">
        <f t="shared" si="0"/>
        <v>0.67375886524822692</v>
      </c>
      <c r="AE188" s="23">
        <f t="shared" si="1"/>
        <v>3.261843971631206</v>
      </c>
      <c r="AF188" s="23">
        <f t="shared" si="2"/>
        <v>0.17460317460317459</v>
      </c>
    </row>
    <row r="189" spans="1:32" ht="15.75" customHeight="1" x14ac:dyDescent="0.15">
      <c r="A189" s="34">
        <v>188</v>
      </c>
      <c r="B189" s="35" t="s">
        <v>2868</v>
      </c>
      <c r="C189" s="57" t="s">
        <v>2654</v>
      </c>
      <c r="D189" s="34">
        <v>1.91</v>
      </c>
      <c r="E189" s="34">
        <v>32</v>
      </c>
      <c r="F189" s="34">
        <v>0</v>
      </c>
      <c r="G189" s="34">
        <v>0</v>
      </c>
      <c r="H189" s="34">
        <v>0</v>
      </c>
      <c r="I189" s="34">
        <v>3</v>
      </c>
      <c r="J189" s="34">
        <v>3</v>
      </c>
      <c r="K189" s="34">
        <v>0</v>
      </c>
      <c r="L189" s="34">
        <v>0</v>
      </c>
      <c r="M189" s="34">
        <v>0</v>
      </c>
      <c r="N189" s="34">
        <v>0</v>
      </c>
      <c r="O189" s="34">
        <v>120</v>
      </c>
      <c r="P189" s="33">
        <v>28.1</v>
      </c>
      <c r="Q189" s="34">
        <v>21</v>
      </c>
      <c r="R189" s="34">
        <v>1</v>
      </c>
      <c r="S189" s="34">
        <v>13</v>
      </c>
      <c r="T189" s="34">
        <v>0</v>
      </c>
      <c r="U189" s="34">
        <v>4</v>
      </c>
      <c r="V189" s="34">
        <v>18</v>
      </c>
      <c r="W189" s="34">
        <v>2</v>
      </c>
      <c r="X189" s="34">
        <v>0</v>
      </c>
      <c r="Y189" s="34">
        <v>6</v>
      </c>
      <c r="Z189" s="34">
        <v>6</v>
      </c>
      <c r="AA189" s="24" t="s">
        <v>15</v>
      </c>
      <c r="AB189" s="24" t="s">
        <v>80</v>
      </c>
      <c r="AC189" s="24" t="s">
        <v>72</v>
      </c>
      <c r="AD189" s="23">
        <f t="shared" si="0"/>
        <v>1.2099644128113878</v>
      </c>
      <c r="AE189" s="23">
        <f t="shared" si="1"/>
        <v>4.1164412811387905</v>
      </c>
      <c r="AF189" s="23">
        <f t="shared" si="2"/>
        <v>0.23809523809523808</v>
      </c>
    </row>
    <row r="190" spans="1:32" ht="15.75" customHeight="1" x14ac:dyDescent="0.15">
      <c r="A190" s="30">
        <v>188</v>
      </c>
      <c r="B190" s="31" t="s">
        <v>2869</v>
      </c>
      <c r="C190" s="54" t="s">
        <v>2650</v>
      </c>
      <c r="D190" s="30">
        <v>2.2200000000000002</v>
      </c>
      <c r="E190" s="30">
        <v>27</v>
      </c>
      <c r="F190" s="30">
        <v>2</v>
      </c>
      <c r="G190" s="30">
        <v>0</v>
      </c>
      <c r="H190" s="30">
        <v>1</v>
      </c>
      <c r="I190" s="30">
        <v>4</v>
      </c>
      <c r="J190" s="30">
        <v>6</v>
      </c>
      <c r="K190" s="30">
        <v>0</v>
      </c>
      <c r="L190" s="30">
        <v>0</v>
      </c>
      <c r="M190" s="30">
        <v>0</v>
      </c>
      <c r="N190" s="30">
        <v>1</v>
      </c>
      <c r="O190" s="30">
        <v>119</v>
      </c>
      <c r="P190" s="33">
        <v>28.1</v>
      </c>
      <c r="Q190" s="30">
        <v>29</v>
      </c>
      <c r="R190" s="30">
        <v>0</v>
      </c>
      <c r="S190" s="30">
        <v>6</v>
      </c>
      <c r="T190" s="30">
        <v>2</v>
      </c>
      <c r="U190" s="30">
        <v>1</v>
      </c>
      <c r="V190" s="30">
        <v>17</v>
      </c>
      <c r="W190" s="30">
        <v>0</v>
      </c>
      <c r="X190" s="30">
        <v>0</v>
      </c>
      <c r="Y190" s="30">
        <v>9</v>
      </c>
      <c r="Z190" s="30">
        <v>7</v>
      </c>
      <c r="AA190" s="23" t="s">
        <v>15</v>
      </c>
      <c r="AB190" s="23" t="s">
        <v>86</v>
      </c>
      <c r="AC190" s="23" t="s">
        <v>64</v>
      </c>
      <c r="AD190" s="23">
        <f t="shared" si="0"/>
        <v>1.2455516014234875</v>
      </c>
      <c r="AE190" s="23">
        <f t="shared" si="1"/>
        <v>2.443843416370107</v>
      </c>
      <c r="AF190" s="23">
        <f t="shared" si="2"/>
        <v>0.31182795698924731</v>
      </c>
    </row>
    <row r="191" spans="1:32" ht="15.75" customHeight="1" x14ac:dyDescent="0.15">
      <c r="A191" s="34">
        <v>188</v>
      </c>
      <c r="B191" s="35" t="s">
        <v>2870</v>
      </c>
      <c r="C191" s="40" t="s">
        <v>2650</v>
      </c>
      <c r="D191" s="34">
        <v>5.08</v>
      </c>
      <c r="E191" s="34">
        <v>26</v>
      </c>
      <c r="F191" s="34">
        <v>1</v>
      </c>
      <c r="G191" s="34">
        <v>1</v>
      </c>
      <c r="H191" s="34">
        <v>0</v>
      </c>
      <c r="I191" s="34">
        <v>5</v>
      </c>
      <c r="J191" s="34">
        <v>6</v>
      </c>
      <c r="K191" s="34">
        <v>0</v>
      </c>
      <c r="L191" s="34">
        <v>0</v>
      </c>
      <c r="M191" s="34">
        <v>0</v>
      </c>
      <c r="N191" s="34">
        <v>0.5</v>
      </c>
      <c r="O191" s="34">
        <v>136</v>
      </c>
      <c r="P191" s="33">
        <v>28.1</v>
      </c>
      <c r="Q191" s="34">
        <v>34</v>
      </c>
      <c r="R191" s="34">
        <v>3</v>
      </c>
      <c r="S191" s="34">
        <v>14</v>
      </c>
      <c r="T191" s="34">
        <v>0</v>
      </c>
      <c r="U191" s="34">
        <v>4</v>
      </c>
      <c r="V191" s="34">
        <v>30</v>
      </c>
      <c r="W191" s="34">
        <v>3</v>
      </c>
      <c r="X191" s="34">
        <v>0</v>
      </c>
      <c r="Y191" s="34">
        <v>16</v>
      </c>
      <c r="Z191" s="34">
        <v>16</v>
      </c>
      <c r="AA191" s="24" t="s">
        <v>14</v>
      </c>
      <c r="AB191" s="24" t="s">
        <v>123</v>
      </c>
      <c r="AC191" s="24" t="s">
        <v>112</v>
      </c>
      <c r="AD191" s="23">
        <f t="shared" si="0"/>
        <v>1.7081850533807827</v>
      </c>
      <c r="AE191" s="23">
        <f t="shared" si="1"/>
        <v>4.2943772241992884</v>
      </c>
      <c r="AF191" s="23">
        <f t="shared" si="2"/>
        <v>0.36470588235294116</v>
      </c>
    </row>
    <row r="192" spans="1:32" ht="15.75" customHeight="1" x14ac:dyDescent="0.15">
      <c r="A192" s="30">
        <v>191</v>
      </c>
      <c r="B192" s="31" t="s">
        <v>2871</v>
      </c>
      <c r="C192" s="47" t="s">
        <v>2654</v>
      </c>
      <c r="D192" s="30">
        <v>2.2799999999999998</v>
      </c>
      <c r="E192" s="30">
        <v>13</v>
      </c>
      <c r="F192" s="30">
        <v>1</v>
      </c>
      <c r="G192" s="30">
        <v>0</v>
      </c>
      <c r="H192" s="30">
        <v>0</v>
      </c>
      <c r="I192" s="30">
        <v>1</v>
      </c>
      <c r="J192" s="30">
        <v>1</v>
      </c>
      <c r="K192" s="30">
        <v>0</v>
      </c>
      <c r="L192" s="30">
        <v>0</v>
      </c>
      <c r="M192" s="30">
        <v>0</v>
      </c>
      <c r="N192" s="30">
        <v>1</v>
      </c>
      <c r="O192" s="30">
        <v>116</v>
      </c>
      <c r="P192" s="33">
        <v>27.2</v>
      </c>
      <c r="Q192" s="30">
        <v>20</v>
      </c>
      <c r="R192" s="30">
        <v>2</v>
      </c>
      <c r="S192" s="30">
        <v>10</v>
      </c>
      <c r="T192" s="30">
        <v>1</v>
      </c>
      <c r="U192" s="30">
        <v>2</v>
      </c>
      <c r="V192" s="30">
        <v>23</v>
      </c>
      <c r="W192" s="30">
        <v>0</v>
      </c>
      <c r="X192" s="30">
        <v>0</v>
      </c>
      <c r="Y192" s="30">
        <v>7</v>
      </c>
      <c r="Z192" s="30">
        <v>7</v>
      </c>
      <c r="AA192" s="23" t="s">
        <v>15</v>
      </c>
      <c r="AB192" s="23" t="s">
        <v>47</v>
      </c>
      <c r="AC192" s="23" t="s">
        <v>47</v>
      </c>
      <c r="AD192" s="23">
        <f t="shared" si="0"/>
        <v>1.1029411764705883</v>
      </c>
      <c r="AE192" s="23">
        <f t="shared" si="1"/>
        <v>3.5979411764705884</v>
      </c>
      <c r="AF192" s="23">
        <f t="shared" si="2"/>
        <v>0.23076923076923078</v>
      </c>
    </row>
    <row r="193" spans="1:32" ht="15.75" customHeight="1" x14ac:dyDescent="0.15">
      <c r="A193" s="34">
        <v>192</v>
      </c>
      <c r="B193" s="35" t="s">
        <v>2872</v>
      </c>
      <c r="C193" s="43" t="s">
        <v>2649</v>
      </c>
      <c r="D193" s="34">
        <v>4.7300000000000004</v>
      </c>
      <c r="E193" s="34">
        <v>25</v>
      </c>
      <c r="F193" s="34">
        <v>3</v>
      </c>
      <c r="G193" s="34">
        <v>0</v>
      </c>
      <c r="H193" s="34">
        <v>0</v>
      </c>
      <c r="I193" s="34">
        <v>3</v>
      </c>
      <c r="J193" s="34">
        <v>6</v>
      </c>
      <c r="K193" s="34">
        <v>0</v>
      </c>
      <c r="L193" s="34">
        <v>0</v>
      </c>
      <c r="M193" s="34">
        <v>0</v>
      </c>
      <c r="N193" s="34">
        <v>1</v>
      </c>
      <c r="O193" s="34">
        <v>124</v>
      </c>
      <c r="P193" s="33">
        <v>26.2</v>
      </c>
      <c r="Q193" s="34">
        <v>27</v>
      </c>
      <c r="R193" s="34">
        <v>2</v>
      </c>
      <c r="S193" s="34">
        <v>18</v>
      </c>
      <c r="T193" s="34">
        <v>0</v>
      </c>
      <c r="U193" s="34">
        <v>1</v>
      </c>
      <c r="V193" s="34">
        <v>37</v>
      </c>
      <c r="W193" s="34">
        <v>0</v>
      </c>
      <c r="X193" s="34">
        <v>0</v>
      </c>
      <c r="Y193" s="34">
        <v>14</v>
      </c>
      <c r="Z193" s="34">
        <v>14</v>
      </c>
      <c r="AA193" s="24" t="s">
        <v>15</v>
      </c>
      <c r="AB193" s="24" t="s">
        <v>72</v>
      </c>
      <c r="AC193" s="24" t="s">
        <v>57</v>
      </c>
      <c r="AD193" s="23">
        <f t="shared" si="0"/>
        <v>1.717557251908397</v>
      </c>
      <c r="AE193" s="23">
        <f t="shared" si="1"/>
        <v>3.4635114503816795</v>
      </c>
      <c r="AF193" s="23">
        <f t="shared" si="2"/>
        <v>0.37878787878787878</v>
      </c>
    </row>
    <row r="194" spans="1:32" ht="15.75" customHeight="1" x14ac:dyDescent="0.15">
      <c r="A194" s="30">
        <v>192</v>
      </c>
      <c r="B194" s="31" t="s">
        <v>2873</v>
      </c>
      <c r="C194" s="55" t="s">
        <v>2652</v>
      </c>
      <c r="D194" s="30">
        <v>3.38</v>
      </c>
      <c r="E194" s="30">
        <v>24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111</v>
      </c>
      <c r="P194" s="33">
        <v>26.2</v>
      </c>
      <c r="Q194" s="30">
        <v>18</v>
      </c>
      <c r="R194" s="30">
        <v>2</v>
      </c>
      <c r="S194" s="30">
        <v>12</v>
      </c>
      <c r="T194" s="30">
        <v>1</v>
      </c>
      <c r="U194" s="30">
        <v>2</v>
      </c>
      <c r="V194" s="30">
        <v>24</v>
      </c>
      <c r="W194" s="30">
        <v>3</v>
      </c>
      <c r="X194" s="30">
        <v>0</v>
      </c>
      <c r="Y194" s="30">
        <v>10</v>
      </c>
      <c r="Z194" s="30">
        <v>10</v>
      </c>
      <c r="AA194" s="23" t="s">
        <v>15</v>
      </c>
      <c r="AB194" s="23" t="s">
        <v>72</v>
      </c>
      <c r="AC194" s="23" t="s">
        <v>64</v>
      </c>
      <c r="AD194" s="23">
        <f t="shared" si="0"/>
        <v>1.1450381679389314</v>
      </c>
      <c r="AE194" s="23">
        <f t="shared" si="1"/>
        <v>3.7688549618320613</v>
      </c>
      <c r="AF194" s="23">
        <f t="shared" si="2"/>
        <v>0.22857142857142856</v>
      </c>
    </row>
    <row r="195" spans="1:32" ht="15.75" customHeight="1" x14ac:dyDescent="0.15">
      <c r="A195" s="34">
        <v>194</v>
      </c>
      <c r="B195" s="35" t="s">
        <v>2875</v>
      </c>
      <c r="C195" s="42" t="s">
        <v>2652</v>
      </c>
      <c r="D195" s="34">
        <v>6.04</v>
      </c>
      <c r="E195" s="34">
        <v>29</v>
      </c>
      <c r="F195" s="34">
        <v>0</v>
      </c>
      <c r="G195" s="34">
        <v>3</v>
      </c>
      <c r="H195" s="34">
        <v>0</v>
      </c>
      <c r="I195" s="34">
        <v>14</v>
      </c>
      <c r="J195" s="34">
        <v>14</v>
      </c>
      <c r="K195" s="34">
        <v>0</v>
      </c>
      <c r="L195" s="34">
        <v>0</v>
      </c>
      <c r="M195" s="34">
        <v>0</v>
      </c>
      <c r="N195" s="34">
        <v>0</v>
      </c>
      <c r="O195" s="34">
        <v>117</v>
      </c>
      <c r="P195" s="33">
        <v>25.1</v>
      </c>
      <c r="Q195" s="34">
        <v>28</v>
      </c>
      <c r="R195" s="34">
        <v>3</v>
      </c>
      <c r="S195" s="34">
        <v>13</v>
      </c>
      <c r="T195" s="34">
        <v>0</v>
      </c>
      <c r="U195" s="34">
        <v>1</v>
      </c>
      <c r="V195" s="34">
        <v>27</v>
      </c>
      <c r="W195" s="34">
        <v>0</v>
      </c>
      <c r="X195" s="34">
        <v>0</v>
      </c>
      <c r="Y195" s="34">
        <v>20</v>
      </c>
      <c r="Z195" s="34">
        <v>17</v>
      </c>
      <c r="AA195" s="24" t="s">
        <v>15</v>
      </c>
      <c r="AB195" s="24" t="s">
        <v>129</v>
      </c>
      <c r="AC195" s="24" t="s">
        <v>123</v>
      </c>
      <c r="AD195" s="23">
        <f t="shared" si="0"/>
        <v>1.6334661354581672</v>
      </c>
      <c r="AE195" s="23">
        <f t="shared" si="1"/>
        <v>4.1956972111553785</v>
      </c>
      <c r="AF195" s="23">
        <f t="shared" si="2"/>
        <v>0.34246575342465752</v>
      </c>
    </row>
    <row r="196" spans="1:32" ht="15.75" customHeight="1" x14ac:dyDescent="0.15">
      <c r="A196" s="30">
        <v>194</v>
      </c>
      <c r="B196" s="31" t="s">
        <v>2876</v>
      </c>
      <c r="C196" s="53" t="s">
        <v>198</v>
      </c>
      <c r="D196" s="30">
        <v>3.2</v>
      </c>
      <c r="E196" s="30">
        <v>27</v>
      </c>
      <c r="F196" s="30">
        <v>1</v>
      </c>
      <c r="G196" s="30">
        <v>4</v>
      </c>
      <c r="H196" s="30">
        <v>6</v>
      </c>
      <c r="I196" s="30">
        <v>6</v>
      </c>
      <c r="J196" s="30">
        <v>7</v>
      </c>
      <c r="K196" s="30">
        <v>0</v>
      </c>
      <c r="L196" s="30">
        <v>0</v>
      </c>
      <c r="M196" s="30">
        <v>0</v>
      </c>
      <c r="N196" s="30">
        <v>0.2</v>
      </c>
      <c r="O196" s="30">
        <v>108</v>
      </c>
      <c r="P196" s="33">
        <v>25.1</v>
      </c>
      <c r="Q196" s="30">
        <v>19</v>
      </c>
      <c r="R196" s="30">
        <v>2</v>
      </c>
      <c r="S196" s="30">
        <v>13</v>
      </c>
      <c r="T196" s="30">
        <v>4</v>
      </c>
      <c r="U196" s="30">
        <v>1</v>
      </c>
      <c r="V196" s="30">
        <v>21</v>
      </c>
      <c r="W196" s="30">
        <v>0</v>
      </c>
      <c r="X196" s="30">
        <v>0</v>
      </c>
      <c r="Y196" s="30">
        <v>9</v>
      </c>
      <c r="Z196" s="30">
        <v>9</v>
      </c>
      <c r="AA196" s="23" t="s">
        <v>15</v>
      </c>
      <c r="AB196" s="23" t="s">
        <v>47</v>
      </c>
      <c r="AC196" s="23" t="s">
        <v>27</v>
      </c>
      <c r="AD196" s="23">
        <f t="shared" si="0"/>
        <v>1.2749003984063745</v>
      </c>
      <c r="AE196" s="23">
        <f t="shared" si="1"/>
        <v>3.6777689243027889</v>
      </c>
      <c r="AF196" s="23">
        <f t="shared" si="2"/>
        <v>0.2537313432835821</v>
      </c>
    </row>
    <row r="197" spans="1:32" ht="15.75" customHeight="1" x14ac:dyDescent="0.15">
      <c r="A197" s="34">
        <v>196</v>
      </c>
      <c r="B197" s="35" t="s">
        <v>2877</v>
      </c>
      <c r="C197" s="42" t="s">
        <v>2652</v>
      </c>
      <c r="D197" s="34">
        <v>3.28</v>
      </c>
      <c r="E197" s="34">
        <v>26</v>
      </c>
      <c r="F197" s="34">
        <v>2</v>
      </c>
      <c r="G197" s="34">
        <v>3</v>
      </c>
      <c r="H197" s="34">
        <v>0</v>
      </c>
      <c r="I197" s="34">
        <v>10</v>
      </c>
      <c r="J197" s="34">
        <v>12</v>
      </c>
      <c r="K197" s="34">
        <v>0</v>
      </c>
      <c r="L197" s="34">
        <v>0</v>
      </c>
      <c r="M197" s="34">
        <v>0</v>
      </c>
      <c r="N197" s="34">
        <v>0.4</v>
      </c>
      <c r="O197" s="34">
        <v>109</v>
      </c>
      <c r="P197" s="33">
        <v>24.2</v>
      </c>
      <c r="Q197" s="34">
        <v>15</v>
      </c>
      <c r="R197" s="34">
        <v>2</v>
      </c>
      <c r="S197" s="34">
        <v>18</v>
      </c>
      <c r="T197" s="34">
        <v>0</v>
      </c>
      <c r="U197" s="34">
        <v>1</v>
      </c>
      <c r="V197" s="34">
        <v>31</v>
      </c>
      <c r="W197" s="34">
        <v>0</v>
      </c>
      <c r="X197" s="34">
        <v>0</v>
      </c>
      <c r="Y197" s="34">
        <v>11</v>
      </c>
      <c r="Z197" s="34">
        <v>9</v>
      </c>
      <c r="AA197" s="24" t="s">
        <v>15</v>
      </c>
      <c r="AB197" s="24" t="s">
        <v>90</v>
      </c>
      <c r="AC197" s="24" t="s">
        <v>90</v>
      </c>
      <c r="AD197" s="23">
        <f t="shared" si="0"/>
        <v>1.3636363636363638</v>
      </c>
      <c r="AE197" s="23">
        <f t="shared" si="1"/>
        <v>3.9877685950413224</v>
      </c>
      <c r="AF197" s="23">
        <f t="shared" si="2"/>
        <v>0.22807017543859648</v>
      </c>
    </row>
    <row r="198" spans="1:32" ht="15.75" customHeight="1" x14ac:dyDescent="0.15">
      <c r="A198" s="30">
        <v>196</v>
      </c>
      <c r="B198" s="31" t="s">
        <v>2878</v>
      </c>
      <c r="C198" s="52" t="s">
        <v>2646</v>
      </c>
      <c r="D198" s="30">
        <v>5.47</v>
      </c>
      <c r="E198" s="30">
        <v>16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115</v>
      </c>
      <c r="P198" s="33">
        <v>24.2</v>
      </c>
      <c r="Q198" s="30">
        <v>32</v>
      </c>
      <c r="R198" s="30">
        <v>5</v>
      </c>
      <c r="S198" s="30">
        <v>11</v>
      </c>
      <c r="T198" s="30">
        <v>1</v>
      </c>
      <c r="U198" s="30">
        <v>0</v>
      </c>
      <c r="V198" s="30">
        <v>21</v>
      </c>
      <c r="W198" s="30">
        <v>0</v>
      </c>
      <c r="X198" s="30">
        <v>0</v>
      </c>
      <c r="Y198" s="30">
        <v>19</v>
      </c>
      <c r="Z198" s="30">
        <v>15</v>
      </c>
      <c r="AA198" s="23" t="s">
        <v>15</v>
      </c>
      <c r="AB198" s="23" t="s">
        <v>80</v>
      </c>
      <c r="AC198" s="23" t="s">
        <v>64</v>
      </c>
      <c r="AD198" s="23">
        <f t="shared" si="0"/>
        <v>1.7768595041322315</v>
      </c>
      <c r="AE198" s="23">
        <f t="shared" si="1"/>
        <v>5.3100826446280998</v>
      </c>
      <c r="AF198" s="23">
        <f t="shared" si="2"/>
        <v>0.35064935064935066</v>
      </c>
    </row>
    <row r="199" spans="1:32" ht="15.75" customHeight="1" x14ac:dyDescent="0.15">
      <c r="A199" s="34">
        <v>196</v>
      </c>
      <c r="B199" s="35" t="s">
        <v>2879</v>
      </c>
      <c r="C199" s="40" t="s">
        <v>2650</v>
      </c>
      <c r="D199" s="34">
        <v>4.38</v>
      </c>
      <c r="E199" s="34">
        <v>5</v>
      </c>
      <c r="F199" s="34">
        <v>1</v>
      </c>
      <c r="G199" s="34">
        <v>1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0.5</v>
      </c>
      <c r="O199" s="34">
        <v>107</v>
      </c>
      <c r="P199" s="33">
        <v>24.2</v>
      </c>
      <c r="Q199" s="34">
        <v>27</v>
      </c>
      <c r="R199" s="34">
        <v>1</v>
      </c>
      <c r="S199" s="34">
        <v>7</v>
      </c>
      <c r="T199" s="34">
        <v>0</v>
      </c>
      <c r="U199" s="34">
        <v>0</v>
      </c>
      <c r="V199" s="34">
        <v>19</v>
      </c>
      <c r="W199" s="34">
        <v>1</v>
      </c>
      <c r="X199" s="34">
        <v>0</v>
      </c>
      <c r="Y199" s="34">
        <v>12</v>
      </c>
      <c r="Z199" s="34">
        <v>12</v>
      </c>
      <c r="AA199" s="24" t="s">
        <v>15</v>
      </c>
      <c r="AB199" s="24" t="s">
        <v>122</v>
      </c>
      <c r="AC199" s="24" t="s">
        <v>112</v>
      </c>
      <c r="AD199" s="23">
        <f t="shared" si="0"/>
        <v>1.4049586776859504</v>
      </c>
      <c r="AE199" s="23">
        <f t="shared" si="1"/>
        <v>2.9547107438016531</v>
      </c>
      <c r="AF199" s="23">
        <f t="shared" si="2"/>
        <v>0.32500000000000001</v>
      </c>
    </row>
    <row r="200" spans="1:32" ht="15.75" customHeight="1" x14ac:dyDescent="0.15">
      <c r="A200" s="30">
        <v>199</v>
      </c>
      <c r="B200" s="31" t="s">
        <v>2880</v>
      </c>
      <c r="C200" s="37" t="s">
        <v>2647</v>
      </c>
      <c r="D200" s="30">
        <v>4.07</v>
      </c>
      <c r="E200" s="30">
        <v>29</v>
      </c>
      <c r="F200" s="30">
        <v>2</v>
      </c>
      <c r="G200" s="30">
        <v>0</v>
      </c>
      <c r="H200" s="30">
        <v>0</v>
      </c>
      <c r="I200" s="30">
        <v>6</v>
      </c>
      <c r="J200" s="30">
        <v>8</v>
      </c>
      <c r="K200" s="30">
        <v>0</v>
      </c>
      <c r="L200" s="30">
        <v>0</v>
      </c>
      <c r="M200" s="30">
        <v>0</v>
      </c>
      <c r="N200" s="30">
        <v>1</v>
      </c>
      <c r="O200" s="30">
        <v>111</v>
      </c>
      <c r="P200" s="33">
        <v>24.1</v>
      </c>
      <c r="Q200" s="30">
        <v>26</v>
      </c>
      <c r="R200" s="30">
        <v>2</v>
      </c>
      <c r="S200" s="30">
        <v>12</v>
      </c>
      <c r="T200" s="30">
        <v>0</v>
      </c>
      <c r="U200" s="30">
        <v>1</v>
      </c>
      <c r="V200" s="30">
        <v>19</v>
      </c>
      <c r="W200" s="30">
        <v>1</v>
      </c>
      <c r="X200" s="30">
        <v>0</v>
      </c>
      <c r="Y200" s="30">
        <v>11</v>
      </c>
      <c r="Z200" s="30">
        <v>11</v>
      </c>
      <c r="AA200" s="23" t="s">
        <v>15</v>
      </c>
      <c r="AB200" s="23" t="s">
        <v>80</v>
      </c>
      <c r="AC200" s="23" t="s">
        <v>80</v>
      </c>
      <c r="AD200" s="23">
        <f t="shared" si="0"/>
        <v>1.5767634854771784</v>
      </c>
      <c r="AE200" s="23">
        <f t="shared" si="1"/>
        <v>4.2403319502074694</v>
      </c>
      <c r="AF200" s="23">
        <f t="shared" si="2"/>
        <v>0.31168831168831168</v>
      </c>
    </row>
    <row r="201" spans="1:32" ht="15.75" customHeight="1" x14ac:dyDescent="0.15">
      <c r="A201" s="34">
        <v>199</v>
      </c>
      <c r="B201" s="35" t="s">
        <v>2881</v>
      </c>
      <c r="C201" s="58" t="s">
        <v>2645</v>
      </c>
      <c r="D201" s="34">
        <v>3.33</v>
      </c>
      <c r="E201" s="34">
        <v>25</v>
      </c>
      <c r="F201" s="34">
        <v>3</v>
      </c>
      <c r="G201" s="34">
        <v>0</v>
      </c>
      <c r="H201" s="34">
        <v>0</v>
      </c>
      <c r="I201" s="34">
        <v>2</v>
      </c>
      <c r="J201" s="34">
        <v>5</v>
      </c>
      <c r="K201" s="34">
        <v>0</v>
      </c>
      <c r="L201" s="34">
        <v>0</v>
      </c>
      <c r="M201" s="34">
        <v>0</v>
      </c>
      <c r="N201" s="34">
        <v>1</v>
      </c>
      <c r="O201" s="34">
        <v>96</v>
      </c>
      <c r="P201" s="33">
        <v>24.1</v>
      </c>
      <c r="Q201" s="34">
        <v>21</v>
      </c>
      <c r="R201" s="34">
        <v>2</v>
      </c>
      <c r="S201" s="34">
        <v>10</v>
      </c>
      <c r="T201" s="34">
        <v>1</v>
      </c>
      <c r="U201" s="34">
        <v>0</v>
      </c>
      <c r="V201" s="34">
        <v>20</v>
      </c>
      <c r="W201" s="34">
        <v>1</v>
      </c>
      <c r="X201" s="34">
        <v>0</v>
      </c>
      <c r="Y201" s="34">
        <v>9</v>
      </c>
      <c r="Z201" s="34">
        <v>9</v>
      </c>
      <c r="AA201" s="24" t="s">
        <v>15</v>
      </c>
      <c r="AB201" s="24" t="s">
        <v>86</v>
      </c>
      <c r="AC201" s="24" t="s">
        <v>72</v>
      </c>
      <c r="AD201" s="23">
        <f t="shared" si="0"/>
        <v>1.2863070539419086</v>
      </c>
      <c r="AE201" s="23">
        <f t="shared" si="1"/>
        <v>3.6594190871369294</v>
      </c>
      <c r="AF201" s="23">
        <f t="shared" si="2"/>
        <v>0.30158730158730157</v>
      </c>
    </row>
    <row r="202" spans="1:32" ht="15.75" customHeight="1" x14ac:dyDescent="0.15">
      <c r="A202" s="30">
        <v>199</v>
      </c>
      <c r="B202" s="31" t="s">
        <v>2882</v>
      </c>
      <c r="C202" s="41" t="s">
        <v>2651</v>
      </c>
      <c r="D202" s="30">
        <v>2.59</v>
      </c>
      <c r="E202" s="30">
        <v>24</v>
      </c>
      <c r="F202" s="30">
        <v>0</v>
      </c>
      <c r="G202" s="30">
        <v>1</v>
      </c>
      <c r="H202" s="30">
        <v>0</v>
      </c>
      <c r="I202" s="30">
        <v>1</v>
      </c>
      <c r="J202" s="30">
        <v>1</v>
      </c>
      <c r="K202" s="30">
        <v>0</v>
      </c>
      <c r="L202" s="30">
        <v>0</v>
      </c>
      <c r="M202" s="30">
        <v>0</v>
      </c>
      <c r="N202" s="30">
        <v>0</v>
      </c>
      <c r="O202" s="30">
        <v>108</v>
      </c>
      <c r="P202" s="33">
        <v>24.1</v>
      </c>
      <c r="Q202" s="30">
        <v>24</v>
      </c>
      <c r="R202" s="30">
        <v>2</v>
      </c>
      <c r="S202" s="30">
        <v>9</v>
      </c>
      <c r="T202" s="30">
        <v>0</v>
      </c>
      <c r="U202" s="30">
        <v>1</v>
      </c>
      <c r="V202" s="30">
        <v>21</v>
      </c>
      <c r="W202" s="30">
        <v>0</v>
      </c>
      <c r="X202" s="30">
        <v>0</v>
      </c>
      <c r="Y202" s="30">
        <v>9</v>
      </c>
      <c r="Z202" s="30">
        <v>7</v>
      </c>
      <c r="AA202" s="23" t="s">
        <v>15</v>
      </c>
      <c r="AB202" s="23" t="s">
        <v>99</v>
      </c>
      <c r="AC202" s="23" t="s">
        <v>99</v>
      </c>
      <c r="AD202" s="23">
        <f t="shared" si="0"/>
        <v>1.3692946058091287</v>
      </c>
      <c r="AE202" s="23">
        <f t="shared" si="1"/>
        <v>3.7009128630705392</v>
      </c>
      <c r="AF202" s="23">
        <f t="shared" si="2"/>
        <v>0.29333333333333333</v>
      </c>
    </row>
    <row r="203" spans="1:32" ht="15.75" customHeight="1" x14ac:dyDescent="0.15">
      <c r="A203" s="34">
        <v>202</v>
      </c>
      <c r="B203" s="35" t="s">
        <v>2883</v>
      </c>
      <c r="C203" s="45" t="s">
        <v>2651</v>
      </c>
      <c r="D203" s="34">
        <v>4.13</v>
      </c>
      <c r="E203" s="34">
        <v>24</v>
      </c>
      <c r="F203" s="34">
        <v>1</v>
      </c>
      <c r="G203" s="34">
        <v>1</v>
      </c>
      <c r="H203" s="34">
        <v>0</v>
      </c>
      <c r="I203" s="34">
        <v>2</v>
      </c>
      <c r="J203" s="34">
        <v>3</v>
      </c>
      <c r="K203" s="34">
        <v>0</v>
      </c>
      <c r="L203" s="34">
        <v>0</v>
      </c>
      <c r="M203" s="34">
        <v>0</v>
      </c>
      <c r="N203" s="34">
        <v>0.5</v>
      </c>
      <c r="O203" s="34">
        <v>114</v>
      </c>
      <c r="P203" s="33">
        <v>24</v>
      </c>
      <c r="Q203" s="34">
        <v>23</v>
      </c>
      <c r="R203" s="34">
        <v>1</v>
      </c>
      <c r="S203" s="34">
        <v>17</v>
      </c>
      <c r="T203" s="34">
        <v>1</v>
      </c>
      <c r="U203" s="34">
        <v>2</v>
      </c>
      <c r="V203" s="34">
        <v>32</v>
      </c>
      <c r="W203" s="34">
        <v>1</v>
      </c>
      <c r="X203" s="34">
        <v>0</v>
      </c>
      <c r="Y203" s="34">
        <v>12</v>
      </c>
      <c r="Z203" s="34">
        <v>11</v>
      </c>
      <c r="AA203" s="24" t="s">
        <v>14</v>
      </c>
      <c r="AB203" s="24" t="s">
        <v>80</v>
      </c>
      <c r="AC203" s="24" t="s">
        <v>72</v>
      </c>
      <c r="AD203" s="23">
        <f t="shared" si="0"/>
        <v>1.6666666666666667</v>
      </c>
      <c r="AE203" s="23">
        <f t="shared" si="1"/>
        <v>3.2450000000000001</v>
      </c>
      <c r="AF203" s="23">
        <f t="shared" si="2"/>
        <v>0.36065573770491804</v>
      </c>
    </row>
    <row r="204" spans="1:32" ht="15.75" customHeight="1" x14ac:dyDescent="0.15">
      <c r="A204" s="30">
        <v>203</v>
      </c>
      <c r="B204" s="31" t="s">
        <v>2884</v>
      </c>
      <c r="C204" s="55" t="s">
        <v>2652</v>
      </c>
      <c r="D204" s="30">
        <v>6.56</v>
      </c>
      <c r="E204" s="30">
        <v>32</v>
      </c>
      <c r="F204" s="30">
        <v>2</v>
      </c>
      <c r="G204" s="30">
        <v>1</v>
      </c>
      <c r="H204" s="30">
        <v>1</v>
      </c>
      <c r="I204" s="30">
        <v>4</v>
      </c>
      <c r="J204" s="30">
        <v>6</v>
      </c>
      <c r="K204" s="30">
        <v>0</v>
      </c>
      <c r="L204" s="30">
        <v>0</v>
      </c>
      <c r="M204" s="30">
        <v>0</v>
      </c>
      <c r="N204" s="30">
        <v>0.66700000000000004</v>
      </c>
      <c r="O204" s="30">
        <v>111</v>
      </c>
      <c r="P204" s="33">
        <v>23.1</v>
      </c>
      <c r="Q204" s="30">
        <v>23</v>
      </c>
      <c r="R204" s="30">
        <v>3</v>
      </c>
      <c r="S204" s="30">
        <v>21</v>
      </c>
      <c r="T204" s="30">
        <v>1</v>
      </c>
      <c r="U204" s="30">
        <v>1</v>
      </c>
      <c r="V204" s="30">
        <v>23</v>
      </c>
      <c r="W204" s="30">
        <v>3</v>
      </c>
      <c r="X204" s="30">
        <v>0</v>
      </c>
      <c r="Y204" s="30">
        <v>18</v>
      </c>
      <c r="Z204" s="30">
        <v>17</v>
      </c>
      <c r="AA204" s="23" t="s">
        <v>15</v>
      </c>
      <c r="AB204" s="23" t="s">
        <v>98</v>
      </c>
      <c r="AC204" s="23" t="s">
        <v>98</v>
      </c>
      <c r="AD204" s="23">
        <f t="shared" si="0"/>
        <v>1.9047619047619047</v>
      </c>
      <c r="AE204" s="23">
        <f t="shared" si="1"/>
        <v>5.5442424242424249</v>
      </c>
      <c r="AF204" s="23">
        <f t="shared" si="2"/>
        <v>0.32258064516129031</v>
      </c>
    </row>
    <row r="205" spans="1:32" ht="15.75" customHeight="1" x14ac:dyDescent="0.15">
      <c r="A205" s="34">
        <v>204</v>
      </c>
      <c r="B205" s="35" t="s">
        <v>2885</v>
      </c>
      <c r="C205" s="48" t="s">
        <v>2647</v>
      </c>
      <c r="D205" s="34">
        <v>1.57</v>
      </c>
      <c r="E205" s="34">
        <v>25</v>
      </c>
      <c r="F205" s="34">
        <v>0</v>
      </c>
      <c r="G205" s="34">
        <v>1</v>
      </c>
      <c r="H205" s="34">
        <v>0</v>
      </c>
      <c r="I205" s="34">
        <v>24</v>
      </c>
      <c r="J205" s="34">
        <v>24</v>
      </c>
      <c r="K205" s="34">
        <v>0</v>
      </c>
      <c r="L205" s="34">
        <v>0</v>
      </c>
      <c r="M205" s="34">
        <v>0</v>
      </c>
      <c r="N205" s="34">
        <v>0</v>
      </c>
      <c r="O205" s="34">
        <v>94</v>
      </c>
      <c r="P205" s="33">
        <v>23</v>
      </c>
      <c r="Q205" s="34">
        <v>16</v>
      </c>
      <c r="R205" s="34">
        <v>1</v>
      </c>
      <c r="S205" s="34">
        <v>10</v>
      </c>
      <c r="T205" s="34">
        <v>0</v>
      </c>
      <c r="U205" s="34">
        <v>0</v>
      </c>
      <c r="V205" s="34">
        <v>27</v>
      </c>
      <c r="W205" s="34">
        <v>0</v>
      </c>
      <c r="X205" s="34">
        <v>0</v>
      </c>
      <c r="Y205" s="34">
        <v>4</v>
      </c>
      <c r="Z205" s="34">
        <v>4</v>
      </c>
      <c r="AA205" s="24" t="s">
        <v>15</v>
      </c>
      <c r="AB205" s="24" t="s">
        <v>90</v>
      </c>
      <c r="AC205" s="24" t="s">
        <v>90</v>
      </c>
      <c r="AD205" s="23">
        <f t="shared" si="0"/>
        <v>1.1304347826086956</v>
      </c>
      <c r="AE205" s="23">
        <f t="shared" si="1"/>
        <v>2.6417391304347828</v>
      </c>
      <c r="AF205" s="23">
        <f t="shared" si="2"/>
        <v>0.26785714285714285</v>
      </c>
    </row>
    <row r="206" spans="1:32" ht="15.75" customHeight="1" x14ac:dyDescent="0.15">
      <c r="A206" s="30">
        <v>204</v>
      </c>
      <c r="B206" s="31" t="s">
        <v>2889</v>
      </c>
      <c r="C206" s="32" t="s">
        <v>2645</v>
      </c>
      <c r="D206" s="30">
        <v>2.35</v>
      </c>
      <c r="E206" s="30">
        <v>22</v>
      </c>
      <c r="F206" s="30">
        <v>1</v>
      </c>
      <c r="G206" s="30">
        <v>0</v>
      </c>
      <c r="H206" s="30">
        <v>0</v>
      </c>
      <c r="I206" s="30">
        <v>2</v>
      </c>
      <c r="J206" s="30">
        <v>3</v>
      </c>
      <c r="K206" s="30">
        <v>0</v>
      </c>
      <c r="L206" s="30">
        <v>0</v>
      </c>
      <c r="M206" s="30">
        <v>0</v>
      </c>
      <c r="N206" s="30">
        <v>1</v>
      </c>
      <c r="O206" s="30">
        <v>88</v>
      </c>
      <c r="P206" s="33">
        <v>23</v>
      </c>
      <c r="Q206" s="30">
        <v>17</v>
      </c>
      <c r="R206" s="30">
        <v>1</v>
      </c>
      <c r="S206" s="30">
        <v>7</v>
      </c>
      <c r="T206" s="30">
        <v>0</v>
      </c>
      <c r="U206" s="30">
        <v>1</v>
      </c>
      <c r="V206" s="30">
        <v>19</v>
      </c>
      <c r="W206" s="30">
        <v>0</v>
      </c>
      <c r="X206" s="30">
        <v>0</v>
      </c>
      <c r="Y206" s="30">
        <v>6</v>
      </c>
      <c r="Z206" s="30">
        <v>6</v>
      </c>
      <c r="AA206" s="23" t="s">
        <v>15</v>
      </c>
      <c r="AB206" s="23" t="s">
        <v>90</v>
      </c>
      <c r="AC206" s="23" t="s">
        <v>80</v>
      </c>
      <c r="AD206" s="23">
        <f t="shared" si="0"/>
        <v>1.0434782608695652</v>
      </c>
      <c r="AE206" s="23">
        <f t="shared" si="1"/>
        <v>3.0765217391304347</v>
      </c>
      <c r="AF206" s="23">
        <f t="shared" si="2"/>
        <v>0.26666666666666666</v>
      </c>
    </row>
    <row r="207" spans="1:32" ht="15.75" customHeight="1" x14ac:dyDescent="0.15">
      <c r="A207" s="34">
        <v>206</v>
      </c>
      <c r="B207" s="35" t="s">
        <v>2890</v>
      </c>
      <c r="C207" s="50" t="s">
        <v>198</v>
      </c>
      <c r="D207" s="34">
        <v>4.43</v>
      </c>
      <c r="E207" s="34">
        <v>18</v>
      </c>
      <c r="F207" s="34">
        <v>3</v>
      </c>
      <c r="G207" s="34">
        <v>2</v>
      </c>
      <c r="H207" s="34">
        <v>0</v>
      </c>
      <c r="I207" s="34">
        <v>6</v>
      </c>
      <c r="J207" s="34">
        <v>9</v>
      </c>
      <c r="K207" s="34">
        <v>0</v>
      </c>
      <c r="L207" s="34">
        <v>0</v>
      </c>
      <c r="M207" s="34">
        <v>0</v>
      </c>
      <c r="N207" s="34">
        <v>0.6</v>
      </c>
      <c r="O207" s="34">
        <v>95</v>
      </c>
      <c r="P207" s="33">
        <v>22.1</v>
      </c>
      <c r="Q207" s="34">
        <v>21</v>
      </c>
      <c r="R207" s="34">
        <v>1</v>
      </c>
      <c r="S207" s="34">
        <v>9</v>
      </c>
      <c r="T207" s="34">
        <v>0</v>
      </c>
      <c r="U207" s="34">
        <v>0</v>
      </c>
      <c r="V207" s="34">
        <v>22</v>
      </c>
      <c r="W207" s="34">
        <v>2</v>
      </c>
      <c r="X207" s="34">
        <v>0</v>
      </c>
      <c r="Y207" s="34">
        <v>11</v>
      </c>
      <c r="Z207" s="34">
        <v>11</v>
      </c>
      <c r="AA207" s="24" t="s">
        <v>15</v>
      </c>
      <c r="AB207" s="24" t="s">
        <v>64</v>
      </c>
      <c r="AC207" s="24" t="s">
        <v>64</v>
      </c>
      <c r="AD207" s="23">
        <f t="shared" si="0"/>
        <v>1.3574660633484161</v>
      </c>
      <c r="AE207" s="23">
        <f t="shared" si="1"/>
        <v>2.9390045248868781</v>
      </c>
      <c r="AF207" s="23">
        <f t="shared" si="2"/>
        <v>0.31746031746031744</v>
      </c>
    </row>
    <row r="208" spans="1:32" ht="15.75" customHeight="1" x14ac:dyDescent="0.15">
      <c r="A208" s="30">
        <v>207</v>
      </c>
      <c r="B208" s="31" t="s">
        <v>2894</v>
      </c>
      <c r="C208" s="32" t="s">
        <v>2645</v>
      </c>
      <c r="D208" s="30">
        <v>4.91</v>
      </c>
      <c r="E208" s="30">
        <v>24</v>
      </c>
      <c r="F208" s="30">
        <v>1</v>
      </c>
      <c r="G208" s="30">
        <v>2</v>
      </c>
      <c r="H208" s="30">
        <v>1</v>
      </c>
      <c r="I208" s="30">
        <v>7</v>
      </c>
      <c r="J208" s="30">
        <v>8</v>
      </c>
      <c r="K208" s="30">
        <v>0</v>
      </c>
      <c r="L208" s="30">
        <v>0</v>
      </c>
      <c r="M208" s="30">
        <v>0</v>
      </c>
      <c r="N208" s="30">
        <v>0.33300000000000002</v>
      </c>
      <c r="O208" s="30">
        <v>100</v>
      </c>
      <c r="P208" s="33">
        <v>22</v>
      </c>
      <c r="Q208" s="30">
        <v>22</v>
      </c>
      <c r="R208" s="30">
        <v>2</v>
      </c>
      <c r="S208" s="30">
        <v>6</v>
      </c>
      <c r="T208" s="30">
        <v>1</v>
      </c>
      <c r="U208" s="30">
        <v>5</v>
      </c>
      <c r="V208" s="30">
        <v>15</v>
      </c>
      <c r="W208" s="30">
        <v>1</v>
      </c>
      <c r="X208" s="30">
        <v>0</v>
      </c>
      <c r="Y208" s="30">
        <v>12</v>
      </c>
      <c r="Z208" s="30">
        <v>12</v>
      </c>
      <c r="AA208" s="23" t="s">
        <v>15</v>
      </c>
      <c r="AB208" s="23" t="s">
        <v>57</v>
      </c>
      <c r="AC208" s="23" t="s">
        <v>47</v>
      </c>
      <c r="AD208" s="23">
        <f t="shared" si="0"/>
        <v>1.2727272727272727</v>
      </c>
      <c r="AE208" s="23">
        <f t="shared" si="1"/>
        <v>4.3018181818181818</v>
      </c>
      <c r="AF208" s="23">
        <f t="shared" si="2"/>
        <v>0.28169014084507044</v>
      </c>
    </row>
    <row r="209" spans="1:32" ht="15.75" customHeight="1" x14ac:dyDescent="0.15">
      <c r="A209" s="34">
        <v>208</v>
      </c>
      <c r="B209" s="35" t="s">
        <v>2886</v>
      </c>
      <c r="C209" s="48" t="s">
        <v>2647</v>
      </c>
      <c r="D209" s="34">
        <v>2.4900000000000002</v>
      </c>
      <c r="E209" s="34">
        <v>25</v>
      </c>
      <c r="F209" s="34">
        <v>0</v>
      </c>
      <c r="G209" s="34">
        <v>1</v>
      </c>
      <c r="H209" s="34">
        <v>0</v>
      </c>
      <c r="I209" s="34">
        <v>4</v>
      </c>
      <c r="J209" s="34">
        <v>4</v>
      </c>
      <c r="K209" s="34">
        <v>0</v>
      </c>
      <c r="L209" s="34">
        <v>0</v>
      </c>
      <c r="M209" s="34">
        <v>0</v>
      </c>
      <c r="N209" s="34">
        <v>0</v>
      </c>
      <c r="O209" s="34">
        <v>99</v>
      </c>
      <c r="P209" s="33">
        <v>21.2</v>
      </c>
      <c r="Q209" s="34">
        <v>23</v>
      </c>
      <c r="R209" s="34">
        <v>1</v>
      </c>
      <c r="S209" s="34">
        <v>15</v>
      </c>
      <c r="T209" s="34">
        <v>1</v>
      </c>
      <c r="U209" s="34">
        <v>0</v>
      </c>
      <c r="V209" s="34">
        <v>18</v>
      </c>
      <c r="W209" s="34">
        <v>1</v>
      </c>
      <c r="X209" s="34">
        <v>1</v>
      </c>
      <c r="Y209" s="34">
        <v>10</v>
      </c>
      <c r="Z209" s="34">
        <v>6</v>
      </c>
      <c r="AA209" s="24" t="s">
        <v>15</v>
      </c>
      <c r="AB209" s="24" t="s">
        <v>90</v>
      </c>
      <c r="AC209" s="24" t="s">
        <v>90</v>
      </c>
      <c r="AD209" s="23">
        <f t="shared" si="0"/>
        <v>1.7924528301886793</v>
      </c>
      <c r="AE209" s="23">
        <f t="shared" si="1"/>
        <v>4.0162264150943399</v>
      </c>
      <c r="AF209" s="23">
        <f t="shared" si="2"/>
        <v>0.34375</v>
      </c>
    </row>
    <row r="210" spans="1:32" ht="15.75" customHeight="1" x14ac:dyDescent="0.15">
      <c r="A210" s="30">
        <v>208</v>
      </c>
      <c r="B210" s="31" t="s">
        <v>2887</v>
      </c>
      <c r="C210" s="37" t="s">
        <v>2647</v>
      </c>
      <c r="D210" s="30">
        <v>2.91</v>
      </c>
      <c r="E210" s="30">
        <v>24</v>
      </c>
      <c r="F210" s="30">
        <v>2</v>
      </c>
      <c r="G210" s="30">
        <v>2</v>
      </c>
      <c r="H210" s="30">
        <v>0</v>
      </c>
      <c r="I210" s="30">
        <v>8</v>
      </c>
      <c r="J210" s="30">
        <v>10</v>
      </c>
      <c r="K210" s="30">
        <v>0</v>
      </c>
      <c r="L210" s="30">
        <v>0</v>
      </c>
      <c r="M210" s="30">
        <v>0</v>
      </c>
      <c r="N210" s="30">
        <v>0.5</v>
      </c>
      <c r="O210" s="30">
        <v>92</v>
      </c>
      <c r="P210" s="33">
        <v>21.2</v>
      </c>
      <c r="Q210" s="30">
        <v>19</v>
      </c>
      <c r="R210" s="30">
        <v>1</v>
      </c>
      <c r="S210" s="30">
        <v>7</v>
      </c>
      <c r="T210" s="30">
        <v>0</v>
      </c>
      <c r="U210" s="30">
        <v>0</v>
      </c>
      <c r="V210" s="30">
        <v>17</v>
      </c>
      <c r="W210" s="30">
        <v>0</v>
      </c>
      <c r="X210" s="30">
        <v>0</v>
      </c>
      <c r="Y210" s="30">
        <v>8</v>
      </c>
      <c r="Z210" s="30">
        <v>7</v>
      </c>
      <c r="AA210" s="23" t="s">
        <v>15</v>
      </c>
      <c r="AB210" s="23" t="s">
        <v>80</v>
      </c>
      <c r="AC210" s="23" t="s">
        <v>80</v>
      </c>
      <c r="AD210" s="23">
        <f t="shared" si="0"/>
        <v>1.2264150943396226</v>
      </c>
      <c r="AE210" s="23">
        <f t="shared" si="1"/>
        <v>3.12</v>
      </c>
      <c r="AF210" s="23">
        <f t="shared" si="2"/>
        <v>0.26865671641791045</v>
      </c>
    </row>
    <row r="211" spans="1:32" ht="15.75" customHeight="1" x14ac:dyDescent="0.15">
      <c r="A211" s="34">
        <v>210</v>
      </c>
      <c r="B211" s="35" t="s">
        <v>2888</v>
      </c>
      <c r="C211" s="38" t="s">
        <v>2648</v>
      </c>
      <c r="D211" s="34">
        <v>4.22</v>
      </c>
      <c r="E211" s="34">
        <v>26</v>
      </c>
      <c r="F211" s="34">
        <v>2</v>
      </c>
      <c r="G211" s="34">
        <v>2</v>
      </c>
      <c r="H211" s="34">
        <v>0</v>
      </c>
      <c r="I211" s="34">
        <v>8</v>
      </c>
      <c r="J211" s="34">
        <v>10</v>
      </c>
      <c r="K211" s="34">
        <v>0</v>
      </c>
      <c r="L211" s="34">
        <v>0</v>
      </c>
      <c r="M211" s="34">
        <v>0</v>
      </c>
      <c r="N211" s="34">
        <v>0.5</v>
      </c>
      <c r="O211" s="34">
        <v>91</v>
      </c>
      <c r="P211" s="33">
        <v>21.1</v>
      </c>
      <c r="Q211" s="34">
        <v>22</v>
      </c>
      <c r="R211" s="34">
        <v>3</v>
      </c>
      <c r="S211" s="34">
        <v>7</v>
      </c>
      <c r="T211" s="34">
        <v>0</v>
      </c>
      <c r="U211" s="34">
        <v>1</v>
      </c>
      <c r="V211" s="34">
        <v>21</v>
      </c>
      <c r="W211" s="34">
        <v>1</v>
      </c>
      <c r="X211" s="34">
        <v>0</v>
      </c>
      <c r="Y211" s="34">
        <v>10</v>
      </c>
      <c r="Z211" s="34">
        <v>10</v>
      </c>
      <c r="AA211" s="24" t="s">
        <v>15</v>
      </c>
      <c r="AB211" s="24" t="s">
        <v>90</v>
      </c>
      <c r="AC211" s="24" t="s">
        <v>90</v>
      </c>
      <c r="AD211" s="23">
        <f t="shared" si="0"/>
        <v>1.3744075829383886</v>
      </c>
      <c r="AE211" s="23">
        <f t="shared" si="1"/>
        <v>4.115260663507109</v>
      </c>
      <c r="AF211" s="23">
        <f t="shared" si="2"/>
        <v>0.32203389830508472</v>
      </c>
    </row>
    <row r="212" spans="1:32" ht="15.75" customHeight="1" x14ac:dyDescent="0.15">
      <c r="A212" s="30">
        <v>211</v>
      </c>
      <c r="B212" s="31" t="s">
        <v>2891</v>
      </c>
      <c r="C212" s="54" t="s">
        <v>2650</v>
      </c>
      <c r="D212" s="30">
        <v>6.1</v>
      </c>
      <c r="E212" s="30">
        <v>23</v>
      </c>
      <c r="F212" s="30">
        <v>0</v>
      </c>
      <c r="G212" s="30">
        <v>3</v>
      </c>
      <c r="H212" s="30">
        <v>14</v>
      </c>
      <c r="I212" s="30">
        <v>2</v>
      </c>
      <c r="J212" s="30">
        <v>2</v>
      </c>
      <c r="K212" s="30">
        <v>0</v>
      </c>
      <c r="L212" s="30">
        <v>0</v>
      </c>
      <c r="M212" s="30">
        <v>0</v>
      </c>
      <c r="N212" s="30">
        <v>0</v>
      </c>
      <c r="O212" s="30">
        <v>92</v>
      </c>
      <c r="P212" s="33">
        <v>20.2</v>
      </c>
      <c r="Q212" s="30">
        <v>20</v>
      </c>
      <c r="R212" s="30">
        <v>3</v>
      </c>
      <c r="S212" s="30">
        <v>10</v>
      </c>
      <c r="T212" s="30">
        <v>0</v>
      </c>
      <c r="U212" s="30">
        <v>2</v>
      </c>
      <c r="V212" s="30">
        <v>22</v>
      </c>
      <c r="W212" s="30">
        <v>1</v>
      </c>
      <c r="X212" s="30">
        <v>0</v>
      </c>
      <c r="Y212" s="30">
        <v>15</v>
      </c>
      <c r="Z212" s="30">
        <v>14</v>
      </c>
      <c r="AA212" s="23" t="s">
        <v>15</v>
      </c>
      <c r="AB212" s="23" t="s">
        <v>86</v>
      </c>
      <c r="AC212" s="23" t="s">
        <v>86</v>
      </c>
      <c r="AD212" s="23">
        <f t="shared" si="0"/>
        <v>1.4851485148514851</v>
      </c>
      <c r="AE212" s="23">
        <f t="shared" si="1"/>
        <v>4.6546534653465343</v>
      </c>
      <c r="AF212" s="23">
        <f t="shared" si="2"/>
        <v>0.30909090909090908</v>
      </c>
    </row>
    <row r="213" spans="1:32" ht="15.75" customHeight="1" x14ac:dyDescent="0.15">
      <c r="A213" s="34">
        <v>211</v>
      </c>
      <c r="B213" s="35" t="s">
        <v>2892</v>
      </c>
      <c r="C213" s="38" t="s">
        <v>2648</v>
      </c>
      <c r="D213" s="34">
        <v>6.97</v>
      </c>
      <c r="E213" s="34">
        <v>23</v>
      </c>
      <c r="F213" s="34">
        <v>0</v>
      </c>
      <c r="G213" s="34">
        <v>3</v>
      </c>
      <c r="H213" s="34">
        <v>0</v>
      </c>
      <c r="I213" s="34">
        <v>2</v>
      </c>
      <c r="J213" s="34">
        <v>2</v>
      </c>
      <c r="K213" s="34">
        <v>0</v>
      </c>
      <c r="L213" s="34">
        <v>0</v>
      </c>
      <c r="M213" s="34">
        <v>0</v>
      </c>
      <c r="N213" s="34">
        <v>0</v>
      </c>
      <c r="O213" s="34">
        <v>95</v>
      </c>
      <c r="P213" s="33">
        <v>20.2</v>
      </c>
      <c r="Q213" s="34">
        <v>20</v>
      </c>
      <c r="R213" s="34">
        <v>3</v>
      </c>
      <c r="S213" s="34">
        <v>14</v>
      </c>
      <c r="T213" s="34">
        <v>0</v>
      </c>
      <c r="U213" s="34">
        <v>1</v>
      </c>
      <c r="V213" s="34">
        <v>13</v>
      </c>
      <c r="W213" s="34">
        <v>1</v>
      </c>
      <c r="X213" s="34">
        <v>0</v>
      </c>
      <c r="Y213" s="34">
        <v>16</v>
      </c>
      <c r="Z213" s="34">
        <v>16</v>
      </c>
      <c r="AA213" s="24" t="s">
        <v>15</v>
      </c>
      <c r="AB213" s="24" t="s">
        <v>105</v>
      </c>
      <c r="AC213" s="24" t="s">
        <v>105</v>
      </c>
      <c r="AD213" s="23">
        <f t="shared" si="0"/>
        <v>1.6831683168316833</v>
      </c>
      <c r="AE213" s="23">
        <f t="shared" si="1"/>
        <v>5.9912871287128713</v>
      </c>
      <c r="AF213" s="23">
        <f t="shared" si="2"/>
        <v>0.265625</v>
      </c>
    </row>
    <row r="214" spans="1:32" ht="15.75" customHeight="1" x14ac:dyDescent="0.15">
      <c r="A214" s="30">
        <v>211</v>
      </c>
      <c r="B214" s="31" t="s">
        <v>2893</v>
      </c>
      <c r="C214" s="49" t="s">
        <v>2655</v>
      </c>
      <c r="D214" s="30">
        <v>3.48</v>
      </c>
      <c r="E214" s="30">
        <v>4</v>
      </c>
      <c r="F214" s="30">
        <v>1</v>
      </c>
      <c r="G214" s="30">
        <v>1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0.5</v>
      </c>
      <c r="O214" s="30">
        <v>82</v>
      </c>
      <c r="P214" s="33">
        <v>20.2</v>
      </c>
      <c r="Q214" s="30">
        <v>21</v>
      </c>
      <c r="R214" s="30">
        <v>0</v>
      </c>
      <c r="S214" s="30">
        <v>4</v>
      </c>
      <c r="T214" s="30">
        <v>0</v>
      </c>
      <c r="U214" s="30">
        <v>0</v>
      </c>
      <c r="V214" s="30">
        <v>20</v>
      </c>
      <c r="W214" s="30">
        <v>0</v>
      </c>
      <c r="X214" s="30">
        <v>0</v>
      </c>
      <c r="Y214" s="30">
        <v>8</v>
      </c>
      <c r="Z214" s="30">
        <v>8</v>
      </c>
      <c r="AA214" s="23" t="s">
        <v>15</v>
      </c>
      <c r="AB214" s="23" t="s">
        <v>80</v>
      </c>
      <c r="AC214" s="23" t="s">
        <v>80</v>
      </c>
      <c r="AD214" s="23">
        <f t="shared" si="0"/>
        <v>1.2376237623762376</v>
      </c>
      <c r="AE214" s="23">
        <f t="shared" si="1"/>
        <v>1.7338613861386138</v>
      </c>
      <c r="AF214" s="23">
        <f t="shared" si="2"/>
        <v>0.36206896551724138</v>
      </c>
    </row>
    <row r="215" spans="1:32" ht="15.75" customHeight="1" x14ac:dyDescent="0.15">
      <c r="A215" s="34">
        <v>214</v>
      </c>
      <c r="B215" s="35" t="s">
        <v>2897</v>
      </c>
      <c r="C215" s="58" t="s">
        <v>2645</v>
      </c>
      <c r="D215" s="34">
        <v>2.21</v>
      </c>
      <c r="E215" s="34">
        <v>19</v>
      </c>
      <c r="F215" s="34">
        <v>0</v>
      </c>
      <c r="G215" s="34">
        <v>0</v>
      </c>
      <c r="H215" s="34">
        <v>0</v>
      </c>
      <c r="I215" s="34">
        <v>3</v>
      </c>
      <c r="J215" s="34">
        <v>3</v>
      </c>
      <c r="K215" s="34">
        <v>0</v>
      </c>
      <c r="L215" s="34">
        <v>0</v>
      </c>
      <c r="M215" s="34">
        <v>0</v>
      </c>
      <c r="N215" s="34">
        <v>0</v>
      </c>
      <c r="O215" s="34">
        <v>81</v>
      </c>
      <c r="P215" s="33">
        <v>20.100000000000001</v>
      </c>
      <c r="Q215" s="34">
        <v>13</v>
      </c>
      <c r="R215" s="34">
        <v>2</v>
      </c>
      <c r="S215" s="34">
        <v>4</v>
      </c>
      <c r="T215" s="34">
        <v>2</v>
      </c>
      <c r="U215" s="34">
        <v>1</v>
      </c>
      <c r="V215" s="34">
        <v>23</v>
      </c>
      <c r="W215" s="34">
        <v>1</v>
      </c>
      <c r="X215" s="34">
        <v>0</v>
      </c>
      <c r="Y215" s="34">
        <v>5</v>
      </c>
      <c r="Z215" s="34">
        <v>5</v>
      </c>
      <c r="AA215" s="24" t="s">
        <v>15</v>
      </c>
      <c r="AB215" s="24" t="s">
        <v>99</v>
      </c>
      <c r="AC215" s="24" t="s">
        <v>99</v>
      </c>
      <c r="AD215" s="23">
        <f t="shared" si="0"/>
        <v>0.84577114427860689</v>
      </c>
      <c r="AE215" s="23">
        <f t="shared" si="1"/>
        <v>2.5727363184079604</v>
      </c>
      <c r="AF215" s="23">
        <f t="shared" si="2"/>
        <v>0.22448979591836735</v>
      </c>
    </row>
    <row r="216" spans="1:32" ht="15.75" customHeight="1" x14ac:dyDescent="0.15">
      <c r="A216" s="30">
        <v>215</v>
      </c>
      <c r="B216" s="31" t="s">
        <v>2895</v>
      </c>
      <c r="C216" s="39" t="s">
        <v>2649</v>
      </c>
      <c r="D216" s="30">
        <v>4.12</v>
      </c>
      <c r="E216" s="30">
        <v>23</v>
      </c>
      <c r="F216" s="30">
        <v>0</v>
      </c>
      <c r="G216" s="30">
        <v>1</v>
      </c>
      <c r="H216" s="30">
        <v>0</v>
      </c>
      <c r="I216" s="30">
        <v>2</v>
      </c>
      <c r="J216" s="30">
        <v>2</v>
      </c>
      <c r="K216" s="30">
        <v>0</v>
      </c>
      <c r="L216" s="30">
        <v>0</v>
      </c>
      <c r="M216" s="30">
        <v>0</v>
      </c>
      <c r="N216" s="30">
        <v>0</v>
      </c>
      <c r="O216" s="30">
        <v>86</v>
      </c>
      <c r="P216" s="33">
        <v>19.2</v>
      </c>
      <c r="Q216" s="30">
        <v>14</v>
      </c>
      <c r="R216" s="30">
        <v>1</v>
      </c>
      <c r="S216" s="30">
        <v>8</v>
      </c>
      <c r="T216" s="30">
        <v>0</v>
      </c>
      <c r="U216" s="30">
        <v>5</v>
      </c>
      <c r="V216" s="30">
        <v>18</v>
      </c>
      <c r="W216" s="30">
        <v>0</v>
      </c>
      <c r="X216" s="30">
        <v>0</v>
      </c>
      <c r="Y216" s="30">
        <v>9</v>
      </c>
      <c r="Z216" s="30">
        <v>9</v>
      </c>
      <c r="AA216" s="23" t="s">
        <v>14</v>
      </c>
      <c r="AB216" s="23" t="s">
        <v>80</v>
      </c>
      <c r="AC216" s="23" t="s">
        <v>47</v>
      </c>
      <c r="AD216" s="23">
        <f t="shared" si="0"/>
        <v>1.1458333333333335</v>
      </c>
      <c r="AE216" s="23">
        <f t="shared" si="1"/>
        <v>3.9533333333333336</v>
      </c>
      <c r="AF216" s="23">
        <f t="shared" si="2"/>
        <v>0.24074074074074073</v>
      </c>
    </row>
    <row r="217" spans="1:32" ht="15.75" customHeight="1" x14ac:dyDescent="0.15">
      <c r="A217" s="34">
        <v>215</v>
      </c>
      <c r="B217" s="35" t="s">
        <v>2896</v>
      </c>
      <c r="C217" s="42" t="s">
        <v>2652</v>
      </c>
      <c r="D217" s="34">
        <v>3.2</v>
      </c>
      <c r="E217" s="34">
        <v>19</v>
      </c>
      <c r="F217" s="34">
        <v>1</v>
      </c>
      <c r="G217" s="34">
        <v>2</v>
      </c>
      <c r="H217" s="34">
        <v>1</v>
      </c>
      <c r="I217" s="34">
        <v>4</v>
      </c>
      <c r="J217" s="34">
        <v>5</v>
      </c>
      <c r="K217" s="34">
        <v>0</v>
      </c>
      <c r="L217" s="34">
        <v>0</v>
      </c>
      <c r="M217" s="34">
        <v>0</v>
      </c>
      <c r="N217" s="34">
        <v>0.33300000000000002</v>
      </c>
      <c r="O217" s="34">
        <v>90</v>
      </c>
      <c r="P217" s="33">
        <v>19.2</v>
      </c>
      <c r="Q217" s="34">
        <v>20</v>
      </c>
      <c r="R217" s="34">
        <v>1</v>
      </c>
      <c r="S217" s="34">
        <v>11</v>
      </c>
      <c r="T217" s="34">
        <v>0</v>
      </c>
      <c r="U217" s="34">
        <v>1</v>
      </c>
      <c r="V217" s="34">
        <v>26</v>
      </c>
      <c r="W217" s="34">
        <v>2</v>
      </c>
      <c r="X217" s="34">
        <v>0</v>
      </c>
      <c r="Y217" s="34">
        <v>10</v>
      </c>
      <c r="Z217" s="34">
        <v>7</v>
      </c>
      <c r="AA217" s="24" t="s">
        <v>15</v>
      </c>
      <c r="AB217" s="24" t="s">
        <v>64</v>
      </c>
      <c r="AC217" s="24" t="s">
        <v>64</v>
      </c>
      <c r="AD217" s="23">
        <f t="shared" si="0"/>
        <v>1.6145833333333335</v>
      </c>
      <c r="AE217" s="23">
        <f t="shared" si="1"/>
        <v>2.9637500000000001</v>
      </c>
      <c r="AF217" s="23">
        <f t="shared" si="2"/>
        <v>0.37254901960784315</v>
      </c>
    </row>
    <row r="218" spans="1:32" ht="15.75" customHeight="1" x14ac:dyDescent="0.15">
      <c r="A218" s="30">
        <v>215</v>
      </c>
      <c r="B218" s="31" t="s">
        <v>2905</v>
      </c>
      <c r="C218" s="32" t="s">
        <v>2645</v>
      </c>
      <c r="D218" s="30">
        <v>4.58</v>
      </c>
      <c r="E218" s="30">
        <v>14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91</v>
      </c>
      <c r="P218" s="33">
        <v>19.2</v>
      </c>
      <c r="Q218" s="30">
        <v>22</v>
      </c>
      <c r="R218" s="30">
        <v>2</v>
      </c>
      <c r="S218" s="30">
        <v>9</v>
      </c>
      <c r="T218" s="30">
        <v>0</v>
      </c>
      <c r="U218" s="30">
        <v>2</v>
      </c>
      <c r="V218" s="30">
        <v>22</v>
      </c>
      <c r="W218" s="30">
        <v>0</v>
      </c>
      <c r="X218" s="30">
        <v>0</v>
      </c>
      <c r="Y218" s="30">
        <v>10</v>
      </c>
      <c r="Z218" s="30">
        <v>10</v>
      </c>
      <c r="AA218" s="23" t="s">
        <v>15</v>
      </c>
      <c r="AB218" s="23" t="s">
        <v>80</v>
      </c>
      <c r="AC218" s="23" t="s">
        <v>72</v>
      </c>
      <c r="AD218" s="23">
        <f t="shared" si="0"/>
        <v>1.6145833333333335</v>
      </c>
      <c r="AE218" s="23">
        <f t="shared" si="1"/>
        <v>3.9012500000000001</v>
      </c>
      <c r="AF218" s="23">
        <f t="shared" si="2"/>
        <v>0.35714285714285715</v>
      </c>
    </row>
    <row r="219" spans="1:32" ht="15.75" customHeight="1" x14ac:dyDescent="0.15">
      <c r="A219" s="34">
        <v>218</v>
      </c>
      <c r="B219" s="35" t="s">
        <v>2898</v>
      </c>
      <c r="C219" s="48" t="s">
        <v>2647</v>
      </c>
      <c r="D219" s="34">
        <v>3.72</v>
      </c>
      <c r="E219" s="34">
        <v>14</v>
      </c>
      <c r="F219" s="34">
        <v>2</v>
      </c>
      <c r="G219" s="34">
        <v>1</v>
      </c>
      <c r="H219" s="34">
        <v>0</v>
      </c>
      <c r="I219" s="34">
        <v>1</v>
      </c>
      <c r="J219" s="34">
        <v>3</v>
      </c>
      <c r="K219" s="34">
        <v>0</v>
      </c>
      <c r="L219" s="34">
        <v>0</v>
      </c>
      <c r="M219" s="34">
        <v>0</v>
      </c>
      <c r="N219" s="34">
        <v>0.66700000000000004</v>
      </c>
      <c r="O219" s="34">
        <v>84</v>
      </c>
      <c r="P219" s="33">
        <v>19.100000000000001</v>
      </c>
      <c r="Q219" s="34">
        <v>19</v>
      </c>
      <c r="R219" s="34">
        <v>3</v>
      </c>
      <c r="S219" s="34">
        <v>6</v>
      </c>
      <c r="T219" s="34">
        <v>0</v>
      </c>
      <c r="U219" s="34">
        <v>0</v>
      </c>
      <c r="V219" s="34">
        <v>16</v>
      </c>
      <c r="W219" s="34">
        <v>0</v>
      </c>
      <c r="X219" s="34">
        <v>0</v>
      </c>
      <c r="Y219" s="34">
        <v>10</v>
      </c>
      <c r="Z219" s="34">
        <v>8</v>
      </c>
      <c r="AA219" s="24" t="s">
        <v>15</v>
      </c>
      <c r="AB219" s="24" t="s">
        <v>98</v>
      </c>
      <c r="AC219" s="24" t="s">
        <v>98</v>
      </c>
      <c r="AD219" s="23">
        <f t="shared" si="0"/>
        <v>1.3089005235602094</v>
      </c>
      <c r="AE219" s="23">
        <f t="shared" si="1"/>
        <v>4.428900523560209</v>
      </c>
      <c r="AF219" s="23">
        <f t="shared" si="2"/>
        <v>0.2711864406779661</v>
      </c>
    </row>
    <row r="220" spans="1:32" ht="15.75" customHeight="1" x14ac:dyDescent="0.15">
      <c r="A220" s="30">
        <v>219</v>
      </c>
      <c r="B220" s="31" t="s">
        <v>2899</v>
      </c>
      <c r="C220" s="32" t="s">
        <v>2645</v>
      </c>
      <c r="D220" s="30">
        <v>4.74</v>
      </c>
      <c r="E220" s="30">
        <v>11</v>
      </c>
      <c r="F220" s="30">
        <v>1</v>
      </c>
      <c r="G220" s="30">
        <v>1</v>
      </c>
      <c r="H220" s="30">
        <v>0</v>
      </c>
      <c r="I220" s="30">
        <v>1</v>
      </c>
      <c r="J220" s="30">
        <v>2</v>
      </c>
      <c r="K220" s="30">
        <v>0</v>
      </c>
      <c r="L220" s="30">
        <v>0</v>
      </c>
      <c r="M220" s="30">
        <v>0</v>
      </c>
      <c r="N220" s="30">
        <v>0.5</v>
      </c>
      <c r="O220" s="30">
        <v>86</v>
      </c>
      <c r="P220" s="33">
        <v>19</v>
      </c>
      <c r="Q220" s="30">
        <v>22</v>
      </c>
      <c r="R220" s="30">
        <v>2</v>
      </c>
      <c r="S220" s="30">
        <v>6</v>
      </c>
      <c r="T220" s="30">
        <v>0</v>
      </c>
      <c r="U220" s="30">
        <v>1</v>
      </c>
      <c r="V220" s="30">
        <v>11</v>
      </c>
      <c r="W220" s="30">
        <v>1</v>
      </c>
      <c r="X220" s="30">
        <v>0</v>
      </c>
      <c r="Y220" s="30">
        <v>10</v>
      </c>
      <c r="Z220" s="30">
        <v>10</v>
      </c>
      <c r="AA220" s="23" t="s">
        <v>15</v>
      </c>
      <c r="AB220" s="23" t="s">
        <v>47</v>
      </c>
      <c r="AC220" s="23" t="s">
        <v>47</v>
      </c>
      <c r="AD220" s="23">
        <f t="shared" si="0"/>
        <v>1.4736842105263157</v>
      </c>
      <c r="AE220" s="23">
        <f t="shared" si="1"/>
        <v>4.4357894736842107</v>
      </c>
      <c r="AF220" s="23">
        <f t="shared" si="2"/>
        <v>0.30303030303030304</v>
      </c>
    </row>
    <row r="221" spans="1:32" ht="15.75" customHeight="1" x14ac:dyDescent="0.15">
      <c r="A221" s="34">
        <v>220</v>
      </c>
      <c r="B221" s="35" t="s">
        <v>2900</v>
      </c>
      <c r="C221" s="38" t="s">
        <v>2648</v>
      </c>
      <c r="D221" s="34">
        <v>6.27</v>
      </c>
      <c r="E221" s="34">
        <v>20</v>
      </c>
      <c r="F221" s="34">
        <v>0</v>
      </c>
      <c r="G221" s="34">
        <v>1</v>
      </c>
      <c r="H221" s="34">
        <v>1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86</v>
      </c>
      <c r="P221" s="33">
        <v>18.2</v>
      </c>
      <c r="Q221" s="34">
        <v>22</v>
      </c>
      <c r="R221" s="34">
        <v>1</v>
      </c>
      <c r="S221" s="34">
        <v>5</v>
      </c>
      <c r="T221" s="34">
        <v>0</v>
      </c>
      <c r="U221" s="34">
        <v>0</v>
      </c>
      <c r="V221" s="34">
        <v>23</v>
      </c>
      <c r="W221" s="34">
        <v>1</v>
      </c>
      <c r="X221" s="34">
        <v>0</v>
      </c>
      <c r="Y221" s="34">
        <v>15</v>
      </c>
      <c r="Z221" s="34">
        <v>13</v>
      </c>
      <c r="AA221" s="24" t="s">
        <v>15</v>
      </c>
      <c r="AB221" s="24" t="s">
        <v>90</v>
      </c>
      <c r="AC221" s="24" t="s">
        <v>90</v>
      </c>
      <c r="AD221" s="23">
        <f t="shared" si="0"/>
        <v>1.4835164835164836</v>
      </c>
      <c r="AE221" s="23">
        <f t="shared" si="1"/>
        <v>2.1309890109890111</v>
      </c>
      <c r="AF221" s="23">
        <f t="shared" si="2"/>
        <v>0.36842105263157893</v>
      </c>
    </row>
    <row r="222" spans="1:32" ht="15.75" customHeight="1" x14ac:dyDescent="0.15">
      <c r="A222" s="30">
        <v>221</v>
      </c>
      <c r="B222" s="31" t="s">
        <v>2901</v>
      </c>
      <c r="C222" s="39" t="s">
        <v>2649</v>
      </c>
      <c r="D222" s="30">
        <v>3.93</v>
      </c>
      <c r="E222" s="30">
        <v>11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76</v>
      </c>
      <c r="P222" s="33">
        <v>18.100000000000001</v>
      </c>
      <c r="Q222" s="30">
        <v>16</v>
      </c>
      <c r="R222" s="30">
        <v>3</v>
      </c>
      <c r="S222" s="30">
        <v>6</v>
      </c>
      <c r="T222" s="30">
        <v>0</v>
      </c>
      <c r="U222" s="30">
        <v>1</v>
      </c>
      <c r="V222" s="30">
        <v>21</v>
      </c>
      <c r="W222" s="30">
        <v>0</v>
      </c>
      <c r="X222" s="30">
        <v>0</v>
      </c>
      <c r="Y222" s="30">
        <v>8</v>
      </c>
      <c r="Z222" s="30">
        <v>8</v>
      </c>
      <c r="AA222" s="23" t="s">
        <v>15</v>
      </c>
      <c r="AB222" s="23" t="s">
        <v>98</v>
      </c>
      <c r="AC222" s="23" t="s">
        <v>90</v>
      </c>
      <c r="AD222" s="23">
        <f t="shared" si="0"/>
        <v>1.2154696132596685</v>
      </c>
      <c r="AE222" s="23">
        <f t="shared" si="1"/>
        <v>4.1144751381215467</v>
      </c>
      <c r="AF222" s="23">
        <f t="shared" si="2"/>
        <v>0.28888888888888886</v>
      </c>
    </row>
    <row r="223" spans="1:32" ht="15.75" customHeight="1" x14ac:dyDescent="0.15">
      <c r="A223" s="34">
        <v>222</v>
      </c>
      <c r="B223" s="35" t="s">
        <v>2902</v>
      </c>
      <c r="C223" s="38" t="s">
        <v>2648</v>
      </c>
      <c r="D223" s="34">
        <v>3.06</v>
      </c>
      <c r="E223" s="34">
        <v>19</v>
      </c>
      <c r="F223" s="34">
        <v>0</v>
      </c>
      <c r="G223" s="34">
        <v>1</v>
      </c>
      <c r="H223" s="34">
        <v>0</v>
      </c>
      <c r="I223" s="34">
        <v>2</v>
      </c>
      <c r="J223" s="34">
        <v>2</v>
      </c>
      <c r="K223" s="34">
        <v>0</v>
      </c>
      <c r="L223" s="34">
        <v>0</v>
      </c>
      <c r="M223" s="34">
        <v>0</v>
      </c>
      <c r="N223" s="34">
        <v>0</v>
      </c>
      <c r="O223" s="34">
        <v>78</v>
      </c>
      <c r="P223" s="33">
        <v>17.2</v>
      </c>
      <c r="Q223" s="34">
        <v>19</v>
      </c>
      <c r="R223" s="34">
        <v>0</v>
      </c>
      <c r="S223" s="34">
        <v>5</v>
      </c>
      <c r="T223" s="34">
        <v>0</v>
      </c>
      <c r="U223" s="34">
        <v>0</v>
      </c>
      <c r="V223" s="34">
        <v>16</v>
      </c>
      <c r="W223" s="34">
        <v>1</v>
      </c>
      <c r="X223" s="34">
        <v>0</v>
      </c>
      <c r="Y223" s="34">
        <v>6</v>
      </c>
      <c r="Z223" s="34">
        <v>6</v>
      </c>
      <c r="AA223" s="24" t="s">
        <v>15</v>
      </c>
      <c r="AB223" s="24" t="s">
        <v>86</v>
      </c>
      <c r="AC223" s="24" t="s">
        <v>64</v>
      </c>
      <c r="AD223" s="23">
        <f t="shared" si="0"/>
        <v>1.3953488372093024</v>
      </c>
      <c r="AE223" s="23">
        <f t="shared" si="1"/>
        <v>2.1316279069767443</v>
      </c>
      <c r="AF223" s="23">
        <f t="shared" si="2"/>
        <v>0.33333333333333331</v>
      </c>
    </row>
    <row r="224" spans="1:32" ht="15.75" customHeight="1" x14ac:dyDescent="0.15">
      <c r="A224" s="30">
        <v>222</v>
      </c>
      <c r="B224" s="31" t="s">
        <v>2903</v>
      </c>
      <c r="C224" s="41" t="s">
        <v>2651</v>
      </c>
      <c r="D224" s="30">
        <v>3.57</v>
      </c>
      <c r="E224" s="30">
        <v>18</v>
      </c>
      <c r="F224" s="30">
        <v>1</v>
      </c>
      <c r="G224" s="30">
        <v>2</v>
      </c>
      <c r="H224" s="30">
        <v>0</v>
      </c>
      <c r="I224" s="30">
        <v>5</v>
      </c>
      <c r="J224" s="30">
        <v>6</v>
      </c>
      <c r="K224" s="30">
        <v>0</v>
      </c>
      <c r="L224" s="30">
        <v>0</v>
      </c>
      <c r="M224" s="30">
        <v>0</v>
      </c>
      <c r="N224" s="30">
        <v>0.33300000000000002</v>
      </c>
      <c r="O224" s="30">
        <v>79</v>
      </c>
      <c r="P224" s="33">
        <v>17.2</v>
      </c>
      <c r="Q224" s="30">
        <v>18</v>
      </c>
      <c r="R224" s="30">
        <v>1</v>
      </c>
      <c r="S224" s="30">
        <v>9</v>
      </c>
      <c r="T224" s="30">
        <v>0</v>
      </c>
      <c r="U224" s="30">
        <v>1</v>
      </c>
      <c r="V224" s="30">
        <v>17</v>
      </c>
      <c r="W224" s="30">
        <v>0</v>
      </c>
      <c r="X224" s="30">
        <v>0</v>
      </c>
      <c r="Y224" s="30">
        <v>7</v>
      </c>
      <c r="Z224" s="30">
        <v>7</v>
      </c>
      <c r="AA224" s="23" t="s">
        <v>15</v>
      </c>
      <c r="AB224" s="23" t="s">
        <v>80</v>
      </c>
      <c r="AC224" s="23" t="s">
        <v>80</v>
      </c>
      <c r="AD224" s="23">
        <f t="shared" si="0"/>
        <v>1.5697674418604652</v>
      </c>
      <c r="AE224" s="23">
        <f t="shared" si="1"/>
        <v>3.6432558139534885</v>
      </c>
      <c r="AF224" s="23">
        <f t="shared" si="2"/>
        <v>0.33333333333333331</v>
      </c>
    </row>
    <row r="225" spans="1:32" ht="15.75" customHeight="1" x14ac:dyDescent="0.15">
      <c r="A225" s="34">
        <v>222</v>
      </c>
      <c r="B225" s="35" t="s">
        <v>2904</v>
      </c>
      <c r="C225" s="50" t="s">
        <v>198</v>
      </c>
      <c r="D225" s="34">
        <v>5.09</v>
      </c>
      <c r="E225" s="34">
        <v>16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85</v>
      </c>
      <c r="P225" s="33">
        <v>17.2</v>
      </c>
      <c r="Q225" s="34">
        <v>26</v>
      </c>
      <c r="R225" s="34">
        <v>0</v>
      </c>
      <c r="S225" s="34">
        <v>6</v>
      </c>
      <c r="T225" s="34">
        <v>0</v>
      </c>
      <c r="U225" s="34">
        <v>2</v>
      </c>
      <c r="V225" s="34">
        <v>12</v>
      </c>
      <c r="W225" s="34">
        <v>1</v>
      </c>
      <c r="X225" s="34">
        <v>0</v>
      </c>
      <c r="Y225" s="34">
        <v>10</v>
      </c>
      <c r="Z225" s="34">
        <v>10</v>
      </c>
      <c r="AA225" s="24" t="s">
        <v>15</v>
      </c>
      <c r="AB225" s="24" t="s">
        <v>72</v>
      </c>
      <c r="AC225" s="24" t="s">
        <v>57</v>
      </c>
      <c r="AD225" s="23">
        <f t="shared" si="0"/>
        <v>1.8604651162790697</v>
      </c>
      <c r="AE225" s="23">
        <f t="shared" si="1"/>
        <v>3.12</v>
      </c>
      <c r="AF225" s="23">
        <f t="shared" si="2"/>
        <v>0.4</v>
      </c>
    </row>
    <row r="226" spans="1:32" ht="15.75" customHeight="1" x14ac:dyDescent="0.15">
      <c r="A226" s="30">
        <v>222</v>
      </c>
      <c r="B226" s="31" t="s">
        <v>2906</v>
      </c>
      <c r="C226" s="53" t="s">
        <v>198</v>
      </c>
      <c r="D226" s="30">
        <v>6.62</v>
      </c>
      <c r="E226" s="30">
        <v>6</v>
      </c>
      <c r="F226" s="30">
        <v>0</v>
      </c>
      <c r="G226" s="30">
        <v>2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86</v>
      </c>
      <c r="P226" s="33">
        <v>17.2</v>
      </c>
      <c r="Q226" s="30">
        <v>25</v>
      </c>
      <c r="R226" s="30">
        <v>3</v>
      </c>
      <c r="S226" s="30">
        <v>6</v>
      </c>
      <c r="T226" s="30">
        <v>0</v>
      </c>
      <c r="U226" s="30">
        <v>2</v>
      </c>
      <c r="V226" s="30">
        <v>17</v>
      </c>
      <c r="W226" s="30">
        <v>1</v>
      </c>
      <c r="X226" s="30">
        <v>0</v>
      </c>
      <c r="Y226" s="30">
        <v>13</v>
      </c>
      <c r="Z226" s="30">
        <v>13</v>
      </c>
      <c r="AA226" s="23" t="s">
        <v>15</v>
      </c>
      <c r="AB226" s="23" t="s">
        <v>122</v>
      </c>
      <c r="AC226" s="23" t="s">
        <v>122</v>
      </c>
      <c r="AD226" s="23">
        <f t="shared" si="0"/>
        <v>1.8023255813953489</v>
      </c>
      <c r="AE226" s="23">
        <f t="shared" si="1"/>
        <v>4.8060465116279074</v>
      </c>
      <c r="AF226" s="23">
        <f t="shared" si="2"/>
        <v>0.37931034482758619</v>
      </c>
    </row>
    <row r="227" spans="1:32" ht="15.75" customHeight="1" x14ac:dyDescent="0.15">
      <c r="A227" s="34">
        <v>226</v>
      </c>
      <c r="B227" s="35" t="s">
        <v>2907</v>
      </c>
      <c r="C227" s="45" t="s">
        <v>2651</v>
      </c>
      <c r="D227" s="34">
        <v>4.1500000000000004</v>
      </c>
      <c r="E227" s="34">
        <v>23</v>
      </c>
      <c r="F227" s="34">
        <v>0</v>
      </c>
      <c r="G227" s="34">
        <v>3</v>
      </c>
      <c r="H227" s="34">
        <v>0</v>
      </c>
      <c r="I227" s="34">
        <v>2</v>
      </c>
      <c r="J227" s="34">
        <v>2</v>
      </c>
      <c r="K227" s="34">
        <v>0</v>
      </c>
      <c r="L227" s="34">
        <v>0</v>
      </c>
      <c r="M227" s="34">
        <v>0</v>
      </c>
      <c r="N227" s="34">
        <v>0</v>
      </c>
      <c r="O227" s="34">
        <v>77</v>
      </c>
      <c r="P227" s="33">
        <v>17.100000000000001</v>
      </c>
      <c r="Q227" s="34">
        <v>16</v>
      </c>
      <c r="R227" s="34">
        <v>3</v>
      </c>
      <c r="S227" s="34">
        <v>10</v>
      </c>
      <c r="T227" s="34">
        <v>0</v>
      </c>
      <c r="U227" s="34">
        <v>0</v>
      </c>
      <c r="V227" s="34">
        <v>11</v>
      </c>
      <c r="W227" s="34">
        <v>2</v>
      </c>
      <c r="X227" s="34">
        <v>0</v>
      </c>
      <c r="Y227" s="34">
        <v>8</v>
      </c>
      <c r="Z227" s="34">
        <v>8</v>
      </c>
      <c r="AA227" s="24" t="s">
        <v>15</v>
      </c>
      <c r="AB227" s="24" t="s">
        <v>80</v>
      </c>
      <c r="AC227" s="24" t="s">
        <v>80</v>
      </c>
      <c r="AD227" s="23">
        <f t="shared" si="0"/>
        <v>1.5204678362573099</v>
      </c>
      <c r="AE227" s="23">
        <f t="shared" si="1"/>
        <v>5.8685380116959065</v>
      </c>
      <c r="AF227" s="23">
        <f t="shared" si="2"/>
        <v>0.24528301886792453</v>
      </c>
    </row>
    <row r="228" spans="1:32" ht="15.75" customHeight="1" x14ac:dyDescent="0.15">
      <c r="A228" s="30">
        <v>226</v>
      </c>
      <c r="B228" s="31" t="s">
        <v>2908</v>
      </c>
      <c r="C228" s="53" t="s">
        <v>198</v>
      </c>
      <c r="D228" s="30">
        <v>4.67</v>
      </c>
      <c r="E228" s="30">
        <v>13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81</v>
      </c>
      <c r="P228" s="33">
        <v>17.100000000000001</v>
      </c>
      <c r="Q228" s="30">
        <v>23</v>
      </c>
      <c r="R228" s="30">
        <v>0</v>
      </c>
      <c r="S228" s="30">
        <v>6</v>
      </c>
      <c r="T228" s="30">
        <v>1</v>
      </c>
      <c r="U228" s="30">
        <v>0</v>
      </c>
      <c r="V228" s="30">
        <v>10</v>
      </c>
      <c r="W228" s="30">
        <v>2</v>
      </c>
      <c r="X228" s="30">
        <v>0</v>
      </c>
      <c r="Y228" s="30">
        <v>9</v>
      </c>
      <c r="Z228" s="30">
        <v>9</v>
      </c>
      <c r="AA228" s="23" t="s">
        <v>15</v>
      </c>
      <c r="AB228" s="23" t="s">
        <v>122</v>
      </c>
      <c r="AC228" s="23" t="s">
        <v>122</v>
      </c>
      <c r="AD228" s="23">
        <f t="shared" si="0"/>
        <v>1.6959064327485378</v>
      </c>
      <c r="AE228" s="23">
        <f t="shared" si="1"/>
        <v>2.8276023391812868</v>
      </c>
      <c r="AF228" s="23">
        <f t="shared" si="2"/>
        <v>0.359375</v>
      </c>
    </row>
    <row r="229" spans="1:32" ht="15.75" customHeight="1" x14ac:dyDescent="0.15">
      <c r="A229" s="34">
        <v>228</v>
      </c>
      <c r="B229" s="35" t="s">
        <v>2909</v>
      </c>
      <c r="C229" s="45" t="s">
        <v>2651</v>
      </c>
      <c r="D229" s="34">
        <v>3.18</v>
      </c>
      <c r="E229" s="34">
        <v>18</v>
      </c>
      <c r="F229" s="34">
        <v>0</v>
      </c>
      <c r="G229" s="34">
        <v>1</v>
      </c>
      <c r="H229" s="34">
        <v>0</v>
      </c>
      <c r="I229" s="34">
        <v>4</v>
      </c>
      <c r="J229" s="34">
        <v>4</v>
      </c>
      <c r="K229" s="34">
        <v>0</v>
      </c>
      <c r="L229" s="34">
        <v>0</v>
      </c>
      <c r="M229" s="34">
        <v>0</v>
      </c>
      <c r="N229" s="34">
        <v>0</v>
      </c>
      <c r="O229" s="34">
        <v>74</v>
      </c>
      <c r="P229" s="33">
        <v>17</v>
      </c>
      <c r="Q229" s="34">
        <v>19</v>
      </c>
      <c r="R229" s="34">
        <v>1</v>
      </c>
      <c r="S229" s="34">
        <v>4</v>
      </c>
      <c r="T229" s="34">
        <v>0</v>
      </c>
      <c r="U229" s="34">
        <v>2</v>
      </c>
      <c r="V229" s="34">
        <v>13</v>
      </c>
      <c r="W229" s="34">
        <v>1</v>
      </c>
      <c r="X229" s="34">
        <v>0</v>
      </c>
      <c r="Y229" s="34">
        <v>6</v>
      </c>
      <c r="Z229" s="34">
        <v>6</v>
      </c>
      <c r="AA229" s="24" t="s">
        <v>15</v>
      </c>
      <c r="AB229" s="24" t="s">
        <v>72</v>
      </c>
      <c r="AC229" s="24" t="s">
        <v>57</v>
      </c>
      <c r="AD229" s="23">
        <f t="shared" si="0"/>
        <v>1.3529411764705883</v>
      </c>
      <c r="AE229" s="23">
        <f t="shared" si="1"/>
        <v>3.4141176470588235</v>
      </c>
      <c r="AF229" s="23">
        <f t="shared" si="2"/>
        <v>0.33333333333333331</v>
      </c>
    </row>
    <row r="230" spans="1:32" ht="15.75" customHeight="1" x14ac:dyDescent="0.15">
      <c r="A230" s="30">
        <v>229</v>
      </c>
      <c r="B230" s="31" t="s">
        <v>2910</v>
      </c>
      <c r="C230" s="41" t="s">
        <v>2651</v>
      </c>
      <c r="D230" s="30">
        <v>3.78</v>
      </c>
      <c r="E230" s="30">
        <v>20</v>
      </c>
      <c r="F230" s="30">
        <v>1</v>
      </c>
      <c r="G230" s="30">
        <v>1</v>
      </c>
      <c r="H230" s="30">
        <v>0</v>
      </c>
      <c r="I230" s="30">
        <v>0</v>
      </c>
      <c r="J230" s="30">
        <v>1</v>
      </c>
      <c r="K230" s="30">
        <v>0</v>
      </c>
      <c r="L230" s="30">
        <v>0</v>
      </c>
      <c r="M230" s="30">
        <v>0</v>
      </c>
      <c r="N230" s="30">
        <v>0.5</v>
      </c>
      <c r="O230" s="30">
        <v>71</v>
      </c>
      <c r="P230" s="33">
        <v>16.2</v>
      </c>
      <c r="Q230" s="30">
        <v>18</v>
      </c>
      <c r="R230" s="30">
        <v>2</v>
      </c>
      <c r="S230" s="30">
        <v>3</v>
      </c>
      <c r="T230" s="30">
        <v>0</v>
      </c>
      <c r="U230" s="30">
        <v>0</v>
      </c>
      <c r="V230" s="30">
        <v>9</v>
      </c>
      <c r="W230" s="30">
        <v>0</v>
      </c>
      <c r="X230" s="30">
        <v>0</v>
      </c>
      <c r="Y230" s="30">
        <v>8</v>
      </c>
      <c r="Z230" s="30">
        <v>7</v>
      </c>
      <c r="AA230" s="23" t="s">
        <v>15</v>
      </c>
      <c r="AB230" s="23" t="s">
        <v>64</v>
      </c>
      <c r="AC230" s="23" t="s">
        <v>64</v>
      </c>
      <c r="AD230" s="23">
        <f t="shared" si="0"/>
        <v>1.2962962962962963</v>
      </c>
      <c r="AE230" s="23">
        <f t="shared" si="1"/>
        <v>4.169382716049383</v>
      </c>
      <c r="AF230" s="23">
        <f t="shared" si="2"/>
        <v>0.2807017543859649</v>
      </c>
    </row>
    <row r="231" spans="1:32" ht="15.75" customHeight="1" x14ac:dyDescent="0.15">
      <c r="A231" s="34">
        <v>229</v>
      </c>
      <c r="B231" s="35" t="s">
        <v>2911</v>
      </c>
      <c r="C231" s="42" t="s">
        <v>2652</v>
      </c>
      <c r="D231" s="34">
        <v>4.8600000000000003</v>
      </c>
      <c r="E231" s="34">
        <v>17</v>
      </c>
      <c r="F231" s="34">
        <v>0</v>
      </c>
      <c r="G231" s="34">
        <v>2</v>
      </c>
      <c r="H231" s="34">
        <v>0</v>
      </c>
      <c r="I231" s="34">
        <v>5</v>
      </c>
      <c r="J231" s="34">
        <v>5</v>
      </c>
      <c r="K231" s="34">
        <v>0</v>
      </c>
      <c r="L231" s="34">
        <v>0</v>
      </c>
      <c r="M231" s="34">
        <v>0</v>
      </c>
      <c r="N231" s="34">
        <v>0</v>
      </c>
      <c r="O231" s="34">
        <v>66</v>
      </c>
      <c r="P231" s="33">
        <v>16.2</v>
      </c>
      <c r="Q231" s="34">
        <v>11</v>
      </c>
      <c r="R231" s="34">
        <v>3</v>
      </c>
      <c r="S231" s="34">
        <v>3</v>
      </c>
      <c r="T231" s="34">
        <v>0</v>
      </c>
      <c r="U231" s="34">
        <v>2</v>
      </c>
      <c r="V231" s="34">
        <v>20</v>
      </c>
      <c r="W231" s="34">
        <v>0</v>
      </c>
      <c r="X231" s="34">
        <v>0</v>
      </c>
      <c r="Y231" s="34">
        <v>9</v>
      </c>
      <c r="Z231" s="34">
        <v>9</v>
      </c>
      <c r="AA231" s="24" t="s">
        <v>15</v>
      </c>
      <c r="AB231" s="24" t="s">
        <v>72</v>
      </c>
      <c r="AC231" s="24" t="s">
        <v>72</v>
      </c>
      <c r="AD231" s="23">
        <f t="shared" si="0"/>
        <v>0.86419753086419759</v>
      </c>
      <c r="AE231" s="23">
        <f t="shared" si="1"/>
        <v>3.9841975308641979</v>
      </c>
      <c r="AF231" s="23">
        <f t="shared" si="2"/>
        <v>0.21052631578947367</v>
      </c>
    </row>
    <row r="232" spans="1:32" ht="15.75" customHeight="1" x14ac:dyDescent="0.15">
      <c r="A232" s="30">
        <v>231</v>
      </c>
      <c r="B232" s="31" t="s">
        <v>2912</v>
      </c>
      <c r="C232" s="37" t="s">
        <v>2647</v>
      </c>
      <c r="D232" s="30">
        <v>2.2000000000000002</v>
      </c>
      <c r="E232" s="30">
        <v>17</v>
      </c>
      <c r="F232" s="30">
        <v>1</v>
      </c>
      <c r="G232" s="30">
        <v>1</v>
      </c>
      <c r="H232" s="30">
        <v>0</v>
      </c>
      <c r="I232" s="30">
        <v>4</v>
      </c>
      <c r="J232" s="30">
        <v>5</v>
      </c>
      <c r="K232" s="30">
        <v>0</v>
      </c>
      <c r="L232" s="30">
        <v>0</v>
      </c>
      <c r="M232" s="30">
        <v>0</v>
      </c>
      <c r="N232" s="30">
        <v>0.5</v>
      </c>
      <c r="O232" s="30">
        <v>62</v>
      </c>
      <c r="P232" s="33">
        <v>16.100000000000001</v>
      </c>
      <c r="Q232" s="30">
        <v>9</v>
      </c>
      <c r="R232" s="30">
        <v>1</v>
      </c>
      <c r="S232" s="30">
        <v>4</v>
      </c>
      <c r="T232" s="30">
        <v>0</v>
      </c>
      <c r="U232" s="30">
        <v>0</v>
      </c>
      <c r="V232" s="30">
        <v>18</v>
      </c>
      <c r="W232" s="30">
        <v>0</v>
      </c>
      <c r="X232" s="30">
        <v>0</v>
      </c>
      <c r="Y232" s="30">
        <v>4</v>
      </c>
      <c r="Z232" s="30">
        <v>4</v>
      </c>
      <c r="AA232" s="23" t="s">
        <v>15</v>
      </c>
      <c r="AB232" s="23" t="s">
        <v>47</v>
      </c>
      <c r="AC232" s="23" t="s">
        <v>47</v>
      </c>
      <c r="AD232" s="23">
        <f t="shared" si="0"/>
        <v>0.80745341614906829</v>
      </c>
      <c r="AE232" s="23">
        <f t="shared" si="1"/>
        <v>2.4367701863354041</v>
      </c>
      <c r="AF232" s="23">
        <f t="shared" si="2"/>
        <v>0.20512820512820512</v>
      </c>
    </row>
    <row r="233" spans="1:32" ht="15.75" customHeight="1" x14ac:dyDescent="0.15">
      <c r="A233" s="34">
        <v>232</v>
      </c>
      <c r="B233" s="35" t="s">
        <v>2913</v>
      </c>
      <c r="C233" s="58" t="s">
        <v>2645</v>
      </c>
      <c r="D233" s="34">
        <v>6.19</v>
      </c>
      <c r="E233" s="34">
        <v>19</v>
      </c>
      <c r="F233" s="34">
        <v>2</v>
      </c>
      <c r="G233" s="34">
        <v>2</v>
      </c>
      <c r="H233" s="34">
        <v>0</v>
      </c>
      <c r="I233" s="34">
        <v>5</v>
      </c>
      <c r="J233" s="34">
        <v>7</v>
      </c>
      <c r="K233" s="34">
        <v>0</v>
      </c>
      <c r="L233" s="34">
        <v>0</v>
      </c>
      <c r="M233" s="34">
        <v>0</v>
      </c>
      <c r="N233" s="34">
        <v>0.5</v>
      </c>
      <c r="O233" s="34">
        <v>70</v>
      </c>
      <c r="P233" s="33">
        <v>16</v>
      </c>
      <c r="Q233" s="34">
        <v>14</v>
      </c>
      <c r="R233" s="34">
        <v>3</v>
      </c>
      <c r="S233" s="34">
        <v>7</v>
      </c>
      <c r="T233" s="34">
        <v>0</v>
      </c>
      <c r="U233" s="34">
        <v>2</v>
      </c>
      <c r="V233" s="34">
        <v>22</v>
      </c>
      <c r="W233" s="34">
        <v>1</v>
      </c>
      <c r="X233" s="34">
        <v>0</v>
      </c>
      <c r="Y233" s="34">
        <v>11</v>
      </c>
      <c r="Z233" s="34">
        <v>11</v>
      </c>
      <c r="AA233" s="24" t="s">
        <v>15</v>
      </c>
      <c r="AB233" s="24" t="s">
        <v>90</v>
      </c>
      <c r="AC233" s="24" t="s">
        <v>90</v>
      </c>
      <c r="AD233" s="23">
        <f t="shared" si="0"/>
        <v>1.3125</v>
      </c>
      <c r="AE233" s="23">
        <f t="shared" si="1"/>
        <v>4.4950000000000001</v>
      </c>
      <c r="AF233" s="23">
        <f t="shared" si="2"/>
        <v>0.30555555555555558</v>
      </c>
    </row>
    <row r="234" spans="1:32" ht="15.75" customHeight="1" x14ac:dyDescent="0.15">
      <c r="A234" s="30">
        <v>232</v>
      </c>
      <c r="B234" s="31" t="s">
        <v>2914</v>
      </c>
      <c r="C234" s="41" t="s">
        <v>2651</v>
      </c>
      <c r="D234" s="30">
        <v>5.63</v>
      </c>
      <c r="E234" s="30">
        <v>3</v>
      </c>
      <c r="F234" s="30">
        <v>0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71</v>
      </c>
      <c r="P234" s="33">
        <v>16</v>
      </c>
      <c r="Q234" s="30">
        <v>17</v>
      </c>
      <c r="R234" s="30">
        <v>2</v>
      </c>
      <c r="S234" s="30">
        <v>5</v>
      </c>
      <c r="T234" s="30">
        <v>1</v>
      </c>
      <c r="U234" s="30">
        <v>1</v>
      </c>
      <c r="V234" s="30">
        <v>9</v>
      </c>
      <c r="W234" s="30">
        <v>1</v>
      </c>
      <c r="X234" s="30">
        <v>0</v>
      </c>
      <c r="Y234" s="30">
        <v>10</v>
      </c>
      <c r="Z234" s="30">
        <v>10</v>
      </c>
      <c r="AA234" s="23" t="s">
        <v>15</v>
      </c>
      <c r="AB234" s="23" t="s">
        <v>98</v>
      </c>
      <c r="AC234" s="23" t="s">
        <v>86</v>
      </c>
      <c r="AD234" s="23">
        <f t="shared" si="0"/>
        <v>1.375</v>
      </c>
      <c r="AE234" s="23">
        <f t="shared" si="1"/>
        <v>4.5575000000000001</v>
      </c>
      <c r="AF234" s="23">
        <f t="shared" si="2"/>
        <v>0.28301886792452829</v>
      </c>
    </row>
    <row r="235" spans="1:32" ht="15.75" customHeight="1" x14ac:dyDescent="0.15">
      <c r="A235" s="34">
        <v>232</v>
      </c>
      <c r="B235" s="35" t="s">
        <v>2915</v>
      </c>
      <c r="C235" s="56" t="s">
        <v>2653</v>
      </c>
      <c r="D235" s="34">
        <v>5.63</v>
      </c>
      <c r="E235" s="34">
        <v>3</v>
      </c>
      <c r="F235" s="34">
        <v>0</v>
      </c>
      <c r="G235" s="34">
        <v>1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68</v>
      </c>
      <c r="P235" s="33">
        <v>16</v>
      </c>
      <c r="Q235" s="34">
        <v>14</v>
      </c>
      <c r="R235" s="34">
        <v>3</v>
      </c>
      <c r="S235" s="34">
        <v>7</v>
      </c>
      <c r="T235" s="34">
        <v>0</v>
      </c>
      <c r="U235" s="34">
        <v>0</v>
      </c>
      <c r="V235" s="34">
        <v>11</v>
      </c>
      <c r="W235" s="34">
        <v>1</v>
      </c>
      <c r="X235" s="34">
        <v>0</v>
      </c>
      <c r="Y235" s="34">
        <v>11</v>
      </c>
      <c r="Z235" s="34">
        <v>10</v>
      </c>
      <c r="AA235" s="24" t="s">
        <v>15</v>
      </c>
      <c r="AB235" s="24" t="s">
        <v>47</v>
      </c>
      <c r="AC235" s="24" t="s">
        <v>47</v>
      </c>
      <c r="AD235" s="23">
        <f t="shared" si="0"/>
        <v>1.3125</v>
      </c>
      <c r="AE235" s="23">
        <f t="shared" si="1"/>
        <v>5.4950000000000001</v>
      </c>
      <c r="AF235" s="23">
        <f t="shared" si="2"/>
        <v>0.23404255319148937</v>
      </c>
    </row>
    <row r="236" spans="1:32" ht="15.75" customHeight="1" x14ac:dyDescent="0.15">
      <c r="A236" s="30">
        <v>235</v>
      </c>
      <c r="B236" s="31" t="s">
        <v>2916</v>
      </c>
      <c r="C236" s="44" t="s">
        <v>2653</v>
      </c>
      <c r="D236" s="30">
        <v>7.63</v>
      </c>
      <c r="E236" s="30">
        <v>6</v>
      </c>
      <c r="F236" s="30">
        <v>0</v>
      </c>
      <c r="G236" s="30">
        <v>1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74</v>
      </c>
      <c r="P236" s="33">
        <v>15.1</v>
      </c>
      <c r="Q236" s="30">
        <v>21</v>
      </c>
      <c r="R236" s="30">
        <v>4</v>
      </c>
      <c r="S236" s="30">
        <v>7</v>
      </c>
      <c r="T236" s="30">
        <v>1</v>
      </c>
      <c r="U236" s="30">
        <v>1</v>
      </c>
      <c r="V236" s="30">
        <v>10</v>
      </c>
      <c r="W236" s="30">
        <v>0</v>
      </c>
      <c r="X236" s="30">
        <v>0</v>
      </c>
      <c r="Y236" s="30">
        <v>15</v>
      </c>
      <c r="Z236" s="30">
        <v>13</v>
      </c>
      <c r="AA236" s="23" t="s">
        <v>15</v>
      </c>
      <c r="AB236" s="23" t="s">
        <v>122</v>
      </c>
      <c r="AC236" s="23" t="s">
        <v>112</v>
      </c>
      <c r="AD236" s="23">
        <f t="shared" si="0"/>
        <v>1.8543046357615895</v>
      </c>
      <c r="AE236" s="23">
        <f t="shared" si="1"/>
        <v>6.6299337748344378</v>
      </c>
      <c r="AF236" s="23">
        <f t="shared" si="2"/>
        <v>0.33333333333333331</v>
      </c>
    </row>
    <row r="237" spans="1:32" ht="15.75" customHeight="1" x14ac:dyDescent="0.15">
      <c r="A237" s="34">
        <v>236</v>
      </c>
      <c r="B237" s="35" t="s">
        <v>2917</v>
      </c>
      <c r="C237" s="38" t="s">
        <v>2648</v>
      </c>
      <c r="D237" s="34">
        <v>5.4</v>
      </c>
      <c r="E237" s="34">
        <v>7</v>
      </c>
      <c r="F237" s="34">
        <v>1</v>
      </c>
      <c r="G237" s="34">
        <v>1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0.5</v>
      </c>
      <c r="O237" s="34">
        <v>67</v>
      </c>
      <c r="P237" s="33">
        <v>15</v>
      </c>
      <c r="Q237" s="34">
        <v>10</v>
      </c>
      <c r="R237" s="34">
        <v>3</v>
      </c>
      <c r="S237" s="34">
        <v>14</v>
      </c>
      <c r="T237" s="34">
        <v>1</v>
      </c>
      <c r="U237" s="34">
        <v>0</v>
      </c>
      <c r="V237" s="34">
        <v>14</v>
      </c>
      <c r="W237" s="34">
        <v>0</v>
      </c>
      <c r="X237" s="34">
        <v>0</v>
      </c>
      <c r="Y237" s="34">
        <v>9</v>
      </c>
      <c r="Z237" s="34">
        <v>9</v>
      </c>
      <c r="AA237" s="24" t="s">
        <v>15</v>
      </c>
      <c r="AB237" s="24" t="s">
        <v>112</v>
      </c>
      <c r="AC237" s="24" t="s">
        <v>98</v>
      </c>
      <c r="AD237" s="23">
        <f t="shared" si="0"/>
        <v>1.6</v>
      </c>
      <c r="AE237" s="23">
        <f t="shared" si="1"/>
        <v>6.4533333333333331</v>
      </c>
      <c r="AF237" s="23">
        <f t="shared" si="2"/>
        <v>0.2</v>
      </c>
    </row>
    <row r="238" spans="1:32" ht="15.75" customHeight="1" x14ac:dyDescent="0.15">
      <c r="A238" s="30">
        <v>236</v>
      </c>
      <c r="B238" s="31" t="s">
        <v>2918</v>
      </c>
      <c r="C238" s="47" t="s">
        <v>2654</v>
      </c>
      <c r="D238" s="30">
        <v>4.8</v>
      </c>
      <c r="E238" s="30">
        <v>5</v>
      </c>
      <c r="F238" s="30">
        <v>1</v>
      </c>
      <c r="G238" s="30">
        <v>1</v>
      </c>
      <c r="H238" s="30">
        <v>0</v>
      </c>
      <c r="I238" s="30">
        <v>0</v>
      </c>
      <c r="J238" s="30">
        <v>1</v>
      </c>
      <c r="K238" s="30">
        <v>0</v>
      </c>
      <c r="L238" s="30">
        <v>0</v>
      </c>
      <c r="M238" s="30">
        <v>0</v>
      </c>
      <c r="N238" s="30">
        <v>0.5</v>
      </c>
      <c r="O238" s="30">
        <v>72</v>
      </c>
      <c r="P238" s="33">
        <v>15</v>
      </c>
      <c r="Q238" s="30">
        <v>23</v>
      </c>
      <c r="R238" s="30">
        <v>0</v>
      </c>
      <c r="S238" s="30">
        <v>7</v>
      </c>
      <c r="T238" s="30">
        <v>0</v>
      </c>
      <c r="U238" s="30">
        <v>2</v>
      </c>
      <c r="V238" s="30">
        <v>9</v>
      </c>
      <c r="W238" s="30">
        <v>0</v>
      </c>
      <c r="X238" s="30">
        <v>0</v>
      </c>
      <c r="Y238" s="30">
        <v>8</v>
      </c>
      <c r="Z238" s="30">
        <v>8</v>
      </c>
      <c r="AA238" s="23" t="s">
        <v>15</v>
      </c>
      <c r="AB238" s="23" t="s">
        <v>99</v>
      </c>
      <c r="AC238" s="23" t="s">
        <v>64</v>
      </c>
      <c r="AD238" s="23">
        <f t="shared" si="0"/>
        <v>2</v>
      </c>
      <c r="AE238" s="23">
        <f t="shared" si="1"/>
        <v>3.72</v>
      </c>
      <c r="AF238" s="23">
        <f t="shared" si="2"/>
        <v>0.42592592592592593</v>
      </c>
    </row>
    <row r="239" spans="1:32" ht="15.75" customHeight="1" x14ac:dyDescent="0.15">
      <c r="A239" s="34">
        <v>238</v>
      </c>
      <c r="B239" s="35" t="s">
        <v>2919</v>
      </c>
      <c r="C239" s="42" t="s">
        <v>2652</v>
      </c>
      <c r="D239" s="34">
        <v>3.07</v>
      </c>
      <c r="E239" s="34">
        <v>18</v>
      </c>
      <c r="F239" s="34">
        <v>2</v>
      </c>
      <c r="G239" s="34">
        <v>0</v>
      </c>
      <c r="H239" s="34">
        <v>0</v>
      </c>
      <c r="I239" s="34">
        <v>2</v>
      </c>
      <c r="J239" s="34">
        <v>4</v>
      </c>
      <c r="K239" s="34">
        <v>0</v>
      </c>
      <c r="L239" s="34">
        <v>0</v>
      </c>
      <c r="M239" s="34">
        <v>0</v>
      </c>
      <c r="N239" s="34">
        <v>1</v>
      </c>
      <c r="O239" s="34">
        <v>71</v>
      </c>
      <c r="P239" s="33">
        <v>14.2</v>
      </c>
      <c r="Q239" s="34">
        <v>28</v>
      </c>
      <c r="R239" s="34">
        <v>2</v>
      </c>
      <c r="S239" s="34">
        <v>4</v>
      </c>
      <c r="T239" s="34">
        <v>0</v>
      </c>
      <c r="U239" s="34">
        <v>0</v>
      </c>
      <c r="V239" s="34">
        <v>8</v>
      </c>
      <c r="W239" s="34">
        <v>0</v>
      </c>
      <c r="X239" s="34">
        <v>0</v>
      </c>
      <c r="Y239" s="34">
        <v>7</v>
      </c>
      <c r="Z239" s="34">
        <v>5</v>
      </c>
      <c r="AA239" s="24" t="s">
        <v>15</v>
      </c>
      <c r="AB239" s="24" t="s">
        <v>90</v>
      </c>
      <c r="AC239" s="24" t="s">
        <v>90</v>
      </c>
      <c r="AD239" s="23">
        <f t="shared" si="0"/>
        <v>2.2535211267605635</v>
      </c>
      <c r="AE239" s="23">
        <f t="shared" si="1"/>
        <v>4.6692957746478871</v>
      </c>
      <c r="AF239" s="23">
        <f t="shared" si="2"/>
        <v>0.45614035087719296</v>
      </c>
    </row>
    <row r="240" spans="1:32" ht="15.75" customHeight="1" x14ac:dyDescent="0.15">
      <c r="A240" s="30">
        <v>238</v>
      </c>
      <c r="B240" s="31" t="s">
        <v>2920</v>
      </c>
      <c r="C240" s="52" t="s">
        <v>2646</v>
      </c>
      <c r="D240" s="30">
        <v>9.1999999999999993</v>
      </c>
      <c r="E240" s="30">
        <v>17</v>
      </c>
      <c r="F240" s="30">
        <v>0</v>
      </c>
      <c r="G240" s="30">
        <v>1</v>
      </c>
      <c r="H240" s="30">
        <v>0</v>
      </c>
      <c r="I240" s="30">
        <v>2</v>
      </c>
      <c r="J240" s="30">
        <v>2</v>
      </c>
      <c r="K240" s="30">
        <v>0</v>
      </c>
      <c r="L240" s="30">
        <v>0</v>
      </c>
      <c r="M240" s="30">
        <v>0</v>
      </c>
      <c r="N240" s="30">
        <v>0</v>
      </c>
      <c r="O240" s="30">
        <v>71</v>
      </c>
      <c r="P240" s="33">
        <v>14.2</v>
      </c>
      <c r="Q240" s="30">
        <v>21</v>
      </c>
      <c r="R240" s="30">
        <v>2</v>
      </c>
      <c r="S240" s="30">
        <v>10</v>
      </c>
      <c r="T240" s="30">
        <v>0</v>
      </c>
      <c r="U240" s="30">
        <v>0</v>
      </c>
      <c r="V240" s="30">
        <v>10</v>
      </c>
      <c r="W240" s="30">
        <v>0</v>
      </c>
      <c r="X240" s="30">
        <v>0</v>
      </c>
      <c r="Y240" s="30">
        <v>15</v>
      </c>
      <c r="Z240" s="30">
        <v>15</v>
      </c>
      <c r="AA240" s="23" t="s">
        <v>15</v>
      </c>
      <c r="AB240" s="23" t="s">
        <v>105</v>
      </c>
      <c r="AC240" s="23" t="s">
        <v>105</v>
      </c>
      <c r="AD240" s="23">
        <f t="shared" si="0"/>
        <v>2.183098591549296</v>
      </c>
      <c r="AE240" s="23">
        <f t="shared" si="1"/>
        <v>5.6552112676056341</v>
      </c>
      <c r="AF240" s="23">
        <f t="shared" si="2"/>
        <v>0.38775510204081631</v>
      </c>
    </row>
    <row r="241" spans="1:32" ht="15.75" customHeight="1" x14ac:dyDescent="0.15">
      <c r="A241" s="34">
        <v>238</v>
      </c>
      <c r="B241" s="35" t="s">
        <v>2921</v>
      </c>
      <c r="C241" s="57" t="s">
        <v>2654</v>
      </c>
      <c r="D241" s="34">
        <v>2.4500000000000002</v>
      </c>
      <c r="E241" s="34">
        <v>16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61</v>
      </c>
      <c r="P241" s="33">
        <v>14.2</v>
      </c>
      <c r="Q241" s="34">
        <v>16</v>
      </c>
      <c r="R241" s="34">
        <v>2</v>
      </c>
      <c r="S241" s="34">
        <v>4</v>
      </c>
      <c r="T241" s="34">
        <v>0</v>
      </c>
      <c r="U241" s="34">
        <v>0</v>
      </c>
      <c r="V241" s="34">
        <v>9</v>
      </c>
      <c r="W241" s="34">
        <v>0</v>
      </c>
      <c r="X241" s="34">
        <v>0</v>
      </c>
      <c r="Y241" s="34">
        <v>4</v>
      </c>
      <c r="Z241" s="34">
        <v>4</v>
      </c>
      <c r="AA241" s="24" t="s">
        <v>15</v>
      </c>
      <c r="AB241" s="24" t="s">
        <v>90</v>
      </c>
      <c r="AC241" s="24" t="s">
        <v>90</v>
      </c>
      <c r="AD241" s="23">
        <f t="shared" si="0"/>
        <v>1.4084507042253522</v>
      </c>
      <c r="AE241" s="23">
        <f t="shared" si="1"/>
        <v>4.5284507042253521</v>
      </c>
      <c r="AF241" s="23">
        <f t="shared" si="2"/>
        <v>0.30434782608695654</v>
      </c>
    </row>
    <row r="242" spans="1:32" ht="15.75" customHeight="1" x14ac:dyDescent="0.15">
      <c r="A242" s="30">
        <v>238</v>
      </c>
      <c r="B242" s="31" t="s">
        <v>2922</v>
      </c>
      <c r="C242" s="52" t="s">
        <v>2646</v>
      </c>
      <c r="D242" s="30">
        <v>4.91</v>
      </c>
      <c r="E242" s="30">
        <v>15</v>
      </c>
      <c r="F242" s="30">
        <v>1</v>
      </c>
      <c r="G242" s="30">
        <v>0</v>
      </c>
      <c r="H242" s="30">
        <v>1</v>
      </c>
      <c r="I242" s="30">
        <v>2</v>
      </c>
      <c r="J242" s="30">
        <v>3</v>
      </c>
      <c r="K242" s="30">
        <v>0</v>
      </c>
      <c r="L242" s="30">
        <v>0</v>
      </c>
      <c r="M242" s="30">
        <v>0</v>
      </c>
      <c r="N242" s="30">
        <v>1</v>
      </c>
      <c r="O242" s="30">
        <v>62</v>
      </c>
      <c r="P242" s="33">
        <v>14.2</v>
      </c>
      <c r="Q242" s="30">
        <v>11</v>
      </c>
      <c r="R242" s="30">
        <v>2</v>
      </c>
      <c r="S242" s="30">
        <v>7</v>
      </c>
      <c r="T242" s="30">
        <v>0</v>
      </c>
      <c r="U242" s="30">
        <v>1</v>
      </c>
      <c r="V242" s="30">
        <v>14</v>
      </c>
      <c r="W242" s="30">
        <v>0</v>
      </c>
      <c r="X242" s="30">
        <v>0</v>
      </c>
      <c r="Y242" s="30">
        <v>8</v>
      </c>
      <c r="Z242" s="30">
        <v>8</v>
      </c>
      <c r="AA242" s="23" t="s">
        <v>15</v>
      </c>
      <c r="AB242" s="23" t="s">
        <v>57</v>
      </c>
      <c r="AC242" s="23" t="s">
        <v>57</v>
      </c>
      <c r="AD242" s="23">
        <f t="shared" si="0"/>
        <v>1.267605633802817</v>
      </c>
      <c r="AE242" s="23">
        <f t="shared" si="1"/>
        <v>4.6692957746478871</v>
      </c>
      <c r="AF242" s="23">
        <f t="shared" si="2"/>
        <v>0.23684210526315788</v>
      </c>
    </row>
    <row r="243" spans="1:32" ht="15.75" customHeight="1" x14ac:dyDescent="0.15">
      <c r="A243" s="34">
        <v>238</v>
      </c>
      <c r="B243" s="35" t="s">
        <v>2923</v>
      </c>
      <c r="C243" s="38" t="s">
        <v>2648</v>
      </c>
      <c r="D243" s="34">
        <v>9.1999999999999993</v>
      </c>
      <c r="E243" s="34">
        <v>10</v>
      </c>
      <c r="F243" s="34">
        <v>1</v>
      </c>
      <c r="G243" s="34">
        <v>3</v>
      </c>
      <c r="H243" s="34">
        <v>0</v>
      </c>
      <c r="I243" s="34">
        <v>3</v>
      </c>
      <c r="J243" s="34">
        <v>4</v>
      </c>
      <c r="K243" s="34">
        <v>0</v>
      </c>
      <c r="L243" s="34">
        <v>0</v>
      </c>
      <c r="M243" s="34">
        <v>0</v>
      </c>
      <c r="N243" s="34">
        <v>0.25</v>
      </c>
      <c r="O243" s="34">
        <v>75</v>
      </c>
      <c r="P243" s="33">
        <v>14.2</v>
      </c>
      <c r="Q243" s="34">
        <v>23</v>
      </c>
      <c r="R243" s="34">
        <v>2</v>
      </c>
      <c r="S243" s="34">
        <v>8</v>
      </c>
      <c r="T243" s="34">
        <v>1</v>
      </c>
      <c r="U243" s="34">
        <v>1</v>
      </c>
      <c r="V243" s="34">
        <v>11</v>
      </c>
      <c r="W243" s="34">
        <v>0</v>
      </c>
      <c r="X243" s="34">
        <v>0</v>
      </c>
      <c r="Y243" s="34">
        <v>15</v>
      </c>
      <c r="Z243" s="34">
        <v>15</v>
      </c>
      <c r="AA243" s="24" t="s">
        <v>15</v>
      </c>
      <c r="AB243" s="24" t="s">
        <v>64</v>
      </c>
      <c r="AC243" s="24" t="s">
        <v>64</v>
      </c>
      <c r="AD243" s="23">
        <f t="shared" si="0"/>
        <v>2.183098591549296</v>
      </c>
      <c r="AE243" s="23">
        <f t="shared" si="1"/>
        <v>5.0918309859154931</v>
      </c>
      <c r="AF243" s="23">
        <f t="shared" si="2"/>
        <v>0.40384615384615385</v>
      </c>
    </row>
    <row r="244" spans="1:32" ht="15.75" customHeight="1" x14ac:dyDescent="0.15">
      <c r="A244" s="30">
        <v>238</v>
      </c>
      <c r="B244" s="31" t="s">
        <v>2924</v>
      </c>
      <c r="C244" s="49" t="s">
        <v>2655</v>
      </c>
      <c r="D244" s="30">
        <v>3.07</v>
      </c>
      <c r="E244" s="30">
        <v>10</v>
      </c>
      <c r="F244" s="30">
        <v>0</v>
      </c>
      <c r="G244" s="30">
        <v>0</v>
      </c>
      <c r="H244" s="30">
        <v>0</v>
      </c>
      <c r="I244" s="30">
        <v>1</v>
      </c>
      <c r="J244" s="30">
        <v>1</v>
      </c>
      <c r="K244" s="30">
        <v>0</v>
      </c>
      <c r="L244" s="30">
        <v>0</v>
      </c>
      <c r="M244" s="30">
        <v>0</v>
      </c>
      <c r="N244" s="30">
        <v>0</v>
      </c>
      <c r="O244" s="30">
        <v>56</v>
      </c>
      <c r="P244" s="33">
        <v>14.2</v>
      </c>
      <c r="Q244" s="30">
        <v>12</v>
      </c>
      <c r="R244" s="30">
        <v>3</v>
      </c>
      <c r="S244" s="30">
        <v>2</v>
      </c>
      <c r="T244" s="30">
        <v>1</v>
      </c>
      <c r="U244" s="30">
        <v>0</v>
      </c>
      <c r="V244" s="30">
        <v>14</v>
      </c>
      <c r="W244" s="30">
        <v>0</v>
      </c>
      <c r="X244" s="30">
        <v>0</v>
      </c>
      <c r="Y244" s="30">
        <v>5</v>
      </c>
      <c r="Z244" s="30">
        <v>5</v>
      </c>
      <c r="AA244" s="23" t="s">
        <v>15</v>
      </c>
      <c r="AB244" s="23" t="s">
        <v>86</v>
      </c>
      <c r="AC244" s="23" t="s">
        <v>86</v>
      </c>
      <c r="AD244" s="23">
        <f t="shared" si="0"/>
        <v>0.9859154929577465</v>
      </c>
      <c r="AE244" s="23">
        <f t="shared" si="1"/>
        <v>4.105915492957747</v>
      </c>
      <c r="AF244" s="23">
        <f t="shared" si="2"/>
        <v>0.25</v>
      </c>
    </row>
    <row r="245" spans="1:32" ht="15.75" customHeight="1" x14ac:dyDescent="0.15">
      <c r="A245" s="34">
        <v>244</v>
      </c>
      <c r="B245" s="35" t="s">
        <v>2925</v>
      </c>
      <c r="C245" s="43" t="s">
        <v>2649</v>
      </c>
      <c r="D245" s="34">
        <v>3.14</v>
      </c>
      <c r="E245" s="34">
        <v>14</v>
      </c>
      <c r="F245" s="34">
        <v>1</v>
      </c>
      <c r="G245" s="34">
        <v>0</v>
      </c>
      <c r="H245" s="34">
        <v>0</v>
      </c>
      <c r="I245" s="34">
        <v>1</v>
      </c>
      <c r="J245" s="34">
        <v>2</v>
      </c>
      <c r="K245" s="34">
        <v>0</v>
      </c>
      <c r="L245" s="34">
        <v>0</v>
      </c>
      <c r="M245" s="34">
        <v>0</v>
      </c>
      <c r="N245" s="34">
        <v>1</v>
      </c>
      <c r="O245" s="34">
        <v>71</v>
      </c>
      <c r="P245" s="33">
        <v>14.1</v>
      </c>
      <c r="Q245" s="34">
        <v>19</v>
      </c>
      <c r="R245" s="34">
        <v>2</v>
      </c>
      <c r="S245" s="34">
        <v>6</v>
      </c>
      <c r="T245" s="34">
        <v>1</v>
      </c>
      <c r="U245" s="34">
        <v>2</v>
      </c>
      <c r="V245" s="34">
        <v>11</v>
      </c>
      <c r="W245" s="34">
        <v>0</v>
      </c>
      <c r="X245" s="34">
        <v>0</v>
      </c>
      <c r="Y245" s="34">
        <v>7</v>
      </c>
      <c r="Z245" s="34">
        <v>5</v>
      </c>
      <c r="AA245" s="24" t="s">
        <v>15</v>
      </c>
      <c r="AB245" s="24" t="s">
        <v>98</v>
      </c>
      <c r="AC245" s="24" t="s">
        <v>98</v>
      </c>
      <c r="AD245" s="23">
        <f t="shared" si="0"/>
        <v>1.773049645390071</v>
      </c>
      <c r="AE245" s="23">
        <f t="shared" si="1"/>
        <v>4.8930496453900716</v>
      </c>
      <c r="AF245" s="23">
        <f t="shared" si="2"/>
        <v>0.34693877551020408</v>
      </c>
    </row>
    <row r="246" spans="1:32" ht="15.75" customHeight="1" x14ac:dyDescent="0.15">
      <c r="A246" s="30">
        <v>245</v>
      </c>
      <c r="B246" s="31" t="s">
        <v>2926</v>
      </c>
      <c r="C246" s="53" t="s">
        <v>198</v>
      </c>
      <c r="D246" s="30">
        <v>6.43</v>
      </c>
      <c r="E246" s="30">
        <v>16</v>
      </c>
      <c r="F246" s="30">
        <v>0</v>
      </c>
      <c r="G246" s="30">
        <v>1</v>
      </c>
      <c r="H246" s="30">
        <v>0</v>
      </c>
      <c r="I246" s="30">
        <v>3</v>
      </c>
      <c r="J246" s="30">
        <v>3</v>
      </c>
      <c r="K246" s="30">
        <v>0</v>
      </c>
      <c r="L246" s="30">
        <v>0</v>
      </c>
      <c r="M246" s="30">
        <v>0</v>
      </c>
      <c r="N246" s="30">
        <v>0</v>
      </c>
      <c r="O246" s="30">
        <v>66</v>
      </c>
      <c r="P246" s="33">
        <v>14</v>
      </c>
      <c r="Q246" s="30">
        <v>16</v>
      </c>
      <c r="R246" s="30">
        <v>2</v>
      </c>
      <c r="S246" s="30">
        <v>8</v>
      </c>
      <c r="T246" s="30">
        <v>1</v>
      </c>
      <c r="U246" s="30">
        <v>1</v>
      </c>
      <c r="V246" s="30">
        <v>13</v>
      </c>
      <c r="W246" s="30">
        <v>1</v>
      </c>
      <c r="X246" s="30">
        <v>0</v>
      </c>
      <c r="Y246" s="30">
        <v>10</v>
      </c>
      <c r="Z246" s="30">
        <v>10</v>
      </c>
      <c r="AA246" s="23" t="s">
        <v>15</v>
      </c>
      <c r="AB246" s="23" t="s">
        <v>72</v>
      </c>
      <c r="AC246" s="23" t="s">
        <v>72</v>
      </c>
      <c r="AD246" s="23">
        <f t="shared" si="0"/>
        <v>1.7142857142857142</v>
      </c>
      <c r="AE246" s="23">
        <f t="shared" si="1"/>
        <v>4.8342857142857145</v>
      </c>
      <c r="AF246" s="23">
        <f t="shared" si="2"/>
        <v>0.34146341463414637</v>
      </c>
    </row>
    <row r="247" spans="1:32" ht="15.75" customHeight="1" x14ac:dyDescent="0.15">
      <c r="A247" s="34">
        <v>245</v>
      </c>
      <c r="B247" s="35" t="s">
        <v>2927</v>
      </c>
      <c r="C247" s="36" t="s">
        <v>2646</v>
      </c>
      <c r="D247" s="34">
        <v>4.5</v>
      </c>
      <c r="E247" s="34">
        <v>14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57</v>
      </c>
      <c r="P247" s="33">
        <v>14</v>
      </c>
      <c r="Q247" s="34">
        <v>14</v>
      </c>
      <c r="R247" s="34">
        <v>2</v>
      </c>
      <c r="S247" s="34">
        <v>3</v>
      </c>
      <c r="T247" s="34">
        <v>0</v>
      </c>
      <c r="U247" s="34">
        <v>0</v>
      </c>
      <c r="V247" s="34">
        <v>10</v>
      </c>
      <c r="W247" s="34">
        <v>0</v>
      </c>
      <c r="X247" s="34">
        <v>0</v>
      </c>
      <c r="Y247" s="34">
        <v>7</v>
      </c>
      <c r="Z247" s="34">
        <v>7</v>
      </c>
      <c r="AA247" s="24" t="s">
        <v>14</v>
      </c>
      <c r="AB247" s="24" t="s">
        <v>47</v>
      </c>
      <c r="AC247" s="24" t="s">
        <v>47</v>
      </c>
      <c r="AD247" s="23">
        <f t="shared" si="0"/>
        <v>1.2142857142857142</v>
      </c>
      <c r="AE247" s="23">
        <f t="shared" si="1"/>
        <v>4.1914285714285713</v>
      </c>
      <c r="AF247" s="23">
        <f t="shared" si="2"/>
        <v>0.2857142857142857</v>
      </c>
    </row>
    <row r="248" spans="1:32" ht="15.75" customHeight="1" x14ac:dyDescent="0.15">
      <c r="A248" s="30">
        <v>245</v>
      </c>
      <c r="B248" s="31" t="s">
        <v>2928</v>
      </c>
      <c r="C248" s="46" t="s">
        <v>2648</v>
      </c>
      <c r="D248" s="30">
        <v>6.43</v>
      </c>
      <c r="E248" s="30">
        <v>12</v>
      </c>
      <c r="F248" s="30">
        <v>0</v>
      </c>
      <c r="G248" s="30">
        <v>0</v>
      </c>
      <c r="H248" s="30">
        <v>0</v>
      </c>
      <c r="I248" s="30">
        <v>2</v>
      </c>
      <c r="J248" s="30">
        <v>2</v>
      </c>
      <c r="K248" s="30">
        <v>0</v>
      </c>
      <c r="L248" s="30">
        <v>0</v>
      </c>
      <c r="M248" s="30">
        <v>0</v>
      </c>
      <c r="N248" s="30">
        <v>0</v>
      </c>
      <c r="O248" s="30">
        <v>68</v>
      </c>
      <c r="P248" s="33">
        <v>14</v>
      </c>
      <c r="Q248" s="30">
        <v>19</v>
      </c>
      <c r="R248" s="30">
        <v>3</v>
      </c>
      <c r="S248" s="30">
        <v>9</v>
      </c>
      <c r="T248" s="30">
        <v>1</v>
      </c>
      <c r="U248" s="30">
        <v>0</v>
      </c>
      <c r="V248" s="30">
        <v>8</v>
      </c>
      <c r="W248" s="30">
        <v>2</v>
      </c>
      <c r="X248" s="30">
        <v>0</v>
      </c>
      <c r="Y248" s="30">
        <v>10</v>
      </c>
      <c r="Z248" s="30">
        <v>10</v>
      </c>
      <c r="AA248" s="23" t="s">
        <v>15</v>
      </c>
      <c r="AB248" s="23" t="s">
        <v>90</v>
      </c>
      <c r="AC248" s="23" t="s">
        <v>90</v>
      </c>
      <c r="AD248" s="23">
        <f t="shared" si="0"/>
        <v>2</v>
      </c>
      <c r="AE248" s="23">
        <f t="shared" si="1"/>
        <v>6.4771428571428569</v>
      </c>
      <c r="AF248" s="23">
        <f t="shared" si="2"/>
        <v>0.34042553191489361</v>
      </c>
    </row>
    <row r="249" spans="1:32" ht="15.75" customHeight="1" x14ac:dyDescent="0.15">
      <c r="A249" s="34">
        <v>245</v>
      </c>
      <c r="B249" s="35" t="s">
        <v>2929</v>
      </c>
      <c r="C249" s="56" t="s">
        <v>2653</v>
      </c>
      <c r="D249" s="34">
        <v>7.71</v>
      </c>
      <c r="E249" s="34">
        <v>3</v>
      </c>
      <c r="F249" s="34">
        <v>1</v>
      </c>
      <c r="G249" s="34">
        <v>2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0.33300000000000002</v>
      </c>
      <c r="O249" s="34">
        <v>66</v>
      </c>
      <c r="P249" s="33">
        <v>14</v>
      </c>
      <c r="Q249" s="34">
        <v>17</v>
      </c>
      <c r="R249" s="34">
        <v>2</v>
      </c>
      <c r="S249" s="34">
        <v>8</v>
      </c>
      <c r="T249" s="34">
        <v>0</v>
      </c>
      <c r="U249" s="34">
        <v>0</v>
      </c>
      <c r="V249" s="34">
        <v>11</v>
      </c>
      <c r="W249" s="34">
        <v>0</v>
      </c>
      <c r="X249" s="34">
        <v>0</v>
      </c>
      <c r="Y249" s="34">
        <v>13</v>
      </c>
      <c r="Z249" s="34">
        <v>12</v>
      </c>
      <c r="AA249" s="24" t="s">
        <v>15</v>
      </c>
      <c r="AB249" s="24" t="s">
        <v>72</v>
      </c>
      <c r="AC249" s="24" t="s">
        <v>57</v>
      </c>
      <c r="AD249" s="23">
        <f t="shared" si="0"/>
        <v>1.7857142857142858</v>
      </c>
      <c r="AE249" s="23">
        <f t="shared" si="1"/>
        <v>5.12</v>
      </c>
      <c r="AF249" s="23">
        <f t="shared" si="2"/>
        <v>0.33333333333333331</v>
      </c>
    </row>
    <row r="250" spans="1:32" ht="15.75" customHeight="1" x14ac:dyDescent="0.15">
      <c r="A250" s="30">
        <v>249</v>
      </c>
      <c r="B250" s="31" t="s">
        <v>2930</v>
      </c>
      <c r="C250" s="32" t="s">
        <v>2645</v>
      </c>
      <c r="D250" s="30">
        <v>9.2200000000000006</v>
      </c>
      <c r="E250" s="30">
        <v>9</v>
      </c>
      <c r="F250" s="30">
        <v>0</v>
      </c>
      <c r="G250" s="30">
        <v>2</v>
      </c>
      <c r="H250" s="30">
        <v>0</v>
      </c>
      <c r="I250" s="30">
        <v>1</v>
      </c>
      <c r="J250" s="30">
        <v>1</v>
      </c>
      <c r="K250" s="30">
        <v>0</v>
      </c>
      <c r="L250" s="30">
        <v>0</v>
      </c>
      <c r="M250" s="30">
        <v>0</v>
      </c>
      <c r="N250" s="30">
        <v>0</v>
      </c>
      <c r="O250" s="30">
        <v>70</v>
      </c>
      <c r="P250" s="33">
        <v>13.2</v>
      </c>
      <c r="Q250" s="30">
        <v>20</v>
      </c>
      <c r="R250" s="30">
        <v>3</v>
      </c>
      <c r="S250" s="30">
        <v>7</v>
      </c>
      <c r="T250" s="30">
        <v>0</v>
      </c>
      <c r="U250" s="30">
        <v>1</v>
      </c>
      <c r="V250" s="30">
        <v>15</v>
      </c>
      <c r="W250" s="30">
        <v>0</v>
      </c>
      <c r="X250" s="30">
        <v>0</v>
      </c>
      <c r="Y250" s="30">
        <v>15</v>
      </c>
      <c r="Z250" s="30">
        <v>14</v>
      </c>
      <c r="AA250" s="23" t="s">
        <v>15</v>
      </c>
      <c r="AB250" s="23" t="s">
        <v>72</v>
      </c>
      <c r="AC250" s="23" t="s">
        <v>72</v>
      </c>
      <c r="AD250" s="23">
        <f t="shared" si="0"/>
        <v>2.0454545454545454</v>
      </c>
      <c r="AE250" s="23">
        <f t="shared" si="1"/>
        <v>5.62</v>
      </c>
      <c r="AF250" s="23">
        <f t="shared" si="2"/>
        <v>0.38636363636363635</v>
      </c>
    </row>
    <row r="251" spans="1:32" ht="15.75" customHeight="1" x14ac:dyDescent="0.15">
      <c r="A251" s="34">
        <v>250</v>
      </c>
      <c r="B251" s="35" t="s">
        <v>2931</v>
      </c>
      <c r="C251" s="42" t="s">
        <v>2652</v>
      </c>
      <c r="D251" s="34">
        <v>7.43</v>
      </c>
      <c r="E251" s="34">
        <v>16</v>
      </c>
      <c r="F251" s="34">
        <v>1</v>
      </c>
      <c r="G251" s="34">
        <v>2</v>
      </c>
      <c r="H251" s="34">
        <v>0</v>
      </c>
      <c r="I251" s="34">
        <v>1</v>
      </c>
      <c r="J251" s="34">
        <v>2</v>
      </c>
      <c r="K251" s="34">
        <v>0</v>
      </c>
      <c r="L251" s="34">
        <v>0</v>
      </c>
      <c r="M251" s="34">
        <v>0</v>
      </c>
      <c r="N251" s="34">
        <v>0.33300000000000002</v>
      </c>
      <c r="O251" s="34">
        <v>69</v>
      </c>
      <c r="P251" s="33">
        <v>13.1</v>
      </c>
      <c r="Q251" s="34">
        <v>16</v>
      </c>
      <c r="R251" s="34">
        <v>3</v>
      </c>
      <c r="S251" s="34">
        <v>7</v>
      </c>
      <c r="T251" s="34">
        <v>0</v>
      </c>
      <c r="U251" s="34">
        <v>4</v>
      </c>
      <c r="V251" s="34">
        <v>8</v>
      </c>
      <c r="W251" s="34">
        <v>1</v>
      </c>
      <c r="X251" s="34">
        <v>0</v>
      </c>
      <c r="Y251" s="34">
        <v>14</v>
      </c>
      <c r="Z251" s="34">
        <v>11</v>
      </c>
      <c r="AA251" s="24" t="s">
        <v>15</v>
      </c>
      <c r="AB251" s="24" t="s">
        <v>37</v>
      </c>
      <c r="AC251" s="24" t="s">
        <v>37</v>
      </c>
      <c r="AD251" s="23">
        <f t="shared" si="0"/>
        <v>1.7557251908396947</v>
      </c>
      <c r="AE251" s="23">
        <f t="shared" si="1"/>
        <v>7.3948091603053436</v>
      </c>
      <c r="AF251" s="23">
        <f t="shared" si="2"/>
        <v>0.27659574468085107</v>
      </c>
    </row>
    <row r="252" spans="1:32" ht="15.75" customHeight="1" x14ac:dyDescent="0.15">
      <c r="A252" s="30">
        <v>250</v>
      </c>
      <c r="B252" s="31" t="s">
        <v>2932</v>
      </c>
      <c r="C252" s="54" t="s">
        <v>2650</v>
      </c>
      <c r="D252" s="30">
        <v>2.7</v>
      </c>
      <c r="E252" s="30">
        <v>10</v>
      </c>
      <c r="F252" s="30">
        <v>0</v>
      </c>
      <c r="G252" s="30">
        <v>0</v>
      </c>
      <c r="H252" s="30">
        <v>0</v>
      </c>
      <c r="I252" s="30">
        <v>2</v>
      </c>
      <c r="J252" s="30">
        <v>2</v>
      </c>
      <c r="K252" s="30">
        <v>0</v>
      </c>
      <c r="L252" s="30">
        <v>0</v>
      </c>
      <c r="M252" s="30">
        <v>0</v>
      </c>
      <c r="N252" s="30">
        <v>0</v>
      </c>
      <c r="O252" s="30">
        <v>54</v>
      </c>
      <c r="P252" s="33">
        <v>13.1</v>
      </c>
      <c r="Q252" s="30">
        <v>13</v>
      </c>
      <c r="R252" s="30">
        <v>3</v>
      </c>
      <c r="S252" s="30">
        <v>2</v>
      </c>
      <c r="T252" s="30">
        <v>0</v>
      </c>
      <c r="U252" s="30">
        <v>0</v>
      </c>
      <c r="V252" s="30">
        <v>14</v>
      </c>
      <c r="W252" s="30">
        <v>0</v>
      </c>
      <c r="X252" s="30">
        <v>0</v>
      </c>
      <c r="Y252" s="30">
        <v>5</v>
      </c>
      <c r="Z252" s="30">
        <v>4</v>
      </c>
      <c r="AA252" s="23" t="s">
        <v>15</v>
      </c>
      <c r="AB252" s="23" t="s">
        <v>27</v>
      </c>
      <c r="AC252" s="23" t="s">
        <v>27</v>
      </c>
      <c r="AD252" s="23">
        <f t="shared" si="0"/>
        <v>1.1450381679389314</v>
      </c>
      <c r="AE252" s="23">
        <f t="shared" si="1"/>
        <v>4.4177099236641224</v>
      </c>
      <c r="AF252" s="23">
        <f t="shared" si="2"/>
        <v>0.2857142857142857</v>
      </c>
    </row>
    <row r="253" spans="1:32" ht="15.75" customHeight="1" x14ac:dyDescent="0.15">
      <c r="A253" s="34">
        <v>250</v>
      </c>
      <c r="B253" s="35" t="s">
        <v>2933</v>
      </c>
      <c r="C253" s="36" t="s">
        <v>2646</v>
      </c>
      <c r="D253" s="34">
        <v>2.0299999999999998</v>
      </c>
      <c r="E253" s="34">
        <v>8</v>
      </c>
      <c r="F253" s="34">
        <v>0</v>
      </c>
      <c r="G253" s="34">
        <v>1</v>
      </c>
      <c r="H253" s="34">
        <v>0</v>
      </c>
      <c r="I253" s="34">
        <v>2</v>
      </c>
      <c r="J253" s="34">
        <v>2</v>
      </c>
      <c r="K253" s="34">
        <v>0</v>
      </c>
      <c r="L253" s="34">
        <v>0</v>
      </c>
      <c r="M253" s="34">
        <v>0</v>
      </c>
      <c r="N253" s="34">
        <v>0</v>
      </c>
      <c r="O253" s="34">
        <v>59</v>
      </c>
      <c r="P253" s="33">
        <v>13.1</v>
      </c>
      <c r="Q253" s="34">
        <v>13</v>
      </c>
      <c r="R253" s="34">
        <v>2</v>
      </c>
      <c r="S253" s="34">
        <v>5</v>
      </c>
      <c r="T253" s="34">
        <v>0</v>
      </c>
      <c r="U253" s="34">
        <v>2</v>
      </c>
      <c r="V253" s="34">
        <v>14</v>
      </c>
      <c r="W253" s="34">
        <v>0</v>
      </c>
      <c r="X253" s="34">
        <v>0</v>
      </c>
      <c r="Y253" s="34">
        <v>3</v>
      </c>
      <c r="Z253" s="34">
        <v>3</v>
      </c>
      <c r="AA253" s="24" t="s">
        <v>15</v>
      </c>
      <c r="AB253" s="24" t="s">
        <v>80</v>
      </c>
      <c r="AC253" s="24" t="s">
        <v>80</v>
      </c>
      <c r="AD253" s="23">
        <f t="shared" si="0"/>
        <v>1.3740458015267176</v>
      </c>
      <c r="AE253" s="23">
        <f t="shared" si="1"/>
        <v>4.5703816793893131</v>
      </c>
      <c r="AF253" s="23">
        <f t="shared" si="2"/>
        <v>0.30555555555555558</v>
      </c>
    </row>
    <row r="254" spans="1:32" ht="15.75" customHeight="1" x14ac:dyDescent="0.15">
      <c r="A254" s="30">
        <v>250</v>
      </c>
      <c r="B254" s="31" t="s">
        <v>2934</v>
      </c>
      <c r="C254" s="46" t="s">
        <v>2648</v>
      </c>
      <c r="D254" s="30">
        <v>4.05</v>
      </c>
      <c r="E254" s="30">
        <v>3</v>
      </c>
      <c r="F254" s="30">
        <v>1</v>
      </c>
      <c r="G254" s="30">
        <v>1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0.5</v>
      </c>
      <c r="O254" s="30">
        <v>63</v>
      </c>
      <c r="P254" s="33">
        <v>13.1</v>
      </c>
      <c r="Q254" s="30">
        <v>20</v>
      </c>
      <c r="R254" s="30">
        <v>1</v>
      </c>
      <c r="S254" s="30">
        <v>3</v>
      </c>
      <c r="T254" s="30">
        <v>0</v>
      </c>
      <c r="U254" s="30">
        <v>0</v>
      </c>
      <c r="V254" s="30">
        <v>17</v>
      </c>
      <c r="W254" s="30">
        <v>0</v>
      </c>
      <c r="X254" s="30">
        <v>0</v>
      </c>
      <c r="Y254" s="30">
        <v>12</v>
      </c>
      <c r="Z254" s="30">
        <v>6</v>
      </c>
      <c r="AA254" s="23" t="s">
        <v>15</v>
      </c>
      <c r="AB254" s="23" t="s">
        <v>47</v>
      </c>
      <c r="AC254" s="23" t="s">
        <v>47</v>
      </c>
      <c r="AD254" s="23">
        <f t="shared" si="0"/>
        <v>1.7557251908396947</v>
      </c>
      <c r="AE254" s="23">
        <f t="shared" si="1"/>
        <v>2.2039694656488553</v>
      </c>
      <c r="AF254" s="23">
        <f t="shared" si="2"/>
        <v>0.45238095238095238</v>
      </c>
    </row>
    <row r="255" spans="1:32" ht="15.75" customHeight="1" x14ac:dyDescent="0.15">
      <c r="A255" s="34">
        <v>254</v>
      </c>
      <c r="B255" s="35" t="s">
        <v>2935</v>
      </c>
      <c r="C255" s="45" t="s">
        <v>2651</v>
      </c>
      <c r="D255" s="34">
        <v>0</v>
      </c>
      <c r="E255" s="34">
        <v>15</v>
      </c>
      <c r="F255" s="34">
        <v>1</v>
      </c>
      <c r="G255" s="34">
        <v>0</v>
      </c>
      <c r="H255" s="34">
        <v>0</v>
      </c>
      <c r="I255" s="34">
        <v>5</v>
      </c>
      <c r="J255" s="34">
        <v>6</v>
      </c>
      <c r="K255" s="34">
        <v>0</v>
      </c>
      <c r="L255" s="34">
        <v>0</v>
      </c>
      <c r="M255" s="34">
        <v>0</v>
      </c>
      <c r="N255" s="34">
        <v>1</v>
      </c>
      <c r="O255" s="34">
        <v>49</v>
      </c>
      <c r="P255" s="33">
        <v>13</v>
      </c>
      <c r="Q255" s="34">
        <v>6</v>
      </c>
      <c r="R255" s="34">
        <v>0</v>
      </c>
      <c r="S255" s="34">
        <v>5</v>
      </c>
      <c r="T255" s="34">
        <v>0</v>
      </c>
      <c r="U255" s="34">
        <v>1</v>
      </c>
      <c r="V255" s="34">
        <v>20</v>
      </c>
      <c r="W255" s="34">
        <v>2</v>
      </c>
      <c r="X255" s="34">
        <v>0</v>
      </c>
      <c r="Y255" s="34">
        <v>0</v>
      </c>
      <c r="Z255" s="34">
        <v>0</v>
      </c>
      <c r="AA255" s="24" t="s">
        <v>15</v>
      </c>
      <c r="AB255" s="24" t="s">
        <v>57</v>
      </c>
      <c r="AC255" s="24" t="s">
        <v>57</v>
      </c>
      <c r="AD255" s="23">
        <f t="shared" si="0"/>
        <v>0.84615384615384615</v>
      </c>
      <c r="AE255" s="23">
        <f t="shared" si="1"/>
        <v>1.4276923076923078</v>
      </c>
      <c r="AF255" s="23">
        <f t="shared" si="2"/>
        <v>0.2608695652173913</v>
      </c>
    </row>
    <row r="256" spans="1:32" ht="15.75" customHeight="1" x14ac:dyDescent="0.15">
      <c r="A256" s="30">
        <v>254</v>
      </c>
      <c r="B256" s="31" t="s">
        <v>2944</v>
      </c>
      <c r="C256" s="32" t="s">
        <v>2645</v>
      </c>
      <c r="D256" s="30">
        <v>0.69</v>
      </c>
      <c r="E256" s="30">
        <v>13</v>
      </c>
      <c r="F256" s="30">
        <v>1</v>
      </c>
      <c r="G256" s="30">
        <v>0</v>
      </c>
      <c r="H256" s="30">
        <v>0</v>
      </c>
      <c r="I256" s="30">
        <v>4</v>
      </c>
      <c r="J256" s="30">
        <v>5</v>
      </c>
      <c r="K256" s="30">
        <v>0</v>
      </c>
      <c r="L256" s="30">
        <v>0</v>
      </c>
      <c r="M256" s="30">
        <v>0</v>
      </c>
      <c r="N256" s="30">
        <v>1</v>
      </c>
      <c r="O256" s="30">
        <v>46</v>
      </c>
      <c r="P256" s="33">
        <v>13</v>
      </c>
      <c r="Q256" s="30">
        <v>7</v>
      </c>
      <c r="R256" s="30">
        <v>1</v>
      </c>
      <c r="S256" s="30">
        <v>2</v>
      </c>
      <c r="T256" s="30">
        <v>1</v>
      </c>
      <c r="U256" s="30">
        <v>0</v>
      </c>
      <c r="V256" s="30">
        <v>17</v>
      </c>
      <c r="W256" s="30">
        <v>0</v>
      </c>
      <c r="X256" s="30">
        <v>0</v>
      </c>
      <c r="Y256" s="30">
        <v>1</v>
      </c>
      <c r="Z256" s="30">
        <v>1</v>
      </c>
      <c r="AA256" s="23" t="s">
        <v>15</v>
      </c>
      <c r="AB256" s="23" t="s">
        <v>86</v>
      </c>
      <c r="AC256" s="23" t="s">
        <v>86</v>
      </c>
      <c r="AD256" s="23">
        <f t="shared" si="0"/>
        <v>0.69230769230769229</v>
      </c>
      <c r="AE256" s="23">
        <f t="shared" si="1"/>
        <v>1.7353846153846155</v>
      </c>
      <c r="AF256" s="23">
        <f t="shared" si="2"/>
        <v>0.24</v>
      </c>
    </row>
    <row r="257" spans="1:32" ht="15.75" customHeight="1" x14ac:dyDescent="0.15">
      <c r="A257" s="34">
        <v>254</v>
      </c>
      <c r="B257" s="35" t="s">
        <v>2936</v>
      </c>
      <c r="C257" s="56" t="s">
        <v>2653</v>
      </c>
      <c r="D257" s="34">
        <v>5.54</v>
      </c>
      <c r="E257" s="34">
        <v>12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  <c r="N257" s="34">
        <v>0</v>
      </c>
      <c r="O257" s="34">
        <v>58</v>
      </c>
      <c r="P257" s="33">
        <v>13</v>
      </c>
      <c r="Q257" s="34">
        <v>12</v>
      </c>
      <c r="R257" s="34">
        <v>2</v>
      </c>
      <c r="S257" s="34">
        <v>4</v>
      </c>
      <c r="T257" s="34">
        <v>0</v>
      </c>
      <c r="U257" s="34">
        <v>3</v>
      </c>
      <c r="V257" s="34">
        <v>9</v>
      </c>
      <c r="W257" s="34">
        <v>1</v>
      </c>
      <c r="X257" s="34">
        <v>0</v>
      </c>
      <c r="Y257" s="34">
        <v>8</v>
      </c>
      <c r="Z257" s="34">
        <v>8</v>
      </c>
      <c r="AA257" s="24" t="s">
        <v>15</v>
      </c>
      <c r="AB257" s="24" t="s">
        <v>27</v>
      </c>
      <c r="AC257" s="24" t="s">
        <v>27</v>
      </c>
      <c r="AD257" s="23">
        <f t="shared" ref="AD257:AD373" si="3">(Q257+S257)/P257</f>
        <v>1.2307692307692308</v>
      </c>
      <c r="AE257" s="23">
        <f t="shared" ref="AE257:AE373" si="4">(13*R257+3*(S257-T257+U257)-2*V257)/P257+3.12</f>
        <v>5.3507692307692309</v>
      </c>
      <c r="AF257" s="23">
        <f t="shared" ref="AF257:AF373" si="5">(Q257-R257)/(O257-S257-T257-U257-V257-R257)</f>
        <v>0.25</v>
      </c>
    </row>
    <row r="258" spans="1:32" ht="15.75" customHeight="1" x14ac:dyDescent="0.15">
      <c r="A258" s="30">
        <v>254</v>
      </c>
      <c r="B258" s="31" t="s">
        <v>2937</v>
      </c>
      <c r="C258" s="46" t="s">
        <v>2648</v>
      </c>
      <c r="D258" s="30">
        <v>9</v>
      </c>
      <c r="E258" s="30">
        <v>8</v>
      </c>
      <c r="F258" s="30">
        <v>0</v>
      </c>
      <c r="G258" s="30">
        <v>1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63</v>
      </c>
      <c r="P258" s="33">
        <v>13</v>
      </c>
      <c r="Q258" s="30">
        <v>22</v>
      </c>
      <c r="R258" s="30">
        <v>0</v>
      </c>
      <c r="S258" s="30">
        <v>5</v>
      </c>
      <c r="T258" s="30">
        <v>1</v>
      </c>
      <c r="U258" s="30">
        <v>0</v>
      </c>
      <c r="V258" s="30">
        <v>8</v>
      </c>
      <c r="W258" s="30">
        <v>0</v>
      </c>
      <c r="X258" s="30">
        <v>0</v>
      </c>
      <c r="Y258" s="30">
        <v>13</v>
      </c>
      <c r="Z258" s="30">
        <v>13</v>
      </c>
      <c r="AA258" s="23" t="s">
        <v>15</v>
      </c>
      <c r="AB258" s="23" t="s">
        <v>99</v>
      </c>
      <c r="AC258" s="23" t="s">
        <v>99</v>
      </c>
      <c r="AD258" s="23">
        <f t="shared" si="3"/>
        <v>2.0769230769230771</v>
      </c>
      <c r="AE258" s="23">
        <f t="shared" si="4"/>
        <v>2.8123076923076926</v>
      </c>
      <c r="AF258" s="23">
        <f t="shared" si="5"/>
        <v>0.44897959183673469</v>
      </c>
    </row>
    <row r="259" spans="1:32" ht="15.75" customHeight="1" x14ac:dyDescent="0.15">
      <c r="A259" s="34">
        <v>254</v>
      </c>
      <c r="B259" s="35" t="s">
        <v>2938</v>
      </c>
      <c r="C259" s="42" t="s">
        <v>2652</v>
      </c>
      <c r="D259" s="34">
        <v>6.92</v>
      </c>
      <c r="E259" s="34">
        <v>5</v>
      </c>
      <c r="F259" s="34">
        <v>0</v>
      </c>
      <c r="G259" s="34">
        <v>1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62</v>
      </c>
      <c r="P259" s="33">
        <v>13</v>
      </c>
      <c r="Q259" s="34">
        <v>15</v>
      </c>
      <c r="R259" s="34">
        <v>3</v>
      </c>
      <c r="S259" s="34">
        <v>10</v>
      </c>
      <c r="T259" s="34">
        <v>0</v>
      </c>
      <c r="U259" s="34">
        <v>2</v>
      </c>
      <c r="V259" s="34">
        <v>5</v>
      </c>
      <c r="W259" s="34">
        <v>0</v>
      </c>
      <c r="X259" s="34">
        <v>0</v>
      </c>
      <c r="Y259" s="34">
        <v>10</v>
      </c>
      <c r="Z259" s="34">
        <v>10</v>
      </c>
      <c r="AA259" s="24" t="s">
        <v>15</v>
      </c>
      <c r="AB259" s="24" t="s">
        <v>37</v>
      </c>
      <c r="AC259" s="24" t="s">
        <v>37</v>
      </c>
      <c r="AD259" s="23">
        <f t="shared" si="3"/>
        <v>1.9230769230769231</v>
      </c>
      <c r="AE259" s="23">
        <f t="shared" si="4"/>
        <v>8.120000000000001</v>
      </c>
      <c r="AF259" s="23">
        <f t="shared" si="5"/>
        <v>0.2857142857142857</v>
      </c>
    </row>
    <row r="260" spans="1:32" ht="15.75" customHeight="1" x14ac:dyDescent="0.15">
      <c r="A260" s="30">
        <v>259</v>
      </c>
      <c r="B260" s="31" t="s">
        <v>2939</v>
      </c>
      <c r="C260" s="46" t="s">
        <v>2648</v>
      </c>
      <c r="D260" s="30">
        <v>2.13</v>
      </c>
      <c r="E260" s="30">
        <v>13</v>
      </c>
      <c r="F260" s="30">
        <v>0</v>
      </c>
      <c r="G260" s="30">
        <v>0</v>
      </c>
      <c r="H260" s="30">
        <v>0</v>
      </c>
      <c r="I260" s="30">
        <v>2</v>
      </c>
      <c r="J260" s="30">
        <v>2</v>
      </c>
      <c r="K260" s="30">
        <v>0</v>
      </c>
      <c r="L260" s="30">
        <v>0</v>
      </c>
      <c r="M260" s="30">
        <v>0</v>
      </c>
      <c r="N260" s="30">
        <v>0</v>
      </c>
      <c r="O260" s="30">
        <v>50</v>
      </c>
      <c r="P260" s="33">
        <v>12.2</v>
      </c>
      <c r="Q260" s="30">
        <v>6</v>
      </c>
      <c r="R260" s="30">
        <v>0</v>
      </c>
      <c r="S260" s="30">
        <v>5</v>
      </c>
      <c r="T260" s="30">
        <v>0</v>
      </c>
      <c r="U260" s="30">
        <v>1</v>
      </c>
      <c r="V260" s="30">
        <v>12</v>
      </c>
      <c r="W260" s="30">
        <v>0</v>
      </c>
      <c r="X260" s="30">
        <v>0</v>
      </c>
      <c r="Y260" s="30">
        <v>3</v>
      </c>
      <c r="Z260" s="30">
        <v>3</v>
      </c>
      <c r="AA260" s="23" t="s">
        <v>15</v>
      </c>
      <c r="AB260" s="23" t="s">
        <v>57</v>
      </c>
      <c r="AC260" s="23" t="s">
        <v>57</v>
      </c>
      <c r="AD260" s="23">
        <f t="shared" si="3"/>
        <v>0.90163934426229508</v>
      </c>
      <c r="AE260" s="23">
        <f t="shared" si="4"/>
        <v>2.6281967213114754</v>
      </c>
      <c r="AF260" s="23">
        <f t="shared" si="5"/>
        <v>0.1875</v>
      </c>
    </row>
    <row r="261" spans="1:32" ht="15.75" customHeight="1" x14ac:dyDescent="0.15">
      <c r="A261" s="34">
        <v>259</v>
      </c>
      <c r="B261" s="35" t="s">
        <v>2940</v>
      </c>
      <c r="C261" s="36" t="s">
        <v>2646</v>
      </c>
      <c r="D261" s="34">
        <v>4.26</v>
      </c>
      <c r="E261" s="34">
        <v>12</v>
      </c>
      <c r="F261" s="34">
        <v>0</v>
      </c>
      <c r="G261" s="34">
        <v>1</v>
      </c>
      <c r="H261" s="34">
        <v>0</v>
      </c>
      <c r="I261" s="34">
        <v>1</v>
      </c>
      <c r="J261" s="34">
        <v>1</v>
      </c>
      <c r="K261" s="34">
        <v>0</v>
      </c>
      <c r="L261" s="34">
        <v>0</v>
      </c>
      <c r="M261" s="34">
        <v>0</v>
      </c>
      <c r="N261" s="34">
        <v>0</v>
      </c>
      <c r="O261" s="34">
        <v>54</v>
      </c>
      <c r="P261" s="33">
        <v>12.2</v>
      </c>
      <c r="Q261" s="34">
        <v>15</v>
      </c>
      <c r="R261" s="34">
        <v>4</v>
      </c>
      <c r="S261" s="34">
        <v>3</v>
      </c>
      <c r="T261" s="34">
        <v>0</v>
      </c>
      <c r="U261" s="34">
        <v>0</v>
      </c>
      <c r="V261" s="34">
        <v>6</v>
      </c>
      <c r="W261" s="34">
        <v>0</v>
      </c>
      <c r="X261" s="34">
        <v>0</v>
      </c>
      <c r="Y261" s="34">
        <v>6</v>
      </c>
      <c r="Z261" s="34">
        <v>6</v>
      </c>
      <c r="AA261" s="24" t="s">
        <v>15</v>
      </c>
      <c r="AB261" s="24" t="s">
        <v>37</v>
      </c>
      <c r="AC261" s="24" t="s">
        <v>37</v>
      </c>
      <c r="AD261" s="23">
        <f t="shared" si="3"/>
        <v>1.4754098360655739</v>
      </c>
      <c r="AE261" s="23">
        <f t="shared" si="4"/>
        <v>7.1363934426229507</v>
      </c>
      <c r="AF261" s="23">
        <f t="shared" si="5"/>
        <v>0.26829268292682928</v>
      </c>
    </row>
    <row r="262" spans="1:32" ht="15.75" customHeight="1" x14ac:dyDescent="0.15">
      <c r="A262" s="30">
        <v>259</v>
      </c>
      <c r="B262" s="31" t="s">
        <v>2941</v>
      </c>
      <c r="C262" s="32" t="s">
        <v>2645</v>
      </c>
      <c r="D262" s="30">
        <v>6.39</v>
      </c>
      <c r="E262" s="30">
        <v>3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1</v>
      </c>
      <c r="O262" s="30">
        <v>63</v>
      </c>
      <c r="P262" s="33">
        <v>12.2</v>
      </c>
      <c r="Q262" s="30">
        <v>18</v>
      </c>
      <c r="R262" s="30">
        <v>2</v>
      </c>
      <c r="S262" s="30">
        <v>8</v>
      </c>
      <c r="T262" s="30">
        <v>1</v>
      </c>
      <c r="U262" s="30">
        <v>0</v>
      </c>
      <c r="V262" s="30">
        <v>10</v>
      </c>
      <c r="W262" s="30">
        <v>0</v>
      </c>
      <c r="X262" s="30">
        <v>0</v>
      </c>
      <c r="Y262" s="30">
        <v>9</v>
      </c>
      <c r="Z262" s="30">
        <v>9</v>
      </c>
      <c r="AA262" s="23" t="s">
        <v>15</v>
      </c>
      <c r="AB262" s="23" t="s">
        <v>37</v>
      </c>
      <c r="AC262" s="23" t="s">
        <v>37</v>
      </c>
      <c r="AD262" s="23">
        <f t="shared" si="3"/>
        <v>2.1311475409836067</v>
      </c>
      <c r="AE262" s="23">
        <f t="shared" si="4"/>
        <v>5.3331147540983608</v>
      </c>
      <c r="AF262" s="23">
        <f t="shared" si="5"/>
        <v>0.38095238095238093</v>
      </c>
    </row>
    <row r="263" spans="1:32" ht="15.75" customHeight="1" x14ac:dyDescent="0.15">
      <c r="A263" s="34">
        <v>262</v>
      </c>
      <c r="B263" s="35" t="s">
        <v>2942</v>
      </c>
      <c r="C263" s="57" t="s">
        <v>2654</v>
      </c>
      <c r="D263" s="34">
        <v>8.0299999999999994</v>
      </c>
      <c r="E263" s="34">
        <v>13</v>
      </c>
      <c r="F263" s="34">
        <v>0</v>
      </c>
      <c r="G263" s="34">
        <v>0</v>
      </c>
      <c r="H263" s="34">
        <v>0</v>
      </c>
      <c r="I263" s="34">
        <v>2</v>
      </c>
      <c r="J263" s="34">
        <v>2</v>
      </c>
      <c r="K263" s="34">
        <v>0</v>
      </c>
      <c r="L263" s="34">
        <v>0</v>
      </c>
      <c r="M263" s="34">
        <v>0</v>
      </c>
      <c r="N263" s="34">
        <v>0</v>
      </c>
      <c r="O263" s="34">
        <v>55</v>
      </c>
      <c r="P263" s="33">
        <v>12.1</v>
      </c>
      <c r="Q263" s="34">
        <v>15</v>
      </c>
      <c r="R263" s="34">
        <v>3</v>
      </c>
      <c r="S263" s="34">
        <v>4</v>
      </c>
      <c r="T263" s="34">
        <v>0</v>
      </c>
      <c r="U263" s="34">
        <v>0</v>
      </c>
      <c r="V263" s="34">
        <v>8</v>
      </c>
      <c r="W263" s="34">
        <v>0</v>
      </c>
      <c r="X263" s="34">
        <v>0</v>
      </c>
      <c r="Y263" s="34">
        <v>11</v>
      </c>
      <c r="Z263" s="34">
        <v>11</v>
      </c>
      <c r="AA263" s="24" t="s">
        <v>15</v>
      </c>
      <c r="AB263" s="24" t="s">
        <v>57</v>
      </c>
      <c r="AC263" s="24" t="s">
        <v>57</v>
      </c>
      <c r="AD263" s="23">
        <f t="shared" si="3"/>
        <v>1.5702479338842976</v>
      </c>
      <c r="AE263" s="23">
        <f t="shared" si="4"/>
        <v>6.0125619834710751</v>
      </c>
      <c r="AF263" s="23">
        <f t="shared" si="5"/>
        <v>0.3</v>
      </c>
    </row>
    <row r="264" spans="1:32" ht="15.75" customHeight="1" x14ac:dyDescent="0.15">
      <c r="A264" s="30">
        <v>263</v>
      </c>
      <c r="B264" s="31" t="s">
        <v>2943</v>
      </c>
      <c r="C264" s="47" t="s">
        <v>2654</v>
      </c>
      <c r="D264" s="30">
        <v>5.25</v>
      </c>
      <c r="E264" s="30">
        <v>12</v>
      </c>
      <c r="F264" s="30">
        <v>0</v>
      </c>
      <c r="G264" s="30">
        <v>1</v>
      </c>
      <c r="H264" s="30">
        <v>0</v>
      </c>
      <c r="I264" s="30">
        <v>6</v>
      </c>
      <c r="J264" s="30">
        <v>6</v>
      </c>
      <c r="K264" s="30">
        <v>0</v>
      </c>
      <c r="L264" s="30">
        <v>0</v>
      </c>
      <c r="M264" s="30">
        <v>0</v>
      </c>
      <c r="N264" s="30">
        <v>0</v>
      </c>
      <c r="O264" s="30">
        <v>51</v>
      </c>
      <c r="P264" s="33">
        <v>12</v>
      </c>
      <c r="Q264" s="30">
        <v>10</v>
      </c>
      <c r="R264" s="30">
        <v>2</v>
      </c>
      <c r="S264" s="30">
        <v>7</v>
      </c>
      <c r="T264" s="30">
        <v>0</v>
      </c>
      <c r="U264" s="30">
        <v>0</v>
      </c>
      <c r="V264" s="30">
        <v>10</v>
      </c>
      <c r="W264" s="30">
        <v>2</v>
      </c>
      <c r="X264" s="30">
        <v>0</v>
      </c>
      <c r="Y264" s="30">
        <v>7</v>
      </c>
      <c r="Z264" s="30">
        <v>7</v>
      </c>
      <c r="AA264" s="23" t="s">
        <v>15</v>
      </c>
      <c r="AB264" s="23" t="s">
        <v>37</v>
      </c>
      <c r="AC264" s="23" t="s">
        <v>37</v>
      </c>
      <c r="AD264" s="23">
        <f t="shared" si="3"/>
        <v>1.4166666666666667</v>
      </c>
      <c r="AE264" s="23">
        <f t="shared" si="4"/>
        <v>5.37</v>
      </c>
      <c r="AF264" s="23">
        <f t="shared" si="5"/>
        <v>0.25</v>
      </c>
    </row>
    <row r="265" spans="1:32" ht="15.75" customHeight="1" x14ac:dyDescent="0.15">
      <c r="A265" s="34">
        <v>263</v>
      </c>
      <c r="B265" s="35" t="s">
        <v>2945</v>
      </c>
      <c r="C265" s="48" t="s">
        <v>2647</v>
      </c>
      <c r="D265" s="34">
        <v>4.5</v>
      </c>
      <c r="E265" s="34">
        <v>11</v>
      </c>
      <c r="F265" s="34">
        <v>3</v>
      </c>
      <c r="G265" s="34">
        <v>1</v>
      </c>
      <c r="H265" s="34">
        <v>0</v>
      </c>
      <c r="I265" s="34">
        <v>2</v>
      </c>
      <c r="J265" s="34">
        <v>5</v>
      </c>
      <c r="K265" s="34">
        <v>0</v>
      </c>
      <c r="L265" s="34">
        <v>0</v>
      </c>
      <c r="M265" s="34">
        <v>0</v>
      </c>
      <c r="N265" s="34">
        <v>0.75</v>
      </c>
      <c r="O265" s="34">
        <v>52</v>
      </c>
      <c r="P265" s="33">
        <v>12</v>
      </c>
      <c r="Q265" s="34">
        <v>9</v>
      </c>
      <c r="R265" s="34">
        <v>3</v>
      </c>
      <c r="S265" s="34">
        <v>5</v>
      </c>
      <c r="T265" s="34">
        <v>0</v>
      </c>
      <c r="U265" s="34">
        <v>1</v>
      </c>
      <c r="V265" s="34">
        <v>9</v>
      </c>
      <c r="W265" s="34">
        <v>3</v>
      </c>
      <c r="X265" s="34">
        <v>0</v>
      </c>
      <c r="Y265" s="34">
        <v>6</v>
      </c>
      <c r="Z265" s="34">
        <v>6</v>
      </c>
      <c r="AA265" s="24" t="s">
        <v>15</v>
      </c>
      <c r="AB265" s="24" t="s">
        <v>72</v>
      </c>
      <c r="AC265" s="24" t="s">
        <v>72</v>
      </c>
      <c r="AD265" s="23">
        <f t="shared" si="3"/>
        <v>1.1666666666666667</v>
      </c>
      <c r="AE265" s="23">
        <f t="shared" si="4"/>
        <v>6.37</v>
      </c>
      <c r="AF265" s="23">
        <f t="shared" si="5"/>
        <v>0.17647058823529413</v>
      </c>
    </row>
    <row r="266" spans="1:32" ht="15.75" customHeight="1" x14ac:dyDescent="0.15">
      <c r="A266" s="30">
        <v>263</v>
      </c>
      <c r="B266" s="31" t="s">
        <v>2734</v>
      </c>
      <c r="C266" s="49" t="s">
        <v>2655</v>
      </c>
      <c r="D266" s="30">
        <v>3</v>
      </c>
      <c r="E266" s="30">
        <v>10</v>
      </c>
      <c r="F266" s="30">
        <v>0</v>
      </c>
      <c r="G266" s="30">
        <v>2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47</v>
      </c>
      <c r="P266" s="33">
        <v>12</v>
      </c>
      <c r="Q266" s="30">
        <v>8</v>
      </c>
      <c r="R266" s="30">
        <v>2</v>
      </c>
      <c r="S266" s="30">
        <v>3</v>
      </c>
      <c r="T266" s="30">
        <v>0</v>
      </c>
      <c r="U266" s="30">
        <v>1</v>
      </c>
      <c r="V266" s="30">
        <v>19</v>
      </c>
      <c r="W266" s="30">
        <v>1</v>
      </c>
      <c r="X266" s="30">
        <v>1</v>
      </c>
      <c r="Y266" s="30">
        <v>4</v>
      </c>
      <c r="Z266" s="30">
        <v>4</v>
      </c>
      <c r="AA266" s="23" t="s">
        <v>15</v>
      </c>
      <c r="AB266" s="23" t="s">
        <v>37</v>
      </c>
      <c r="AC266" s="23" t="s">
        <v>37</v>
      </c>
      <c r="AD266" s="23">
        <f t="shared" si="3"/>
        <v>0.91666666666666663</v>
      </c>
      <c r="AE266" s="23">
        <f t="shared" si="4"/>
        <v>3.12</v>
      </c>
      <c r="AF266" s="23">
        <f t="shared" si="5"/>
        <v>0.27272727272727271</v>
      </c>
    </row>
    <row r="267" spans="1:32" ht="15.75" customHeight="1" x14ac:dyDescent="0.15">
      <c r="A267" s="34">
        <v>263</v>
      </c>
      <c r="B267" s="35" t="s">
        <v>2946</v>
      </c>
      <c r="C267" s="36" t="s">
        <v>2646</v>
      </c>
      <c r="D267" s="34">
        <v>7.5</v>
      </c>
      <c r="E267" s="34">
        <v>7</v>
      </c>
      <c r="F267" s="34">
        <v>0</v>
      </c>
      <c r="G267" s="34">
        <v>1</v>
      </c>
      <c r="H267" s="34">
        <v>0</v>
      </c>
      <c r="I267" s="34">
        <v>1</v>
      </c>
      <c r="J267" s="34">
        <v>1</v>
      </c>
      <c r="K267" s="34">
        <v>0</v>
      </c>
      <c r="L267" s="34">
        <v>0</v>
      </c>
      <c r="M267" s="34">
        <v>0</v>
      </c>
      <c r="N267" s="34">
        <v>0</v>
      </c>
      <c r="O267" s="34">
        <v>61</v>
      </c>
      <c r="P267" s="33">
        <v>12</v>
      </c>
      <c r="Q267" s="34">
        <v>15</v>
      </c>
      <c r="R267" s="34">
        <v>2</v>
      </c>
      <c r="S267" s="34">
        <v>10</v>
      </c>
      <c r="T267" s="34">
        <v>0</v>
      </c>
      <c r="U267" s="34">
        <v>0</v>
      </c>
      <c r="V267" s="34">
        <v>15</v>
      </c>
      <c r="W267" s="34">
        <v>2</v>
      </c>
      <c r="X267" s="34">
        <v>0</v>
      </c>
      <c r="Y267" s="34">
        <v>10</v>
      </c>
      <c r="Z267" s="34">
        <v>10</v>
      </c>
      <c r="AA267" s="24" t="s">
        <v>15</v>
      </c>
      <c r="AB267" s="24" t="s">
        <v>37</v>
      </c>
      <c r="AC267" s="24" t="s">
        <v>37</v>
      </c>
      <c r="AD267" s="23">
        <f t="shared" si="3"/>
        <v>2.0833333333333335</v>
      </c>
      <c r="AE267" s="23">
        <f t="shared" si="4"/>
        <v>5.2866666666666671</v>
      </c>
      <c r="AF267" s="23">
        <f t="shared" si="5"/>
        <v>0.38235294117647056</v>
      </c>
    </row>
    <row r="268" spans="1:32" ht="15.75" customHeight="1" x14ac:dyDescent="0.15">
      <c r="A268" s="30">
        <v>267</v>
      </c>
      <c r="B268" s="31" t="s">
        <v>2947</v>
      </c>
      <c r="C268" s="39" t="s">
        <v>2649</v>
      </c>
      <c r="D268" s="30">
        <v>10.8</v>
      </c>
      <c r="E268" s="30">
        <v>15</v>
      </c>
      <c r="F268" s="30">
        <v>0</v>
      </c>
      <c r="G268" s="30">
        <v>0</v>
      </c>
      <c r="H268" s="30">
        <v>0</v>
      </c>
      <c r="I268" s="30">
        <v>3</v>
      </c>
      <c r="J268" s="30">
        <v>3</v>
      </c>
      <c r="K268" s="30">
        <v>0</v>
      </c>
      <c r="L268" s="30">
        <v>0</v>
      </c>
      <c r="M268" s="30">
        <v>0</v>
      </c>
      <c r="N268" s="30">
        <v>0</v>
      </c>
      <c r="O268" s="30">
        <v>62</v>
      </c>
      <c r="P268" s="33">
        <v>11.2</v>
      </c>
      <c r="Q268" s="30">
        <v>21</v>
      </c>
      <c r="R268" s="30">
        <v>2</v>
      </c>
      <c r="S268" s="30">
        <v>6</v>
      </c>
      <c r="T268" s="30">
        <v>0</v>
      </c>
      <c r="U268" s="30">
        <v>2</v>
      </c>
      <c r="V268" s="30">
        <v>5</v>
      </c>
      <c r="W268" s="30">
        <v>1</v>
      </c>
      <c r="X268" s="30">
        <v>0</v>
      </c>
      <c r="Y268" s="30">
        <v>15</v>
      </c>
      <c r="Z268" s="30">
        <v>14</v>
      </c>
      <c r="AA268" s="23" t="s">
        <v>15</v>
      </c>
      <c r="AB268" s="23" t="s">
        <v>90</v>
      </c>
      <c r="AC268" s="23" t="s">
        <v>90</v>
      </c>
      <c r="AD268" s="23">
        <f t="shared" si="3"/>
        <v>2.410714285714286</v>
      </c>
      <c r="AE268" s="23">
        <f t="shared" si="4"/>
        <v>6.6914285714285722</v>
      </c>
      <c r="AF268" s="23">
        <f t="shared" si="5"/>
        <v>0.40425531914893614</v>
      </c>
    </row>
    <row r="269" spans="1:32" ht="15.75" customHeight="1" x14ac:dyDescent="0.15">
      <c r="A269" s="34">
        <v>267</v>
      </c>
      <c r="B269" s="35" t="s">
        <v>2958</v>
      </c>
      <c r="C269" s="58" t="s">
        <v>2645</v>
      </c>
      <c r="D269" s="34">
        <v>3.86</v>
      </c>
      <c r="E269" s="34">
        <v>12</v>
      </c>
      <c r="F269" s="34">
        <v>1</v>
      </c>
      <c r="G269" s="34">
        <v>2</v>
      </c>
      <c r="H269" s="34">
        <v>0</v>
      </c>
      <c r="I269" s="34">
        <v>2</v>
      </c>
      <c r="J269" s="34">
        <v>3</v>
      </c>
      <c r="K269" s="34">
        <v>0</v>
      </c>
      <c r="L269" s="34">
        <v>0</v>
      </c>
      <c r="M269" s="34">
        <v>0</v>
      </c>
      <c r="N269" s="34">
        <v>0.33300000000000002</v>
      </c>
      <c r="O269" s="34">
        <v>48</v>
      </c>
      <c r="P269" s="33">
        <v>11.2</v>
      </c>
      <c r="Q269" s="34">
        <v>11</v>
      </c>
      <c r="R269" s="34">
        <v>3</v>
      </c>
      <c r="S269" s="34">
        <v>4</v>
      </c>
      <c r="T269" s="34">
        <v>0</v>
      </c>
      <c r="U269" s="34">
        <v>0</v>
      </c>
      <c r="V269" s="34">
        <v>15</v>
      </c>
      <c r="W269" s="34">
        <v>0</v>
      </c>
      <c r="X269" s="34">
        <v>0</v>
      </c>
      <c r="Y269" s="34">
        <v>5</v>
      </c>
      <c r="Z269" s="34">
        <v>5</v>
      </c>
      <c r="AA269" s="24" t="s">
        <v>15</v>
      </c>
      <c r="AB269" s="24" t="s">
        <v>57</v>
      </c>
      <c r="AC269" s="24" t="s">
        <v>57</v>
      </c>
      <c r="AD269" s="23">
        <f t="shared" si="3"/>
        <v>1.3392857142857144</v>
      </c>
      <c r="AE269" s="23">
        <f t="shared" si="4"/>
        <v>4.9950000000000001</v>
      </c>
      <c r="AF269" s="23">
        <f t="shared" si="5"/>
        <v>0.30769230769230771</v>
      </c>
    </row>
    <row r="270" spans="1:32" ht="15.75" customHeight="1" x14ac:dyDescent="0.15">
      <c r="A270" s="30">
        <v>267</v>
      </c>
      <c r="B270" s="31" t="s">
        <v>2948</v>
      </c>
      <c r="C270" s="37" t="s">
        <v>2647</v>
      </c>
      <c r="D270" s="30">
        <v>6.17</v>
      </c>
      <c r="E270" s="30">
        <v>9</v>
      </c>
      <c r="F270" s="30">
        <v>0</v>
      </c>
      <c r="G270" s="30">
        <v>1</v>
      </c>
      <c r="H270" s="30">
        <v>0</v>
      </c>
      <c r="I270" s="30">
        <v>2</v>
      </c>
      <c r="J270" s="30">
        <v>2</v>
      </c>
      <c r="K270" s="30">
        <v>0</v>
      </c>
      <c r="L270" s="30">
        <v>0</v>
      </c>
      <c r="M270" s="30">
        <v>0</v>
      </c>
      <c r="N270" s="30">
        <v>0</v>
      </c>
      <c r="O270" s="30">
        <v>50</v>
      </c>
      <c r="P270" s="33">
        <v>11.2</v>
      </c>
      <c r="Q270" s="30">
        <v>13</v>
      </c>
      <c r="R270" s="30">
        <v>4</v>
      </c>
      <c r="S270" s="30">
        <v>3</v>
      </c>
      <c r="T270" s="30">
        <v>0</v>
      </c>
      <c r="U270" s="30">
        <v>0</v>
      </c>
      <c r="V270" s="30">
        <v>6</v>
      </c>
      <c r="W270" s="30">
        <v>0</v>
      </c>
      <c r="X270" s="30">
        <v>0</v>
      </c>
      <c r="Y270" s="30">
        <v>8</v>
      </c>
      <c r="Z270" s="30">
        <v>8</v>
      </c>
      <c r="AA270" s="23" t="s">
        <v>15</v>
      </c>
      <c r="AB270" s="23" t="s">
        <v>99</v>
      </c>
      <c r="AC270" s="23" t="s">
        <v>90</v>
      </c>
      <c r="AD270" s="23">
        <f t="shared" si="3"/>
        <v>1.4285714285714286</v>
      </c>
      <c r="AE270" s="23">
        <f t="shared" si="4"/>
        <v>7.4950000000000001</v>
      </c>
      <c r="AF270" s="23">
        <f t="shared" si="5"/>
        <v>0.24324324324324326</v>
      </c>
    </row>
    <row r="271" spans="1:32" ht="15.75" customHeight="1" x14ac:dyDescent="0.15">
      <c r="A271" s="34">
        <v>267</v>
      </c>
      <c r="B271" s="35" t="s">
        <v>2949</v>
      </c>
      <c r="C271" s="38" t="s">
        <v>2648</v>
      </c>
      <c r="D271" s="34">
        <v>6.94</v>
      </c>
      <c r="E271" s="34">
        <v>3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60</v>
      </c>
      <c r="P271" s="33">
        <v>11.2</v>
      </c>
      <c r="Q271" s="34">
        <v>15</v>
      </c>
      <c r="R271" s="34">
        <v>4</v>
      </c>
      <c r="S271" s="34">
        <v>13</v>
      </c>
      <c r="T271" s="34">
        <v>0</v>
      </c>
      <c r="U271" s="34">
        <v>0</v>
      </c>
      <c r="V271" s="34">
        <v>8</v>
      </c>
      <c r="W271" s="34">
        <v>0</v>
      </c>
      <c r="X271" s="34">
        <v>0</v>
      </c>
      <c r="Y271" s="34">
        <v>9</v>
      </c>
      <c r="Z271" s="34">
        <v>9</v>
      </c>
      <c r="AA271" s="24" t="s">
        <v>15</v>
      </c>
      <c r="AB271" s="24" t="s">
        <v>47</v>
      </c>
      <c r="AC271" s="24" t="s">
        <v>47</v>
      </c>
      <c r="AD271" s="23">
        <f t="shared" si="3"/>
        <v>2.5</v>
      </c>
      <c r="AE271" s="23">
        <f t="shared" si="4"/>
        <v>9.8164285714285722</v>
      </c>
      <c r="AF271" s="23">
        <f t="shared" si="5"/>
        <v>0.31428571428571428</v>
      </c>
    </row>
    <row r="272" spans="1:32" ht="15.75" customHeight="1" x14ac:dyDescent="0.15">
      <c r="A272" s="30">
        <v>271</v>
      </c>
      <c r="B272" s="31" t="s">
        <v>2950</v>
      </c>
      <c r="C272" s="46" t="s">
        <v>2648</v>
      </c>
      <c r="D272" s="30">
        <v>3.18</v>
      </c>
      <c r="E272" s="30">
        <v>15</v>
      </c>
      <c r="F272" s="30">
        <v>0</v>
      </c>
      <c r="G272" s="30">
        <v>0</v>
      </c>
      <c r="H272" s="30">
        <v>0</v>
      </c>
      <c r="I272" s="30">
        <v>3</v>
      </c>
      <c r="J272" s="30">
        <v>3</v>
      </c>
      <c r="K272" s="30">
        <v>0</v>
      </c>
      <c r="L272" s="30">
        <v>0</v>
      </c>
      <c r="M272" s="30">
        <v>0</v>
      </c>
      <c r="N272" s="30">
        <v>0</v>
      </c>
      <c r="O272" s="30">
        <v>44</v>
      </c>
      <c r="P272" s="33">
        <v>11.1</v>
      </c>
      <c r="Q272" s="30">
        <v>7</v>
      </c>
      <c r="R272" s="30">
        <v>1</v>
      </c>
      <c r="S272" s="30">
        <v>6</v>
      </c>
      <c r="T272" s="30">
        <v>0</v>
      </c>
      <c r="U272" s="30">
        <v>0</v>
      </c>
      <c r="V272" s="30">
        <v>7</v>
      </c>
      <c r="W272" s="30">
        <v>1</v>
      </c>
      <c r="X272" s="30">
        <v>0</v>
      </c>
      <c r="Y272" s="30">
        <v>4</v>
      </c>
      <c r="Z272" s="30">
        <v>4</v>
      </c>
      <c r="AA272" s="23" t="s">
        <v>15</v>
      </c>
      <c r="AB272" s="23" t="s">
        <v>14</v>
      </c>
      <c r="AC272" s="23" t="s">
        <v>14</v>
      </c>
      <c r="AD272" s="23">
        <f t="shared" si="3"/>
        <v>1.1711711711711712</v>
      </c>
      <c r="AE272" s="23">
        <f t="shared" si="4"/>
        <v>4.651531531531532</v>
      </c>
      <c r="AF272" s="23">
        <f t="shared" si="5"/>
        <v>0.2</v>
      </c>
    </row>
    <row r="273" spans="1:32" ht="15.75" customHeight="1" x14ac:dyDescent="0.15">
      <c r="A273" s="34">
        <v>271</v>
      </c>
      <c r="B273" s="35" t="s">
        <v>2951</v>
      </c>
      <c r="C273" s="48" t="s">
        <v>2647</v>
      </c>
      <c r="D273" s="34">
        <v>2.38</v>
      </c>
      <c r="E273" s="34">
        <v>11</v>
      </c>
      <c r="F273" s="34">
        <v>0</v>
      </c>
      <c r="G273" s="34">
        <v>0</v>
      </c>
      <c r="H273" s="34">
        <v>0</v>
      </c>
      <c r="I273" s="34">
        <v>2</v>
      </c>
      <c r="J273" s="34">
        <v>2</v>
      </c>
      <c r="K273" s="34">
        <v>0</v>
      </c>
      <c r="L273" s="34">
        <v>0</v>
      </c>
      <c r="M273" s="34">
        <v>0</v>
      </c>
      <c r="N273" s="34">
        <v>0</v>
      </c>
      <c r="O273" s="34">
        <v>53</v>
      </c>
      <c r="P273" s="33">
        <v>11.1</v>
      </c>
      <c r="Q273" s="34">
        <v>12</v>
      </c>
      <c r="R273" s="34">
        <v>0</v>
      </c>
      <c r="S273" s="34">
        <v>6</v>
      </c>
      <c r="T273" s="34">
        <v>0</v>
      </c>
      <c r="U273" s="34">
        <v>1</v>
      </c>
      <c r="V273" s="34">
        <v>11</v>
      </c>
      <c r="W273" s="34">
        <v>1</v>
      </c>
      <c r="X273" s="34">
        <v>0</v>
      </c>
      <c r="Y273" s="34">
        <v>7</v>
      </c>
      <c r="Z273" s="34">
        <v>3</v>
      </c>
      <c r="AA273" s="24" t="s">
        <v>15</v>
      </c>
      <c r="AB273" s="24" t="s">
        <v>57</v>
      </c>
      <c r="AC273" s="24" t="s">
        <v>57</v>
      </c>
      <c r="AD273" s="23">
        <f t="shared" si="3"/>
        <v>1.6216216216216217</v>
      </c>
      <c r="AE273" s="23">
        <f t="shared" si="4"/>
        <v>3.02990990990991</v>
      </c>
      <c r="AF273" s="23">
        <f t="shared" si="5"/>
        <v>0.34285714285714286</v>
      </c>
    </row>
    <row r="274" spans="1:32" ht="15.75" customHeight="1" x14ac:dyDescent="0.15">
      <c r="A274" s="30">
        <v>271</v>
      </c>
      <c r="B274" s="31" t="s">
        <v>2952</v>
      </c>
      <c r="C274" s="54" t="s">
        <v>2650</v>
      </c>
      <c r="D274" s="30">
        <v>3.18</v>
      </c>
      <c r="E274" s="30">
        <v>11</v>
      </c>
      <c r="F274" s="30">
        <v>3</v>
      </c>
      <c r="G274" s="30">
        <v>1</v>
      </c>
      <c r="H274" s="30">
        <v>0</v>
      </c>
      <c r="I274" s="30">
        <v>1</v>
      </c>
      <c r="J274" s="30">
        <v>4</v>
      </c>
      <c r="K274" s="30">
        <v>0</v>
      </c>
      <c r="L274" s="30">
        <v>0</v>
      </c>
      <c r="M274" s="30">
        <v>0</v>
      </c>
      <c r="N274" s="30">
        <v>0.75</v>
      </c>
      <c r="O274" s="30">
        <v>45</v>
      </c>
      <c r="P274" s="33">
        <v>11.1</v>
      </c>
      <c r="Q274" s="30">
        <v>9</v>
      </c>
      <c r="R274" s="30">
        <v>0</v>
      </c>
      <c r="S274" s="30">
        <v>5</v>
      </c>
      <c r="T274" s="30">
        <v>1</v>
      </c>
      <c r="U274" s="30">
        <v>0</v>
      </c>
      <c r="V274" s="30">
        <v>12</v>
      </c>
      <c r="W274" s="30">
        <v>1</v>
      </c>
      <c r="X274" s="30">
        <v>0</v>
      </c>
      <c r="Y274" s="30">
        <v>4</v>
      </c>
      <c r="Z274" s="30">
        <v>4</v>
      </c>
      <c r="AA274" s="23" t="s">
        <v>15</v>
      </c>
      <c r="AB274" s="23" t="s">
        <v>64</v>
      </c>
      <c r="AC274" s="23" t="s">
        <v>64</v>
      </c>
      <c r="AD274" s="23">
        <f t="shared" si="3"/>
        <v>1.2612612612612613</v>
      </c>
      <c r="AE274" s="23">
        <f t="shared" si="4"/>
        <v>2.038918918918919</v>
      </c>
      <c r="AF274" s="23">
        <f t="shared" si="5"/>
        <v>0.33333333333333331</v>
      </c>
    </row>
    <row r="275" spans="1:32" ht="15.75" customHeight="1" x14ac:dyDescent="0.15">
      <c r="A275" s="34">
        <v>274</v>
      </c>
      <c r="B275" s="35" t="s">
        <v>2953</v>
      </c>
      <c r="C275" s="40" t="s">
        <v>2650</v>
      </c>
      <c r="D275" s="34">
        <v>3.27</v>
      </c>
      <c r="E275" s="34">
        <v>13</v>
      </c>
      <c r="F275" s="34">
        <v>0</v>
      </c>
      <c r="G275" s="34">
        <v>0</v>
      </c>
      <c r="H275" s="34">
        <v>0</v>
      </c>
      <c r="I275" s="34">
        <v>4</v>
      </c>
      <c r="J275" s="34">
        <v>4</v>
      </c>
      <c r="K275" s="34">
        <v>0</v>
      </c>
      <c r="L275" s="34">
        <v>0</v>
      </c>
      <c r="M275" s="34">
        <v>0</v>
      </c>
      <c r="N275" s="34">
        <v>0</v>
      </c>
      <c r="O275" s="34">
        <v>46</v>
      </c>
      <c r="P275" s="33">
        <v>11</v>
      </c>
      <c r="Q275" s="34">
        <v>5</v>
      </c>
      <c r="R275" s="34">
        <v>1</v>
      </c>
      <c r="S275" s="34">
        <v>7</v>
      </c>
      <c r="T275" s="34">
        <v>0</v>
      </c>
      <c r="U275" s="34">
        <v>0</v>
      </c>
      <c r="V275" s="34">
        <v>14</v>
      </c>
      <c r="W275" s="34">
        <v>0</v>
      </c>
      <c r="X275" s="34">
        <v>0</v>
      </c>
      <c r="Y275" s="34">
        <v>4</v>
      </c>
      <c r="Z275" s="34">
        <v>4</v>
      </c>
      <c r="AA275" s="24" t="s">
        <v>15</v>
      </c>
      <c r="AB275" s="24" t="s">
        <v>47</v>
      </c>
      <c r="AC275" s="24" t="s">
        <v>37</v>
      </c>
      <c r="AD275" s="23">
        <f t="shared" si="3"/>
        <v>1.0909090909090908</v>
      </c>
      <c r="AE275" s="23">
        <f t="shared" si="4"/>
        <v>3.6654545454545455</v>
      </c>
      <c r="AF275" s="23">
        <f t="shared" si="5"/>
        <v>0.16666666666666666</v>
      </c>
    </row>
    <row r="276" spans="1:32" ht="15.75" customHeight="1" x14ac:dyDescent="0.15">
      <c r="A276" s="30">
        <v>274</v>
      </c>
      <c r="B276" s="31" t="s">
        <v>2954</v>
      </c>
      <c r="C276" s="53" t="s">
        <v>198</v>
      </c>
      <c r="D276" s="30">
        <v>4.09</v>
      </c>
      <c r="E276" s="30">
        <v>12</v>
      </c>
      <c r="F276" s="30">
        <v>0</v>
      </c>
      <c r="G276" s="30">
        <v>1</v>
      </c>
      <c r="H276" s="30">
        <v>0</v>
      </c>
      <c r="I276" s="30">
        <v>1</v>
      </c>
      <c r="J276" s="30">
        <v>1</v>
      </c>
      <c r="K276" s="30">
        <v>0</v>
      </c>
      <c r="L276" s="30">
        <v>0</v>
      </c>
      <c r="M276" s="30">
        <v>0</v>
      </c>
      <c r="N276" s="30">
        <v>0</v>
      </c>
      <c r="O276" s="30">
        <v>51</v>
      </c>
      <c r="P276" s="33">
        <v>11</v>
      </c>
      <c r="Q276" s="30">
        <v>8</v>
      </c>
      <c r="R276" s="30">
        <v>0</v>
      </c>
      <c r="S276" s="30">
        <v>9</v>
      </c>
      <c r="T276" s="30">
        <v>1</v>
      </c>
      <c r="U276" s="30">
        <v>2</v>
      </c>
      <c r="V276" s="30">
        <v>11</v>
      </c>
      <c r="W276" s="30">
        <v>1</v>
      </c>
      <c r="X276" s="30">
        <v>0</v>
      </c>
      <c r="Y276" s="30">
        <v>5</v>
      </c>
      <c r="Z276" s="30">
        <v>5</v>
      </c>
      <c r="AA276" s="23" t="s">
        <v>15</v>
      </c>
      <c r="AB276" s="23" t="s">
        <v>37</v>
      </c>
      <c r="AC276" s="23" t="s">
        <v>37</v>
      </c>
      <c r="AD276" s="23">
        <f t="shared" si="3"/>
        <v>1.5454545454545454</v>
      </c>
      <c r="AE276" s="23">
        <f t="shared" si="4"/>
        <v>3.8472727272727276</v>
      </c>
      <c r="AF276" s="23">
        <f t="shared" si="5"/>
        <v>0.2857142857142857</v>
      </c>
    </row>
    <row r="277" spans="1:32" ht="15.75" customHeight="1" x14ac:dyDescent="0.15">
      <c r="A277" s="34">
        <v>274</v>
      </c>
      <c r="B277" s="35" t="s">
        <v>2955</v>
      </c>
      <c r="C277" s="45" t="s">
        <v>2651</v>
      </c>
      <c r="D277" s="34">
        <v>9</v>
      </c>
      <c r="E277" s="34">
        <v>5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52</v>
      </c>
      <c r="P277" s="33">
        <v>11</v>
      </c>
      <c r="Q277" s="34">
        <v>15</v>
      </c>
      <c r="R277" s="34">
        <v>1</v>
      </c>
      <c r="S277" s="34">
        <v>5</v>
      </c>
      <c r="T277" s="34">
        <v>0</v>
      </c>
      <c r="U277" s="34">
        <v>0</v>
      </c>
      <c r="V277" s="34">
        <v>11</v>
      </c>
      <c r="W277" s="34">
        <v>2</v>
      </c>
      <c r="X277" s="34">
        <v>0</v>
      </c>
      <c r="Y277" s="34">
        <v>11</v>
      </c>
      <c r="Z277" s="34">
        <v>11</v>
      </c>
      <c r="AA277" s="24" t="s">
        <v>15</v>
      </c>
      <c r="AB277" s="24" t="s">
        <v>90</v>
      </c>
      <c r="AC277" s="24" t="s">
        <v>90</v>
      </c>
      <c r="AD277" s="23">
        <f t="shared" si="3"/>
        <v>1.8181818181818181</v>
      </c>
      <c r="AE277" s="23">
        <f t="shared" si="4"/>
        <v>3.6654545454545455</v>
      </c>
      <c r="AF277" s="23">
        <f t="shared" si="5"/>
        <v>0.4</v>
      </c>
    </row>
    <row r="278" spans="1:32" ht="15.75" customHeight="1" x14ac:dyDescent="0.15">
      <c r="A278" s="30">
        <v>277</v>
      </c>
      <c r="B278" s="31" t="s">
        <v>2956</v>
      </c>
      <c r="C278" s="46" t="s">
        <v>2648</v>
      </c>
      <c r="D278" s="30">
        <v>10.130000000000001</v>
      </c>
      <c r="E278" s="30">
        <v>13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61</v>
      </c>
      <c r="P278" s="33">
        <v>10.199999999999999</v>
      </c>
      <c r="Q278" s="30">
        <v>19</v>
      </c>
      <c r="R278" s="30">
        <v>3</v>
      </c>
      <c r="S278" s="30">
        <v>8</v>
      </c>
      <c r="T278" s="30">
        <v>1</v>
      </c>
      <c r="U278" s="30">
        <v>2</v>
      </c>
      <c r="V278" s="30">
        <v>8</v>
      </c>
      <c r="W278" s="30">
        <v>0</v>
      </c>
      <c r="X278" s="30">
        <v>0</v>
      </c>
      <c r="Y278" s="30">
        <v>12</v>
      </c>
      <c r="Z278" s="30">
        <v>12</v>
      </c>
      <c r="AA278" s="23" t="s">
        <v>15</v>
      </c>
      <c r="AB278" s="23" t="s">
        <v>47</v>
      </c>
      <c r="AC278" s="23" t="s">
        <v>47</v>
      </c>
      <c r="AD278" s="23">
        <f t="shared" si="3"/>
        <v>2.6470588235294121</v>
      </c>
      <c r="AE278" s="23">
        <f t="shared" si="4"/>
        <v>8.0219607843137268</v>
      </c>
      <c r="AF278" s="23">
        <f t="shared" si="5"/>
        <v>0.41025641025641024</v>
      </c>
    </row>
    <row r="279" spans="1:32" ht="15.75" customHeight="1" x14ac:dyDescent="0.15">
      <c r="A279" s="34">
        <v>277</v>
      </c>
      <c r="B279" s="35" t="s">
        <v>2957</v>
      </c>
      <c r="C279" s="58" t="s">
        <v>2645</v>
      </c>
      <c r="D279" s="34">
        <v>2.5299999999999998</v>
      </c>
      <c r="E279" s="34">
        <v>11</v>
      </c>
      <c r="F279" s="34">
        <v>0</v>
      </c>
      <c r="G279" s="34">
        <v>1</v>
      </c>
      <c r="H279" s="34">
        <v>0</v>
      </c>
      <c r="I279" s="34">
        <v>3</v>
      </c>
      <c r="J279" s="34">
        <v>3</v>
      </c>
      <c r="K279" s="34">
        <v>0</v>
      </c>
      <c r="L279" s="34">
        <v>0</v>
      </c>
      <c r="M279" s="34">
        <v>0</v>
      </c>
      <c r="N279" s="34">
        <v>0</v>
      </c>
      <c r="O279" s="34">
        <v>39</v>
      </c>
      <c r="P279" s="33">
        <v>10.199999999999999</v>
      </c>
      <c r="Q279" s="34">
        <v>6</v>
      </c>
      <c r="R279" s="34">
        <v>1</v>
      </c>
      <c r="S279" s="34">
        <v>3</v>
      </c>
      <c r="T279" s="34">
        <v>0</v>
      </c>
      <c r="U279" s="34">
        <v>1</v>
      </c>
      <c r="V279" s="34">
        <v>7</v>
      </c>
      <c r="W279" s="34">
        <v>0</v>
      </c>
      <c r="X279" s="34">
        <v>0</v>
      </c>
      <c r="Y279" s="34">
        <v>3</v>
      </c>
      <c r="Z279" s="34">
        <v>3</v>
      </c>
      <c r="AA279" s="24" t="s">
        <v>14</v>
      </c>
      <c r="AB279" s="24" t="s">
        <v>80</v>
      </c>
      <c r="AC279" s="24" t="s">
        <v>72</v>
      </c>
      <c r="AD279" s="23">
        <f t="shared" si="3"/>
        <v>0.88235294117647067</v>
      </c>
      <c r="AE279" s="23">
        <f t="shared" si="4"/>
        <v>4.1984313725490203</v>
      </c>
      <c r="AF279" s="23">
        <f t="shared" si="5"/>
        <v>0.18518518518518517</v>
      </c>
    </row>
    <row r="280" spans="1:32" ht="15.75" customHeight="1" x14ac:dyDescent="0.15">
      <c r="A280" s="30">
        <v>279</v>
      </c>
      <c r="B280" s="31" t="s">
        <v>2959</v>
      </c>
      <c r="C280" s="37" t="s">
        <v>2647</v>
      </c>
      <c r="D280" s="30">
        <v>6.97</v>
      </c>
      <c r="E280" s="30">
        <v>9</v>
      </c>
      <c r="F280" s="30">
        <v>0</v>
      </c>
      <c r="G280" s="30">
        <v>0</v>
      </c>
      <c r="H280" s="30">
        <v>1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46</v>
      </c>
      <c r="P280" s="33">
        <v>10.1</v>
      </c>
      <c r="Q280" s="30">
        <v>11</v>
      </c>
      <c r="R280" s="30">
        <v>2</v>
      </c>
      <c r="S280" s="30">
        <v>3</v>
      </c>
      <c r="T280" s="30">
        <v>2</v>
      </c>
      <c r="U280" s="30">
        <v>0</v>
      </c>
      <c r="V280" s="30">
        <v>14</v>
      </c>
      <c r="W280" s="30">
        <v>0</v>
      </c>
      <c r="X280" s="30">
        <v>0</v>
      </c>
      <c r="Y280" s="30">
        <v>8</v>
      </c>
      <c r="Z280" s="30">
        <v>8</v>
      </c>
      <c r="AA280" s="23" t="s">
        <v>15</v>
      </c>
      <c r="AB280" s="23" t="s">
        <v>14</v>
      </c>
      <c r="AC280" s="23" t="s">
        <v>14</v>
      </c>
      <c r="AD280" s="23">
        <f t="shared" si="3"/>
        <v>1.3861386138613863</v>
      </c>
      <c r="AE280" s="23">
        <f t="shared" si="4"/>
        <v>3.2190099009900992</v>
      </c>
      <c r="AF280" s="23">
        <f t="shared" si="5"/>
        <v>0.36</v>
      </c>
    </row>
    <row r="281" spans="1:32" ht="15.75" customHeight="1" x14ac:dyDescent="0.15">
      <c r="A281" s="34">
        <v>279</v>
      </c>
      <c r="B281" s="35" t="s">
        <v>2960</v>
      </c>
      <c r="C281" s="58" t="s">
        <v>2645</v>
      </c>
      <c r="D281" s="34">
        <v>4.3499999999999996</v>
      </c>
      <c r="E281" s="34">
        <v>9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  <c r="N281" s="34">
        <v>0</v>
      </c>
      <c r="O281" s="34">
        <v>45</v>
      </c>
      <c r="P281" s="33">
        <v>10.1</v>
      </c>
      <c r="Q281" s="34">
        <v>11</v>
      </c>
      <c r="R281" s="34">
        <v>1</v>
      </c>
      <c r="S281" s="34">
        <v>5</v>
      </c>
      <c r="T281" s="34">
        <v>0</v>
      </c>
      <c r="U281" s="34">
        <v>1</v>
      </c>
      <c r="V281" s="34">
        <v>8</v>
      </c>
      <c r="W281" s="34">
        <v>0</v>
      </c>
      <c r="X281" s="34">
        <v>0</v>
      </c>
      <c r="Y281" s="34">
        <v>5</v>
      </c>
      <c r="Z281" s="34">
        <v>5</v>
      </c>
      <c r="AA281" s="24" t="s">
        <v>15</v>
      </c>
      <c r="AB281" s="24" t="s">
        <v>27</v>
      </c>
      <c r="AC281" s="24" t="s">
        <v>27</v>
      </c>
      <c r="AD281" s="23">
        <f t="shared" si="3"/>
        <v>1.5841584158415842</v>
      </c>
      <c r="AE281" s="23">
        <f t="shared" si="4"/>
        <v>4.6051485148514857</v>
      </c>
      <c r="AF281" s="23">
        <f t="shared" si="5"/>
        <v>0.33333333333333331</v>
      </c>
    </row>
    <row r="282" spans="1:32" ht="15.75" customHeight="1" x14ac:dyDescent="0.15">
      <c r="A282" s="30">
        <v>281</v>
      </c>
      <c r="B282" s="31" t="s">
        <v>2961</v>
      </c>
      <c r="C282" s="47" t="s">
        <v>2654</v>
      </c>
      <c r="D282" s="30">
        <v>2.7</v>
      </c>
      <c r="E282" s="30">
        <v>18</v>
      </c>
      <c r="F282" s="30">
        <v>1</v>
      </c>
      <c r="G282" s="30">
        <v>0</v>
      </c>
      <c r="H282" s="30">
        <v>0</v>
      </c>
      <c r="I282" s="30">
        <v>5</v>
      </c>
      <c r="J282" s="30">
        <v>6</v>
      </c>
      <c r="K282" s="30">
        <v>0</v>
      </c>
      <c r="L282" s="30">
        <v>0</v>
      </c>
      <c r="M282" s="30">
        <v>0</v>
      </c>
      <c r="N282" s="30">
        <v>1</v>
      </c>
      <c r="O282" s="30">
        <v>50</v>
      </c>
      <c r="P282" s="33">
        <v>10</v>
      </c>
      <c r="Q282" s="30">
        <v>14</v>
      </c>
      <c r="R282" s="30">
        <v>2</v>
      </c>
      <c r="S282" s="30">
        <v>6</v>
      </c>
      <c r="T282" s="30">
        <v>1</v>
      </c>
      <c r="U282" s="30">
        <v>0</v>
      </c>
      <c r="V282" s="30">
        <v>13</v>
      </c>
      <c r="W282" s="30">
        <v>0</v>
      </c>
      <c r="X282" s="30">
        <v>0</v>
      </c>
      <c r="Y282" s="30">
        <v>3</v>
      </c>
      <c r="Z282" s="30">
        <v>3</v>
      </c>
      <c r="AA282" s="23" t="s">
        <v>14</v>
      </c>
      <c r="AB282" s="23" t="s">
        <v>57</v>
      </c>
      <c r="AC282" s="23" t="s">
        <v>57</v>
      </c>
      <c r="AD282" s="23">
        <f t="shared" si="3"/>
        <v>2</v>
      </c>
      <c r="AE282" s="23">
        <f t="shared" si="4"/>
        <v>4.62</v>
      </c>
      <c r="AF282" s="23">
        <f t="shared" si="5"/>
        <v>0.42857142857142855</v>
      </c>
    </row>
    <row r="283" spans="1:32" ht="15.75" customHeight="1" x14ac:dyDescent="0.15">
      <c r="A283" s="34">
        <v>281</v>
      </c>
      <c r="B283" s="35" t="s">
        <v>2962</v>
      </c>
      <c r="C283" s="51" t="s">
        <v>2655</v>
      </c>
      <c r="D283" s="34">
        <v>2.7</v>
      </c>
      <c r="E283" s="34">
        <v>7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38</v>
      </c>
      <c r="P283" s="33">
        <v>10</v>
      </c>
      <c r="Q283" s="34">
        <v>7</v>
      </c>
      <c r="R283" s="34">
        <v>1</v>
      </c>
      <c r="S283" s="34">
        <v>0</v>
      </c>
      <c r="T283" s="34">
        <v>0</v>
      </c>
      <c r="U283" s="34">
        <v>1</v>
      </c>
      <c r="V283" s="34">
        <v>8</v>
      </c>
      <c r="W283" s="34">
        <v>0</v>
      </c>
      <c r="X283" s="34">
        <v>0</v>
      </c>
      <c r="Y283" s="34">
        <v>3</v>
      </c>
      <c r="Z283" s="34">
        <v>3</v>
      </c>
      <c r="AA283" s="24" t="s">
        <v>15</v>
      </c>
      <c r="AB283" s="24" t="s">
        <v>57</v>
      </c>
      <c r="AC283" s="24" t="s">
        <v>57</v>
      </c>
      <c r="AD283" s="23">
        <f t="shared" si="3"/>
        <v>0.7</v>
      </c>
      <c r="AE283" s="23">
        <f t="shared" si="4"/>
        <v>3.12</v>
      </c>
      <c r="AF283" s="23">
        <f t="shared" si="5"/>
        <v>0.21428571428571427</v>
      </c>
    </row>
    <row r="284" spans="1:32" ht="15.75" customHeight="1" x14ac:dyDescent="0.15">
      <c r="A284" s="30">
        <v>281</v>
      </c>
      <c r="B284" s="31" t="s">
        <v>2963</v>
      </c>
      <c r="C284" s="54" t="s">
        <v>2650</v>
      </c>
      <c r="D284" s="30">
        <v>6.3</v>
      </c>
      <c r="E284" s="30">
        <v>3</v>
      </c>
      <c r="F284" s="30">
        <v>0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57</v>
      </c>
      <c r="P284" s="33">
        <v>10</v>
      </c>
      <c r="Q284" s="30">
        <v>12</v>
      </c>
      <c r="R284" s="30">
        <v>0</v>
      </c>
      <c r="S284" s="30">
        <v>14</v>
      </c>
      <c r="T284" s="30">
        <v>0</v>
      </c>
      <c r="U284" s="30">
        <v>1</v>
      </c>
      <c r="V284" s="30">
        <v>12</v>
      </c>
      <c r="W284" s="30">
        <v>0</v>
      </c>
      <c r="X284" s="30">
        <v>0</v>
      </c>
      <c r="Y284" s="30">
        <v>7</v>
      </c>
      <c r="Z284" s="30">
        <v>7</v>
      </c>
      <c r="AA284" s="23" t="s">
        <v>15</v>
      </c>
      <c r="AB284" s="23" t="s">
        <v>47</v>
      </c>
      <c r="AC284" s="23" t="s">
        <v>47</v>
      </c>
      <c r="AD284" s="23">
        <f t="shared" si="3"/>
        <v>2.6</v>
      </c>
      <c r="AE284" s="23">
        <f t="shared" si="4"/>
        <v>5.2200000000000006</v>
      </c>
      <c r="AF284" s="23">
        <f t="shared" si="5"/>
        <v>0.4</v>
      </c>
    </row>
    <row r="285" spans="1:32" ht="15.75" customHeight="1" x14ac:dyDescent="0.15">
      <c r="A285" s="34">
        <v>284</v>
      </c>
      <c r="B285" s="35" t="s">
        <v>2964</v>
      </c>
      <c r="C285" s="36" t="s">
        <v>2646</v>
      </c>
      <c r="D285" s="34">
        <v>2.79</v>
      </c>
      <c r="E285" s="34">
        <v>12</v>
      </c>
      <c r="F285" s="34">
        <v>1</v>
      </c>
      <c r="G285" s="34">
        <v>0</v>
      </c>
      <c r="H285" s="34">
        <v>0</v>
      </c>
      <c r="I285" s="34">
        <v>1</v>
      </c>
      <c r="J285" s="34">
        <v>2</v>
      </c>
      <c r="K285" s="34">
        <v>0</v>
      </c>
      <c r="L285" s="34">
        <v>0</v>
      </c>
      <c r="M285" s="34">
        <v>0</v>
      </c>
      <c r="N285" s="34">
        <v>1</v>
      </c>
      <c r="O285" s="34">
        <v>37</v>
      </c>
      <c r="P285" s="33">
        <v>9.1999999999999993</v>
      </c>
      <c r="Q285" s="34">
        <v>9</v>
      </c>
      <c r="R285" s="34">
        <v>2</v>
      </c>
      <c r="S285" s="34">
        <v>1</v>
      </c>
      <c r="T285" s="34">
        <v>0</v>
      </c>
      <c r="U285" s="34">
        <v>1</v>
      </c>
      <c r="V285" s="34">
        <v>3</v>
      </c>
      <c r="W285" s="34">
        <v>0</v>
      </c>
      <c r="X285" s="34">
        <v>0</v>
      </c>
      <c r="Y285" s="34">
        <v>3</v>
      </c>
      <c r="Z285" s="34">
        <v>3</v>
      </c>
      <c r="AA285" s="24" t="s">
        <v>15</v>
      </c>
      <c r="AB285" s="24" t="s">
        <v>37</v>
      </c>
      <c r="AC285" s="24" t="s">
        <v>37</v>
      </c>
      <c r="AD285" s="23">
        <f t="shared" si="3"/>
        <v>1.0869565217391306</v>
      </c>
      <c r="AE285" s="23">
        <f t="shared" si="4"/>
        <v>5.9460869565217394</v>
      </c>
      <c r="AF285" s="23">
        <f t="shared" si="5"/>
        <v>0.23333333333333334</v>
      </c>
    </row>
    <row r="286" spans="1:32" ht="15.75" customHeight="1" x14ac:dyDescent="0.15">
      <c r="A286" s="30">
        <v>284</v>
      </c>
      <c r="B286" s="31" t="s">
        <v>2965</v>
      </c>
      <c r="C286" s="39" t="s">
        <v>2649</v>
      </c>
      <c r="D286" s="30">
        <v>2.79</v>
      </c>
      <c r="E286" s="30">
        <v>11</v>
      </c>
      <c r="F286" s="30">
        <v>0</v>
      </c>
      <c r="G286" s="30">
        <v>0</v>
      </c>
      <c r="H286" s="30">
        <v>0</v>
      </c>
      <c r="I286" s="30">
        <v>3</v>
      </c>
      <c r="J286" s="30">
        <v>3</v>
      </c>
      <c r="K286" s="30">
        <v>0</v>
      </c>
      <c r="L286" s="30">
        <v>0</v>
      </c>
      <c r="M286" s="30">
        <v>0</v>
      </c>
      <c r="N286" s="30">
        <v>0</v>
      </c>
      <c r="O286" s="30">
        <v>43</v>
      </c>
      <c r="P286" s="33">
        <v>9.1999999999999993</v>
      </c>
      <c r="Q286" s="30">
        <v>8</v>
      </c>
      <c r="R286" s="30">
        <v>0</v>
      </c>
      <c r="S286" s="30">
        <v>8</v>
      </c>
      <c r="T286" s="30">
        <v>0</v>
      </c>
      <c r="U286" s="30">
        <v>2</v>
      </c>
      <c r="V286" s="30">
        <v>5</v>
      </c>
      <c r="W286" s="30">
        <v>1</v>
      </c>
      <c r="X286" s="30">
        <v>0</v>
      </c>
      <c r="Y286" s="30">
        <v>3</v>
      </c>
      <c r="Z286" s="30">
        <v>3</v>
      </c>
      <c r="AA286" s="23" t="s">
        <v>15</v>
      </c>
      <c r="AB286" s="23" t="s">
        <v>72</v>
      </c>
      <c r="AC286" s="23" t="s">
        <v>72</v>
      </c>
      <c r="AD286" s="23">
        <f t="shared" si="3"/>
        <v>1.7391304347826089</v>
      </c>
      <c r="AE286" s="23">
        <f t="shared" si="4"/>
        <v>5.2939130434782609</v>
      </c>
      <c r="AF286" s="23">
        <f t="shared" si="5"/>
        <v>0.2857142857142857</v>
      </c>
    </row>
    <row r="287" spans="1:32" ht="15.75" customHeight="1" x14ac:dyDescent="0.15">
      <c r="A287" s="34">
        <v>284</v>
      </c>
      <c r="B287" s="35" t="s">
        <v>2966</v>
      </c>
      <c r="C287" s="50" t="s">
        <v>198</v>
      </c>
      <c r="D287" s="34">
        <v>9.31</v>
      </c>
      <c r="E287" s="34">
        <v>10</v>
      </c>
      <c r="F287" s="34">
        <v>0</v>
      </c>
      <c r="G287" s="34">
        <v>1</v>
      </c>
      <c r="H287" s="34">
        <v>0</v>
      </c>
      <c r="I287" s="34">
        <v>1</v>
      </c>
      <c r="J287" s="34">
        <v>1</v>
      </c>
      <c r="K287" s="34">
        <v>0</v>
      </c>
      <c r="L287" s="34">
        <v>0</v>
      </c>
      <c r="M287" s="34">
        <v>0</v>
      </c>
      <c r="N287" s="34">
        <v>0</v>
      </c>
      <c r="O287" s="34">
        <v>49</v>
      </c>
      <c r="P287" s="33">
        <v>9.1999999999999993</v>
      </c>
      <c r="Q287" s="34">
        <v>18</v>
      </c>
      <c r="R287" s="34">
        <v>1</v>
      </c>
      <c r="S287" s="34">
        <v>4</v>
      </c>
      <c r="T287" s="34">
        <v>0</v>
      </c>
      <c r="U287" s="34">
        <v>0</v>
      </c>
      <c r="V287" s="34">
        <v>5</v>
      </c>
      <c r="W287" s="34">
        <v>1</v>
      </c>
      <c r="X287" s="34">
        <v>0</v>
      </c>
      <c r="Y287" s="34">
        <v>10</v>
      </c>
      <c r="Z287" s="34">
        <v>10</v>
      </c>
      <c r="AA287" s="24" t="s">
        <v>15</v>
      </c>
      <c r="AB287" s="24" t="s">
        <v>90</v>
      </c>
      <c r="AC287" s="24" t="s">
        <v>80</v>
      </c>
      <c r="AD287" s="23">
        <f t="shared" si="3"/>
        <v>2.3913043478260874</v>
      </c>
      <c r="AE287" s="23">
        <f t="shared" si="4"/>
        <v>4.7504347826086963</v>
      </c>
      <c r="AF287" s="23">
        <f t="shared" si="5"/>
        <v>0.4358974358974359</v>
      </c>
    </row>
    <row r="288" spans="1:32" ht="15.75" customHeight="1" x14ac:dyDescent="0.15">
      <c r="A288" s="30">
        <v>284</v>
      </c>
      <c r="B288" s="31" t="s">
        <v>2967</v>
      </c>
      <c r="C288" s="53" t="s">
        <v>198</v>
      </c>
      <c r="D288" s="30">
        <v>4.66</v>
      </c>
      <c r="E288" s="30">
        <v>4</v>
      </c>
      <c r="F288" s="30">
        <v>0</v>
      </c>
      <c r="G288" s="30">
        <v>1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43</v>
      </c>
      <c r="P288" s="33">
        <v>9.1999999999999993</v>
      </c>
      <c r="Q288" s="30">
        <v>11</v>
      </c>
      <c r="R288" s="30">
        <v>0</v>
      </c>
      <c r="S288" s="30">
        <v>4</v>
      </c>
      <c r="T288" s="30">
        <v>0</v>
      </c>
      <c r="U288" s="30">
        <v>0</v>
      </c>
      <c r="V288" s="30">
        <v>7</v>
      </c>
      <c r="W288" s="30">
        <v>0</v>
      </c>
      <c r="X288" s="30">
        <v>0</v>
      </c>
      <c r="Y288" s="30">
        <v>5</v>
      </c>
      <c r="Z288" s="30">
        <v>5</v>
      </c>
      <c r="AA288" s="23" t="s">
        <v>15</v>
      </c>
      <c r="AB288" s="23" t="s">
        <v>72</v>
      </c>
      <c r="AC288" s="23" t="s">
        <v>57</v>
      </c>
      <c r="AD288" s="23">
        <f t="shared" si="3"/>
        <v>1.6304347826086958</v>
      </c>
      <c r="AE288" s="23">
        <f t="shared" si="4"/>
        <v>2.9026086956521739</v>
      </c>
      <c r="AF288" s="23">
        <f t="shared" si="5"/>
        <v>0.34375</v>
      </c>
    </row>
    <row r="289" spans="1:32" ht="15.75" customHeight="1" x14ac:dyDescent="0.15">
      <c r="A289" s="34">
        <v>288</v>
      </c>
      <c r="B289" s="35" t="s">
        <v>2968</v>
      </c>
      <c r="C289" s="50" t="s">
        <v>198</v>
      </c>
      <c r="D289" s="34">
        <v>9.64</v>
      </c>
      <c r="E289" s="34">
        <v>10</v>
      </c>
      <c r="F289" s="34">
        <v>0</v>
      </c>
      <c r="G289" s="34">
        <v>0</v>
      </c>
      <c r="H289" s="34">
        <v>0</v>
      </c>
      <c r="I289" s="34">
        <v>1</v>
      </c>
      <c r="J289" s="34">
        <v>1</v>
      </c>
      <c r="K289" s="34">
        <v>0</v>
      </c>
      <c r="L289" s="34">
        <v>0</v>
      </c>
      <c r="M289" s="34">
        <v>0</v>
      </c>
      <c r="N289" s="34">
        <v>0</v>
      </c>
      <c r="O289" s="34">
        <v>52</v>
      </c>
      <c r="P289" s="33">
        <v>9.1</v>
      </c>
      <c r="Q289" s="34">
        <v>21</v>
      </c>
      <c r="R289" s="34">
        <v>0</v>
      </c>
      <c r="S289" s="34">
        <v>4</v>
      </c>
      <c r="T289" s="34">
        <v>0</v>
      </c>
      <c r="U289" s="34">
        <v>0</v>
      </c>
      <c r="V289" s="34">
        <v>9</v>
      </c>
      <c r="W289" s="34">
        <v>0</v>
      </c>
      <c r="X289" s="34">
        <v>0</v>
      </c>
      <c r="Y289" s="34">
        <v>12</v>
      </c>
      <c r="Z289" s="34">
        <v>10</v>
      </c>
      <c r="AA289" s="24" t="s">
        <v>15</v>
      </c>
      <c r="AB289" s="24" t="s">
        <v>57</v>
      </c>
      <c r="AC289" s="24" t="s">
        <v>57</v>
      </c>
      <c r="AD289" s="23">
        <f t="shared" si="3"/>
        <v>2.7472527472527473</v>
      </c>
      <c r="AE289" s="23">
        <f t="shared" si="4"/>
        <v>2.4606593406593409</v>
      </c>
      <c r="AF289" s="23">
        <f t="shared" si="5"/>
        <v>0.53846153846153844</v>
      </c>
    </row>
    <row r="290" spans="1:32" ht="15.75" customHeight="1" x14ac:dyDescent="0.15">
      <c r="A290" s="30">
        <v>288</v>
      </c>
      <c r="B290" s="31" t="s">
        <v>2969</v>
      </c>
      <c r="C290" s="54" t="s">
        <v>2650</v>
      </c>
      <c r="D290" s="30">
        <v>3.86</v>
      </c>
      <c r="E290" s="30">
        <v>6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42</v>
      </c>
      <c r="P290" s="33">
        <v>9.1</v>
      </c>
      <c r="Q290" s="30">
        <v>14</v>
      </c>
      <c r="R290" s="30">
        <v>2</v>
      </c>
      <c r="S290" s="30">
        <v>2</v>
      </c>
      <c r="T290" s="30">
        <v>0</v>
      </c>
      <c r="U290" s="30">
        <v>0</v>
      </c>
      <c r="V290" s="30">
        <v>4</v>
      </c>
      <c r="W290" s="30">
        <v>0</v>
      </c>
      <c r="X290" s="30">
        <v>0</v>
      </c>
      <c r="Y290" s="30">
        <v>4</v>
      </c>
      <c r="Z290" s="30">
        <v>4</v>
      </c>
      <c r="AA290" s="23" t="s">
        <v>15</v>
      </c>
      <c r="AB290" s="23" t="s">
        <v>15</v>
      </c>
      <c r="AC290" s="23" t="s">
        <v>15</v>
      </c>
      <c r="AD290" s="23">
        <f t="shared" si="3"/>
        <v>1.7582417582417582</v>
      </c>
      <c r="AE290" s="23">
        <f t="shared" si="4"/>
        <v>5.7573626373626379</v>
      </c>
      <c r="AF290" s="23">
        <f t="shared" si="5"/>
        <v>0.35294117647058826</v>
      </c>
    </row>
    <row r="291" spans="1:32" ht="15.75" customHeight="1" x14ac:dyDescent="0.15">
      <c r="A291" s="34">
        <v>290</v>
      </c>
      <c r="B291" s="35" t="s">
        <v>2970</v>
      </c>
      <c r="C291" s="38" t="s">
        <v>2648</v>
      </c>
      <c r="D291" s="34">
        <v>6</v>
      </c>
      <c r="E291" s="34">
        <v>10</v>
      </c>
      <c r="F291" s="34">
        <v>0</v>
      </c>
      <c r="G291" s="34">
        <v>0</v>
      </c>
      <c r="H291" s="34">
        <v>0</v>
      </c>
      <c r="I291" s="34">
        <v>3</v>
      </c>
      <c r="J291" s="34">
        <v>3</v>
      </c>
      <c r="K291" s="34">
        <v>0</v>
      </c>
      <c r="L291" s="34">
        <v>0</v>
      </c>
      <c r="M291" s="34">
        <v>0</v>
      </c>
      <c r="N291" s="34">
        <v>0</v>
      </c>
      <c r="O291" s="34">
        <v>42</v>
      </c>
      <c r="P291" s="33">
        <v>9</v>
      </c>
      <c r="Q291" s="34">
        <v>13</v>
      </c>
      <c r="R291" s="34">
        <v>2</v>
      </c>
      <c r="S291" s="34">
        <v>4</v>
      </c>
      <c r="T291" s="34">
        <v>0</v>
      </c>
      <c r="U291" s="34">
        <v>1</v>
      </c>
      <c r="V291" s="34">
        <v>7</v>
      </c>
      <c r="W291" s="34">
        <v>1</v>
      </c>
      <c r="X291" s="34">
        <v>1</v>
      </c>
      <c r="Y291" s="34">
        <v>6</v>
      </c>
      <c r="Z291" s="34">
        <v>6</v>
      </c>
      <c r="AA291" s="24" t="s">
        <v>15</v>
      </c>
      <c r="AB291" s="24" t="s">
        <v>57</v>
      </c>
      <c r="AC291" s="24" t="s">
        <v>57</v>
      </c>
      <c r="AD291" s="23">
        <f t="shared" si="3"/>
        <v>1.8888888888888888</v>
      </c>
      <c r="AE291" s="23">
        <f t="shared" si="4"/>
        <v>6.12</v>
      </c>
      <c r="AF291" s="23">
        <f t="shared" si="5"/>
        <v>0.39285714285714285</v>
      </c>
    </row>
    <row r="292" spans="1:32" ht="15.75" customHeight="1" x14ac:dyDescent="0.15">
      <c r="A292" s="30">
        <v>290</v>
      </c>
      <c r="B292" s="31" t="s">
        <v>2971</v>
      </c>
      <c r="C292" s="55" t="s">
        <v>2652</v>
      </c>
      <c r="D292" s="30">
        <v>4</v>
      </c>
      <c r="E292" s="30">
        <v>10</v>
      </c>
      <c r="F292" s="30">
        <v>0</v>
      </c>
      <c r="G292" s="30">
        <v>1</v>
      </c>
      <c r="H292" s="30">
        <v>0</v>
      </c>
      <c r="I292" s="30">
        <v>2</v>
      </c>
      <c r="J292" s="30">
        <v>2</v>
      </c>
      <c r="K292" s="30">
        <v>0</v>
      </c>
      <c r="L292" s="30">
        <v>0</v>
      </c>
      <c r="M292" s="30">
        <v>0</v>
      </c>
      <c r="N292" s="30">
        <v>0</v>
      </c>
      <c r="O292" s="30">
        <v>39</v>
      </c>
      <c r="P292" s="33">
        <v>9</v>
      </c>
      <c r="Q292" s="30">
        <v>8</v>
      </c>
      <c r="R292" s="30">
        <v>1</v>
      </c>
      <c r="S292" s="30">
        <v>2</v>
      </c>
      <c r="T292" s="30">
        <v>0</v>
      </c>
      <c r="U292" s="30">
        <v>2</v>
      </c>
      <c r="V292" s="30">
        <v>14</v>
      </c>
      <c r="W292" s="30">
        <v>0</v>
      </c>
      <c r="X292" s="30">
        <v>0</v>
      </c>
      <c r="Y292" s="30">
        <v>4</v>
      </c>
      <c r="Z292" s="30">
        <v>4</v>
      </c>
      <c r="AA292" s="23" t="s">
        <v>15</v>
      </c>
      <c r="AB292" s="23" t="s">
        <v>98</v>
      </c>
      <c r="AC292" s="23" t="s">
        <v>90</v>
      </c>
      <c r="AD292" s="23">
        <f t="shared" si="3"/>
        <v>1.1111111111111112</v>
      </c>
      <c r="AE292" s="23">
        <f t="shared" si="4"/>
        <v>2.7866666666666666</v>
      </c>
      <c r="AF292" s="23">
        <f t="shared" si="5"/>
        <v>0.35</v>
      </c>
    </row>
    <row r="293" spans="1:32" ht="15.75" customHeight="1" x14ac:dyDescent="0.15">
      <c r="A293" s="34">
        <v>290</v>
      </c>
      <c r="B293" s="35" t="s">
        <v>2972</v>
      </c>
      <c r="C293" s="45" t="s">
        <v>2651</v>
      </c>
      <c r="D293" s="34">
        <v>5</v>
      </c>
      <c r="E293" s="34">
        <v>9</v>
      </c>
      <c r="F293" s="34">
        <v>1</v>
      </c>
      <c r="G293" s="34">
        <v>1</v>
      </c>
      <c r="H293" s="34">
        <v>0</v>
      </c>
      <c r="I293" s="34">
        <v>0</v>
      </c>
      <c r="J293" s="34">
        <v>1</v>
      </c>
      <c r="K293" s="34">
        <v>0</v>
      </c>
      <c r="L293" s="34">
        <v>0</v>
      </c>
      <c r="M293" s="34">
        <v>0</v>
      </c>
      <c r="N293" s="34">
        <v>0.5</v>
      </c>
      <c r="O293" s="34">
        <v>40</v>
      </c>
      <c r="P293" s="33">
        <v>9</v>
      </c>
      <c r="Q293" s="34">
        <v>9</v>
      </c>
      <c r="R293" s="34">
        <v>3</v>
      </c>
      <c r="S293" s="34">
        <v>3</v>
      </c>
      <c r="T293" s="34">
        <v>0</v>
      </c>
      <c r="U293" s="34">
        <v>1</v>
      </c>
      <c r="V293" s="34">
        <v>13</v>
      </c>
      <c r="W293" s="34">
        <v>0</v>
      </c>
      <c r="X293" s="34">
        <v>0</v>
      </c>
      <c r="Y293" s="34">
        <v>5</v>
      </c>
      <c r="Z293" s="34">
        <v>5</v>
      </c>
      <c r="AA293" s="24" t="s">
        <v>15</v>
      </c>
      <c r="AB293" s="24" t="s">
        <v>47</v>
      </c>
      <c r="AC293" s="24" t="s">
        <v>15</v>
      </c>
      <c r="AD293" s="23">
        <f t="shared" si="3"/>
        <v>1.3333333333333333</v>
      </c>
      <c r="AE293" s="23">
        <f t="shared" si="4"/>
        <v>5.8977777777777778</v>
      </c>
      <c r="AF293" s="23">
        <f t="shared" si="5"/>
        <v>0.3</v>
      </c>
    </row>
    <row r="294" spans="1:32" ht="15.75" customHeight="1" x14ac:dyDescent="0.15">
      <c r="A294" s="30">
        <v>290</v>
      </c>
      <c r="B294" s="31" t="s">
        <v>2973</v>
      </c>
      <c r="C294" s="46" t="s">
        <v>2648</v>
      </c>
      <c r="D294" s="30">
        <v>9</v>
      </c>
      <c r="E294" s="30">
        <v>7</v>
      </c>
      <c r="F294" s="30">
        <v>0</v>
      </c>
      <c r="G294" s="30">
        <v>1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49</v>
      </c>
      <c r="P294" s="33">
        <v>9</v>
      </c>
      <c r="Q294" s="30">
        <v>13</v>
      </c>
      <c r="R294" s="30">
        <v>5</v>
      </c>
      <c r="S294" s="30">
        <v>9</v>
      </c>
      <c r="T294" s="30">
        <v>0</v>
      </c>
      <c r="U294" s="30">
        <v>0</v>
      </c>
      <c r="V294" s="30">
        <v>5</v>
      </c>
      <c r="W294" s="30">
        <v>0</v>
      </c>
      <c r="X294" s="30">
        <v>0</v>
      </c>
      <c r="Y294" s="30">
        <v>10</v>
      </c>
      <c r="Z294" s="30">
        <v>9</v>
      </c>
      <c r="AA294" s="23" t="s">
        <v>15</v>
      </c>
      <c r="AB294" s="23" t="s">
        <v>72</v>
      </c>
      <c r="AC294" s="23" t="s">
        <v>64</v>
      </c>
      <c r="AD294" s="23">
        <f t="shared" si="3"/>
        <v>2.4444444444444446</v>
      </c>
      <c r="AE294" s="23">
        <f t="shared" si="4"/>
        <v>12.231111111111112</v>
      </c>
      <c r="AF294" s="23">
        <f t="shared" si="5"/>
        <v>0.26666666666666666</v>
      </c>
    </row>
    <row r="295" spans="1:32" ht="15.75" customHeight="1" x14ac:dyDescent="0.15">
      <c r="A295" s="34">
        <v>290</v>
      </c>
      <c r="B295" s="35" t="s">
        <v>3020</v>
      </c>
      <c r="C295" s="43" t="s">
        <v>2649</v>
      </c>
      <c r="D295" s="34">
        <v>2</v>
      </c>
      <c r="E295" s="34">
        <v>4</v>
      </c>
      <c r="F295" s="34">
        <v>1</v>
      </c>
      <c r="G295" s="34">
        <v>0</v>
      </c>
      <c r="H295" s="34">
        <v>0</v>
      </c>
      <c r="I295" s="34">
        <v>1</v>
      </c>
      <c r="J295" s="34">
        <v>1</v>
      </c>
      <c r="K295" s="34">
        <v>0</v>
      </c>
      <c r="L295" s="34">
        <v>0</v>
      </c>
      <c r="M295" s="34">
        <v>0</v>
      </c>
      <c r="N295" s="34">
        <v>1</v>
      </c>
      <c r="O295" s="34">
        <v>36</v>
      </c>
      <c r="P295" s="33">
        <v>9</v>
      </c>
      <c r="Q295" s="34">
        <v>7</v>
      </c>
      <c r="R295" s="34">
        <v>0</v>
      </c>
      <c r="S295" s="34">
        <v>3</v>
      </c>
      <c r="T295" s="34">
        <v>0</v>
      </c>
      <c r="U295" s="34">
        <v>0</v>
      </c>
      <c r="V295" s="34">
        <v>10</v>
      </c>
      <c r="W295" s="34">
        <v>0</v>
      </c>
      <c r="X295" s="34">
        <v>0</v>
      </c>
      <c r="Y295" s="34">
        <v>2</v>
      </c>
      <c r="Z295" s="34">
        <v>2</v>
      </c>
      <c r="AA295" s="24" t="s">
        <v>15</v>
      </c>
      <c r="AB295" s="24" t="s">
        <v>57</v>
      </c>
      <c r="AC295" s="24" t="s">
        <v>57</v>
      </c>
      <c r="AD295" s="23">
        <f t="shared" si="3"/>
        <v>1.1111111111111112</v>
      </c>
      <c r="AE295" s="23">
        <f t="shared" si="4"/>
        <v>1.8977777777777778</v>
      </c>
      <c r="AF295" s="23">
        <f t="shared" si="5"/>
        <v>0.30434782608695654</v>
      </c>
    </row>
    <row r="296" spans="1:32" ht="15.75" customHeight="1" x14ac:dyDescent="0.15">
      <c r="A296" s="30">
        <v>290</v>
      </c>
      <c r="B296" s="31" t="s">
        <v>2974</v>
      </c>
      <c r="C296" s="54" t="s">
        <v>2650</v>
      </c>
      <c r="D296" s="30">
        <v>3</v>
      </c>
      <c r="E296" s="30">
        <v>2</v>
      </c>
      <c r="F296" s="30">
        <v>0</v>
      </c>
      <c r="G296" s="30">
        <v>2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40</v>
      </c>
      <c r="P296" s="33">
        <v>9</v>
      </c>
      <c r="Q296" s="30">
        <v>8</v>
      </c>
      <c r="R296" s="30">
        <v>0</v>
      </c>
      <c r="S296" s="30">
        <v>5</v>
      </c>
      <c r="T296" s="30">
        <v>0</v>
      </c>
      <c r="U296" s="30">
        <v>0</v>
      </c>
      <c r="V296" s="30">
        <v>6</v>
      </c>
      <c r="W296" s="30">
        <v>1</v>
      </c>
      <c r="X296" s="30">
        <v>0</v>
      </c>
      <c r="Y296" s="30">
        <v>4</v>
      </c>
      <c r="Z296" s="30">
        <v>3</v>
      </c>
      <c r="AA296" s="23" t="s">
        <v>15</v>
      </c>
      <c r="AB296" s="23" t="s">
        <v>80</v>
      </c>
      <c r="AC296" s="23" t="s">
        <v>80</v>
      </c>
      <c r="AD296" s="23">
        <f t="shared" si="3"/>
        <v>1.4444444444444444</v>
      </c>
      <c r="AE296" s="23">
        <f t="shared" si="4"/>
        <v>3.4533333333333336</v>
      </c>
      <c r="AF296" s="23">
        <f t="shared" si="5"/>
        <v>0.27586206896551724</v>
      </c>
    </row>
    <row r="297" spans="1:32" ht="15.75" customHeight="1" x14ac:dyDescent="0.15">
      <c r="A297" s="34">
        <v>290</v>
      </c>
      <c r="B297" s="35" t="s">
        <v>2975</v>
      </c>
      <c r="C297" s="40" t="s">
        <v>2650</v>
      </c>
      <c r="D297" s="34">
        <v>3</v>
      </c>
      <c r="E297" s="34">
        <v>2</v>
      </c>
      <c r="F297" s="34">
        <v>1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  <c r="N297" s="34">
        <v>1</v>
      </c>
      <c r="O297" s="34">
        <v>37</v>
      </c>
      <c r="P297" s="33">
        <v>9</v>
      </c>
      <c r="Q297" s="34">
        <v>10</v>
      </c>
      <c r="R297" s="34">
        <v>2</v>
      </c>
      <c r="S297" s="34">
        <v>2</v>
      </c>
      <c r="T297" s="34">
        <v>1</v>
      </c>
      <c r="U297" s="34">
        <v>0</v>
      </c>
      <c r="V297" s="34">
        <v>7</v>
      </c>
      <c r="W297" s="34">
        <v>1</v>
      </c>
      <c r="X297" s="34">
        <v>0</v>
      </c>
      <c r="Y297" s="34">
        <v>3</v>
      </c>
      <c r="Z297" s="34">
        <v>3</v>
      </c>
      <c r="AA297" s="24" t="s">
        <v>15</v>
      </c>
      <c r="AB297" s="24" t="s">
        <v>80</v>
      </c>
      <c r="AC297" s="24" t="s">
        <v>80</v>
      </c>
      <c r="AD297" s="23">
        <f t="shared" si="3"/>
        <v>1.3333333333333333</v>
      </c>
      <c r="AE297" s="23">
        <f t="shared" si="4"/>
        <v>4.7866666666666671</v>
      </c>
      <c r="AF297" s="23">
        <f t="shared" si="5"/>
        <v>0.32</v>
      </c>
    </row>
    <row r="298" spans="1:32" ht="15.75" customHeight="1" x14ac:dyDescent="0.15">
      <c r="A298" s="30">
        <v>297</v>
      </c>
      <c r="B298" s="31" t="s">
        <v>2976</v>
      </c>
      <c r="C298" s="47" t="s">
        <v>2654</v>
      </c>
      <c r="D298" s="30">
        <v>1.04</v>
      </c>
      <c r="E298" s="30">
        <v>9</v>
      </c>
      <c r="F298" s="30">
        <v>0</v>
      </c>
      <c r="G298" s="30">
        <v>0</v>
      </c>
      <c r="H298" s="30">
        <v>0</v>
      </c>
      <c r="I298" s="30">
        <v>1</v>
      </c>
      <c r="J298" s="30">
        <v>1</v>
      </c>
      <c r="K298" s="30">
        <v>0</v>
      </c>
      <c r="L298" s="30">
        <v>0</v>
      </c>
      <c r="M298" s="30">
        <v>0</v>
      </c>
      <c r="N298" s="30">
        <v>0</v>
      </c>
      <c r="O298" s="30">
        <v>37</v>
      </c>
      <c r="P298" s="33">
        <v>8.1999999999999993</v>
      </c>
      <c r="Q298" s="30">
        <v>10</v>
      </c>
      <c r="R298" s="30">
        <v>0</v>
      </c>
      <c r="S298" s="30">
        <v>1</v>
      </c>
      <c r="T298" s="30">
        <v>0</v>
      </c>
      <c r="U298" s="30">
        <v>1</v>
      </c>
      <c r="V298" s="30">
        <v>4</v>
      </c>
      <c r="W298" s="30">
        <v>0</v>
      </c>
      <c r="X298" s="30">
        <v>0</v>
      </c>
      <c r="Y298" s="30">
        <v>2</v>
      </c>
      <c r="Z298" s="30">
        <v>1</v>
      </c>
      <c r="AA298" s="23" t="s">
        <v>15</v>
      </c>
      <c r="AB298" s="23" t="s">
        <v>90</v>
      </c>
      <c r="AC298" s="23" t="s">
        <v>90</v>
      </c>
      <c r="AD298" s="23">
        <f t="shared" si="3"/>
        <v>1.3414634146341464</v>
      </c>
      <c r="AE298" s="23">
        <f t="shared" si="4"/>
        <v>2.8760975609756096</v>
      </c>
      <c r="AF298" s="23">
        <f t="shared" si="5"/>
        <v>0.32258064516129031</v>
      </c>
    </row>
    <row r="299" spans="1:32" ht="15.75" customHeight="1" x14ac:dyDescent="0.15">
      <c r="A299" s="34">
        <v>298</v>
      </c>
      <c r="B299" s="35" t="s">
        <v>2977</v>
      </c>
      <c r="C299" s="38" t="s">
        <v>2648</v>
      </c>
      <c r="D299" s="34">
        <v>1.08</v>
      </c>
      <c r="E299" s="34">
        <v>15</v>
      </c>
      <c r="F299" s="34">
        <v>0</v>
      </c>
      <c r="G299" s="34">
        <v>0</v>
      </c>
      <c r="H299" s="34">
        <v>0</v>
      </c>
      <c r="I299" s="34">
        <v>2</v>
      </c>
      <c r="J299" s="34">
        <v>2</v>
      </c>
      <c r="K299" s="34">
        <v>0</v>
      </c>
      <c r="L299" s="34">
        <v>0</v>
      </c>
      <c r="M299" s="34">
        <v>0</v>
      </c>
      <c r="N299" s="34">
        <v>0</v>
      </c>
      <c r="O299" s="34">
        <v>38</v>
      </c>
      <c r="P299" s="33">
        <v>8.1</v>
      </c>
      <c r="Q299" s="34">
        <v>6</v>
      </c>
      <c r="R299" s="34">
        <v>0</v>
      </c>
      <c r="S299" s="34">
        <v>8</v>
      </c>
      <c r="T299" s="34">
        <v>1</v>
      </c>
      <c r="U299" s="34">
        <v>0</v>
      </c>
      <c r="V299" s="34">
        <v>9</v>
      </c>
      <c r="W299" s="34">
        <v>0</v>
      </c>
      <c r="X299" s="34">
        <v>0</v>
      </c>
      <c r="Y299" s="34">
        <v>1</v>
      </c>
      <c r="Z299" s="34">
        <v>1</v>
      </c>
      <c r="AA299" s="24" t="s">
        <v>15</v>
      </c>
      <c r="AB299" s="24" t="s">
        <v>37</v>
      </c>
      <c r="AC299" s="24" t="s">
        <v>37</v>
      </c>
      <c r="AD299" s="23">
        <f t="shared" si="3"/>
        <v>1.7283950617283952</v>
      </c>
      <c r="AE299" s="23">
        <f t="shared" si="4"/>
        <v>3.4903703703703703</v>
      </c>
      <c r="AF299" s="23">
        <f t="shared" si="5"/>
        <v>0.3</v>
      </c>
    </row>
    <row r="300" spans="1:32" ht="15.75" customHeight="1" x14ac:dyDescent="0.15">
      <c r="A300" s="30">
        <v>298</v>
      </c>
      <c r="B300" s="31" t="s">
        <v>2978</v>
      </c>
      <c r="C300" s="37" t="s">
        <v>2647</v>
      </c>
      <c r="D300" s="30">
        <v>7.56</v>
      </c>
      <c r="E300" s="30">
        <v>8</v>
      </c>
      <c r="F300" s="30">
        <v>1</v>
      </c>
      <c r="G300" s="30">
        <v>1</v>
      </c>
      <c r="H300" s="30">
        <v>0</v>
      </c>
      <c r="I300" s="30">
        <v>1</v>
      </c>
      <c r="J300" s="30">
        <v>2</v>
      </c>
      <c r="K300" s="30">
        <v>0</v>
      </c>
      <c r="L300" s="30">
        <v>0</v>
      </c>
      <c r="M300" s="30">
        <v>0</v>
      </c>
      <c r="N300" s="30">
        <v>0.5</v>
      </c>
      <c r="O300" s="30">
        <v>45</v>
      </c>
      <c r="P300" s="33">
        <v>8.1</v>
      </c>
      <c r="Q300" s="30">
        <v>10</v>
      </c>
      <c r="R300" s="30">
        <v>0</v>
      </c>
      <c r="S300" s="30">
        <v>10</v>
      </c>
      <c r="T300" s="30">
        <v>1</v>
      </c>
      <c r="U300" s="30">
        <v>2</v>
      </c>
      <c r="V300" s="30">
        <v>10</v>
      </c>
      <c r="W300" s="30">
        <v>2</v>
      </c>
      <c r="X300" s="30">
        <v>1</v>
      </c>
      <c r="Y300" s="30">
        <v>8</v>
      </c>
      <c r="Z300" s="30">
        <v>7</v>
      </c>
      <c r="AA300" s="23" t="s">
        <v>15</v>
      </c>
      <c r="AB300" s="23" t="s">
        <v>14</v>
      </c>
      <c r="AC300" s="23" t="s">
        <v>14</v>
      </c>
      <c r="AD300" s="23">
        <f t="shared" si="3"/>
        <v>2.4691358024691361</v>
      </c>
      <c r="AE300" s="23">
        <f t="shared" si="4"/>
        <v>4.7249382716049384</v>
      </c>
      <c r="AF300" s="23">
        <f t="shared" si="5"/>
        <v>0.45454545454545453</v>
      </c>
    </row>
    <row r="301" spans="1:32" ht="15.75" customHeight="1" x14ac:dyDescent="0.15">
      <c r="A301" s="34">
        <v>298</v>
      </c>
      <c r="B301" s="35" t="s">
        <v>2979</v>
      </c>
      <c r="C301" s="36" t="s">
        <v>2646</v>
      </c>
      <c r="D301" s="34">
        <v>6.48</v>
      </c>
      <c r="E301" s="34">
        <v>7</v>
      </c>
      <c r="F301" s="34">
        <v>0</v>
      </c>
      <c r="G301" s="34">
        <v>0</v>
      </c>
      <c r="H301" s="34">
        <v>0</v>
      </c>
      <c r="I301" s="34">
        <v>3</v>
      </c>
      <c r="J301" s="34">
        <v>3</v>
      </c>
      <c r="K301" s="34">
        <v>0</v>
      </c>
      <c r="L301" s="34">
        <v>0</v>
      </c>
      <c r="M301" s="34">
        <v>0</v>
      </c>
      <c r="N301" s="34">
        <v>0</v>
      </c>
      <c r="O301" s="34">
        <v>42</v>
      </c>
      <c r="P301" s="33">
        <v>8.1</v>
      </c>
      <c r="Q301" s="34">
        <v>9</v>
      </c>
      <c r="R301" s="34">
        <v>2</v>
      </c>
      <c r="S301" s="34">
        <v>5</v>
      </c>
      <c r="T301" s="34">
        <v>0</v>
      </c>
      <c r="U301" s="34">
        <v>0</v>
      </c>
      <c r="V301" s="34">
        <v>5</v>
      </c>
      <c r="W301" s="34">
        <v>1</v>
      </c>
      <c r="X301" s="34">
        <v>0</v>
      </c>
      <c r="Y301" s="34">
        <v>9</v>
      </c>
      <c r="Z301" s="34">
        <v>6</v>
      </c>
      <c r="AA301" s="24" t="s">
        <v>15</v>
      </c>
      <c r="AB301" s="24" t="s">
        <v>72</v>
      </c>
      <c r="AC301" s="24" t="s">
        <v>72</v>
      </c>
      <c r="AD301" s="23">
        <f t="shared" si="3"/>
        <v>1.7283950617283952</v>
      </c>
      <c r="AE301" s="23">
        <f t="shared" si="4"/>
        <v>6.9471604938271607</v>
      </c>
      <c r="AF301" s="23">
        <f t="shared" si="5"/>
        <v>0.23333333333333334</v>
      </c>
    </row>
    <row r="302" spans="1:32" ht="15.75" customHeight="1" x14ac:dyDescent="0.15">
      <c r="A302" s="30">
        <v>301</v>
      </c>
      <c r="B302" s="31" t="s">
        <v>2980</v>
      </c>
      <c r="C302" s="53" t="s">
        <v>198</v>
      </c>
      <c r="D302" s="30">
        <v>4.5</v>
      </c>
      <c r="E302" s="30">
        <v>7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39</v>
      </c>
      <c r="P302" s="33">
        <v>8</v>
      </c>
      <c r="Q302" s="30">
        <v>9</v>
      </c>
      <c r="R302" s="30">
        <v>0</v>
      </c>
      <c r="S302" s="30">
        <v>7</v>
      </c>
      <c r="T302" s="30">
        <v>0</v>
      </c>
      <c r="U302" s="30">
        <v>0</v>
      </c>
      <c r="V302" s="30">
        <v>6</v>
      </c>
      <c r="W302" s="30">
        <v>0</v>
      </c>
      <c r="X302" s="30">
        <v>0</v>
      </c>
      <c r="Y302" s="30">
        <v>4</v>
      </c>
      <c r="Z302" s="30">
        <v>4</v>
      </c>
      <c r="AA302" s="23" t="s">
        <v>15</v>
      </c>
      <c r="AB302" s="23" t="s">
        <v>47</v>
      </c>
      <c r="AC302" s="23" t="s">
        <v>37</v>
      </c>
      <c r="AD302" s="23">
        <f t="shared" si="3"/>
        <v>2</v>
      </c>
      <c r="AE302" s="23">
        <f t="shared" si="4"/>
        <v>4.2450000000000001</v>
      </c>
      <c r="AF302" s="23">
        <f t="shared" si="5"/>
        <v>0.34615384615384615</v>
      </c>
    </row>
    <row r="303" spans="1:32" ht="15.75" customHeight="1" x14ac:dyDescent="0.15">
      <c r="A303" s="34">
        <v>301</v>
      </c>
      <c r="B303" s="35" t="s">
        <v>2981</v>
      </c>
      <c r="C303" s="36" t="s">
        <v>2646</v>
      </c>
      <c r="D303" s="34">
        <v>3.38</v>
      </c>
      <c r="E303" s="34">
        <v>7</v>
      </c>
      <c r="F303" s="34">
        <v>0</v>
      </c>
      <c r="G303" s="34">
        <v>0</v>
      </c>
      <c r="H303" s="34">
        <v>0</v>
      </c>
      <c r="I303" s="34">
        <v>2</v>
      </c>
      <c r="J303" s="34">
        <v>2</v>
      </c>
      <c r="K303" s="34">
        <v>0</v>
      </c>
      <c r="L303" s="34">
        <v>0</v>
      </c>
      <c r="M303" s="34">
        <v>0</v>
      </c>
      <c r="N303" s="34">
        <v>0</v>
      </c>
      <c r="O303" s="34">
        <v>35</v>
      </c>
      <c r="P303" s="33">
        <v>8</v>
      </c>
      <c r="Q303" s="34">
        <v>6</v>
      </c>
      <c r="R303" s="34">
        <v>0</v>
      </c>
      <c r="S303" s="34">
        <v>5</v>
      </c>
      <c r="T303" s="34">
        <v>0</v>
      </c>
      <c r="U303" s="34">
        <v>1</v>
      </c>
      <c r="V303" s="34">
        <v>8</v>
      </c>
      <c r="W303" s="34">
        <v>2</v>
      </c>
      <c r="X303" s="34">
        <v>0</v>
      </c>
      <c r="Y303" s="34">
        <v>3</v>
      </c>
      <c r="Z303" s="34">
        <v>3</v>
      </c>
      <c r="AA303" s="24" t="s">
        <v>15</v>
      </c>
      <c r="AB303" s="24" t="s">
        <v>15</v>
      </c>
      <c r="AC303" s="24" t="s">
        <v>15</v>
      </c>
      <c r="AD303" s="23">
        <f t="shared" si="3"/>
        <v>1.375</v>
      </c>
      <c r="AE303" s="23">
        <f t="shared" si="4"/>
        <v>3.37</v>
      </c>
      <c r="AF303" s="23">
        <f t="shared" si="5"/>
        <v>0.2857142857142857</v>
      </c>
    </row>
    <row r="304" spans="1:32" ht="15.75" customHeight="1" x14ac:dyDescent="0.15">
      <c r="A304" s="30">
        <v>301</v>
      </c>
      <c r="B304" s="31" t="s">
        <v>2982</v>
      </c>
      <c r="C304" s="44" t="s">
        <v>2653</v>
      </c>
      <c r="D304" s="30">
        <v>5.63</v>
      </c>
      <c r="E304" s="30">
        <v>7</v>
      </c>
      <c r="F304" s="30">
        <v>0</v>
      </c>
      <c r="G304" s="30">
        <v>0</v>
      </c>
      <c r="H304" s="30">
        <v>0</v>
      </c>
      <c r="I304" s="30">
        <v>1</v>
      </c>
      <c r="J304" s="30">
        <v>1</v>
      </c>
      <c r="K304" s="30">
        <v>0</v>
      </c>
      <c r="L304" s="30">
        <v>0</v>
      </c>
      <c r="M304" s="30">
        <v>0</v>
      </c>
      <c r="N304" s="30">
        <v>0</v>
      </c>
      <c r="O304" s="30">
        <v>32</v>
      </c>
      <c r="P304" s="33">
        <v>8</v>
      </c>
      <c r="Q304" s="30">
        <v>6</v>
      </c>
      <c r="R304" s="30">
        <v>1</v>
      </c>
      <c r="S304" s="30">
        <v>3</v>
      </c>
      <c r="T304" s="30">
        <v>0</v>
      </c>
      <c r="U304" s="30">
        <v>0</v>
      </c>
      <c r="V304" s="30">
        <v>6</v>
      </c>
      <c r="W304" s="30">
        <v>0</v>
      </c>
      <c r="X304" s="30">
        <v>0</v>
      </c>
      <c r="Y304" s="30">
        <v>5</v>
      </c>
      <c r="Z304" s="30">
        <v>5</v>
      </c>
      <c r="AA304" s="23" t="s">
        <v>15</v>
      </c>
      <c r="AB304" s="23" t="s">
        <v>37</v>
      </c>
      <c r="AC304" s="23" t="s">
        <v>37</v>
      </c>
      <c r="AD304" s="23">
        <f t="shared" si="3"/>
        <v>1.125</v>
      </c>
      <c r="AE304" s="23">
        <f t="shared" si="4"/>
        <v>4.37</v>
      </c>
      <c r="AF304" s="23">
        <f t="shared" si="5"/>
        <v>0.22727272727272727</v>
      </c>
    </row>
    <row r="305" spans="1:32" ht="15.75" customHeight="1" x14ac:dyDescent="0.15">
      <c r="A305" s="34">
        <v>301</v>
      </c>
      <c r="B305" s="35" t="s">
        <v>2983</v>
      </c>
      <c r="C305" s="40" t="s">
        <v>2650</v>
      </c>
      <c r="D305" s="34">
        <v>7.88</v>
      </c>
      <c r="E305" s="34">
        <v>6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37</v>
      </c>
      <c r="P305" s="33">
        <v>8</v>
      </c>
      <c r="Q305" s="34">
        <v>9</v>
      </c>
      <c r="R305" s="34">
        <v>1</v>
      </c>
      <c r="S305" s="34">
        <v>4</v>
      </c>
      <c r="T305" s="34">
        <v>0</v>
      </c>
      <c r="U305" s="34">
        <v>0</v>
      </c>
      <c r="V305" s="34">
        <v>7</v>
      </c>
      <c r="W305" s="34">
        <v>2</v>
      </c>
      <c r="X305" s="34">
        <v>0</v>
      </c>
      <c r="Y305" s="34">
        <v>7</v>
      </c>
      <c r="Z305" s="34">
        <v>7</v>
      </c>
      <c r="AA305" s="24" t="s">
        <v>15</v>
      </c>
      <c r="AB305" s="24" t="s">
        <v>99</v>
      </c>
      <c r="AC305" s="24" t="s">
        <v>99</v>
      </c>
      <c r="AD305" s="23">
        <f t="shared" si="3"/>
        <v>1.625</v>
      </c>
      <c r="AE305" s="23">
        <f t="shared" si="4"/>
        <v>4.4950000000000001</v>
      </c>
      <c r="AF305" s="23">
        <f t="shared" si="5"/>
        <v>0.32</v>
      </c>
    </row>
    <row r="306" spans="1:32" ht="15.75" customHeight="1" x14ac:dyDescent="0.15">
      <c r="A306" s="30">
        <v>301</v>
      </c>
      <c r="B306" s="31" t="s">
        <v>2984</v>
      </c>
      <c r="C306" s="44" t="s">
        <v>2653</v>
      </c>
      <c r="D306" s="30">
        <v>9</v>
      </c>
      <c r="E306" s="30">
        <v>4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42</v>
      </c>
      <c r="P306" s="33">
        <v>8</v>
      </c>
      <c r="Q306" s="30">
        <v>13</v>
      </c>
      <c r="R306" s="30">
        <v>3</v>
      </c>
      <c r="S306" s="30">
        <v>2</v>
      </c>
      <c r="T306" s="30">
        <v>0</v>
      </c>
      <c r="U306" s="30">
        <v>2</v>
      </c>
      <c r="V306" s="30">
        <v>3</v>
      </c>
      <c r="W306" s="30">
        <v>0</v>
      </c>
      <c r="X306" s="30">
        <v>0</v>
      </c>
      <c r="Y306" s="30">
        <v>10</v>
      </c>
      <c r="Z306" s="30">
        <v>8</v>
      </c>
      <c r="AA306" s="23" t="s">
        <v>15</v>
      </c>
      <c r="AB306" s="23" t="s">
        <v>37</v>
      </c>
      <c r="AC306" s="23" t="s">
        <v>27</v>
      </c>
      <c r="AD306" s="23">
        <f t="shared" si="3"/>
        <v>1.875</v>
      </c>
      <c r="AE306" s="23">
        <f t="shared" si="4"/>
        <v>8.745000000000001</v>
      </c>
      <c r="AF306" s="23">
        <f t="shared" si="5"/>
        <v>0.3125</v>
      </c>
    </row>
    <row r="307" spans="1:32" ht="15.75" customHeight="1" x14ac:dyDescent="0.15">
      <c r="A307" s="34">
        <v>301</v>
      </c>
      <c r="B307" s="35" t="s">
        <v>2985</v>
      </c>
      <c r="C307" s="51" t="s">
        <v>2655</v>
      </c>
      <c r="D307" s="34">
        <v>5.63</v>
      </c>
      <c r="E307" s="34">
        <v>4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41</v>
      </c>
      <c r="P307" s="33">
        <v>8</v>
      </c>
      <c r="Q307" s="34">
        <v>10</v>
      </c>
      <c r="R307" s="34">
        <v>1</v>
      </c>
      <c r="S307" s="34">
        <v>5</v>
      </c>
      <c r="T307" s="34">
        <v>0</v>
      </c>
      <c r="U307" s="34">
        <v>2</v>
      </c>
      <c r="V307" s="34">
        <v>5</v>
      </c>
      <c r="W307" s="34">
        <v>2</v>
      </c>
      <c r="X307" s="34">
        <v>0</v>
      </c>
      <c r="Y307" s="34">
        <v>7</v>
      </c>
      <c r="Z307" s="34">
        <v>5</v>
      </c>
      <c r="AA307" s="24" t="s">
        <v>15</v>
      </c>
      <c r="AB307" s="24" t="s">
        <v>27</v>
      </c>
      <c r="AC307" s="24" t="s">
        <v>27</v>
      </c>
      <c r="AD307" s="23">
        <f t="shared" si="3"/>
        <v>1.875</v>
      </c>
      <c r="AE307" s="23">
        <f t="shared" si="4"/>
        <v>6.12</v>
      </c>
      <c r="AF307" s="23">
        <f t="shared" si="5"/>
        <v>0.32142857142857145</v>
      </c>
    </row>
    <row r="308" spans="1:32" ht="15.75" customHeight="1" x14ac:dyDescent="0.15">
      <c r="A308" s="30">
        <v>301</v>
      </c>
      <c r="B308" s="31" t="s">
        <v>2986</v>
      </c>
      <c r="C308" s="32" t="s">
        <v>2645</v>
      </c>
      <c r="D308" s="30">
        <v>5.63</v>
      </c>
      <c r="E308" s="30">
        <v>3</v>
      </c>
      <c r="F308" s="30">
        <v>0</v>
      </c>
      <c r="G308" s="30">
        <v>1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36</v>
      </c>
      <c r="P308" s="33">
        <v>8</v>
      </c>
      <c r="Q308" s="30">
        <v>10</v>
      </c>
      <c r="R308" s="30">
        <v>1</v>
      </c>
      <c r="S308" s="30">
        <v>2</v>
      </c>
      <c r="T308" s="30">
        <v>0</v>
      </c>
      <c r="U308" s="30">
        <v>1</v>
      </c>
      <c r="V308" s="30">
        <v>3</v>
      </c>
      <c r="W308" s="30">
        <v>0</v>
      </c>
      <c r="X308" s="30">
        <v>0</v>
      </c>
      <c r="Y308" s="30">
        <v>5</v>
      </c>
      <c r="Z308" s="30">
        <v>5</v>
      </c>
      <c r="AA308" s="23" t="s">
        <v>15</v>
      </c>
      <c r="AB308" s="23" t="s">
        <v>72</v>
      </c>
      <c r="AC308" s="23" t="s">
        <v>72</v>
      </c>
      <c r="AD308" s="23">
        <f t="shared" si="3"/>
        <v>1.5</v>
      </c>
      <c r="AE308" s="23">
        <f t="shared" si="4"/>
        <v>5.12</v>
      </c>
      <c r="AF308" s="23">
        <f t="shared" si="5"/>
        <v>0.31034482758620691</v>
      </c>
    </row>
    <row r="309" spans="1:32" ht="15.75" customHeight="1" x14ac:dyDescent="0.15">
      <c r="A309" s="34">
        <v>308</v>
      </c>
      <c r="B309" s="35" t="s">
        <v>2987</v>
      </c>
      <c r="C309" s="36" t="s">
        <v>2646</v>
      </c>
      <c r="D309" s="34">
        <v>4.7</v>
      </c>
      <c r="E309" s="34">
        <v>8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38</v>
      </c>
      <c r="P309" s="33">
        <v>7.2</v>
      </c>
      <c r="Q309" s="34">
        <v>11</v>
      </c>
      <c r="R309" s="34">
        <v>0</v>
      </c>
      <c r="S309" s="34">
        <v>5</v>
      </c>
      <c r="T309" s="34">
        <v>0</v>
      </c>
      <c r="U309" s="34">
        <v>0</v>
      </c>
      <c r="V309" s="34">
        <v>6</v>
      </c>
      <c r="W309" s="34">
        <v>0</v>
      </c>
      <c r="X309" s="34">
        <v>0</v>
      </c>
      <c r="Y309" s="34">
        <v>4</v>
      </c>
      <c r="Z309" s="34">
        <v>4</v>
      </c>
      <c r="AA309" s="24" t="s">
        <v>15</v>
      </c>
      <c r="AB309" s="24" t="s">
        <v>15</v>
      </c>
      <c r="AC309" s="24" t="s">
        <v>15</v>
      </c>
      <c r="AD309" s="23">
        <f t="shared" si="3"/>
        <v>2.2222222222222223</v>
      </c>
      <c r="AE309" s="23">
        <f t="shared" si="4"/>
        <v>3.5366666666666666</v>
      </c>
      <c r="AF309" s="23">
        <f t="shared" si="5"/>
        <v>0.40740740740740738</v>
      </c>
    </row>
    <row r="310" spans="1:32" ht="15.75" customHeight="1" x14ac:dyDescent="0.15">
      <c r="A310" s="30">
        <v>308</v>
      </c>
      <c r="B310" s="31" t="s">
        <v>2988</v>
      </c>
      <c r="C310" s="52" t="s">
        <v>2646</v>
      </c>
      <c r="D310" s="30">
        <v>8.2200000000000006</v>
      </c>
      <c r="E310" s="30">
        <v>8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36</v>
      </c>
      <c r="P310" s="33">
        <v>7.2</v>
      </c>
      <c r="Q310" s="30">
        <v>9</v>
      </c>
      <c r="R310" s="30">
        <v>2</v>
      </c>
      <c r="S310" s="30">
        <v>4</v>
      </c>
      <c r="T310" s="30">
        <v>0</v>
      </c>
      <c r="U310" s="30">
        <v>0</v>
      </c>
      <c r="V310" s="30">
        <v>9</v>
      </c>
      <c r="W310" s="30">
        <v>1</v>
      </c>
      <c r="X310" s="30">
        <v>0</v>
      </c>
      <c r="Y310" s="30">
        <v>7</v>
      </c>
      <c r="Z310" s="30">
        <v>7</v>
      </c>
      <c r="AA310" s="23" t="s">
        <v>15</v>
      </c>
      <c r="AB310" s="23" t="s">
        <v>37</v>
      </c>
      <c r="AC310" s="23" t="s">
        <v>27</v>
      </c>
      <c r="AD310" s="23">
        <f t="shared" si="3"/>
        <v>1.8055555555555556</v>
      </c>
      <c r="AE310" s="23">
        <f t="shared" si="4"/>
        <v>5.8977777777777778</v>
      </c>
      <c r="AF310" s="23">
        <f t="shared" si="5"/>
        <v>0.33333333333333331</v>
      </c>
    </row>
    <row r="311" spans="1:32" ht="15.75" customHeight="1" x14ac:dyDescent="0.15">
      <c r="A311" s="34">
        <v>308</v>
      </c>
      <c r="B311" s="35" t="s">
        <v>2989</v>
      </c>
      <c r="C311" s="56" t="s">
        <v>2653</v>
      </c>
      <c r="D311" s="34">
        <v>0</v>
      </c>
      <c r="E311" s="34">
        <v>2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28</v>
      </c>
      <c r="P311" s="33">
        <v>7.2</v>
      </c>
      <c r="Q311" s="34">
        <v>6</v>
      </c>
      <c r="R311" s="34">
        <v>0</v>
      </c>
      <c r="S311" s="34">
        <v>0</v>
      </c>
      <c r="T311" s="34">
        <v>0</v>
      </c>
      <c r="U311" s="34">
        <v>0</v>
      </c>
      <c r="V311" s="34">
        <v>7</v>
      </c>
      <c r="W311" s="34">
        <v>0</v>
      </c>
      <c r="X311" s="34">
        <v>0</v>
      </c>
      <c r="Y311" s="34">
        <v>0</v>
      </c>
      <c r="Z311" s="34">
        <v>0</v>
      </c>
      <c r="AA311" s="24" t="s">
        <v>15</v>
      </c>
      <c r="AB311" s="24" t="s">
        <v>64</v>
      </c>
      <c r="AC311" s="24" t="s">
        <v>64</v>
      </c>
      <c r="AD311" s="23">
        <f t="shared" si="3"/>
        <v>0.83333333333333326</v>
      </c>
      <c r="AE311" s="23">
        <f t="shared" si="4"/>
        <v>1.1755555555555557</v>
      </c>
      <c r="AF311" s="23">
        <f t="shared" si="5"/>
        <v>0.2857142857142857</v>
      </c>
    </row>
    <row r="312" spans="1:32" ht="15.75" customHeight="1" x14ac:dyDescent="0.15">
      <c r="A312" s="30">
        <v>311</v>
      </c>
      <c r="B312" s="31" t="s">
        <v>2990</v>
      </c>
      <c r="C312" s="47" t="s">
        <v>2654</v>
      </c>
      <c r="D312" s="30">
        <v>14.73</v>
      </c>
      <c r="E312" s="30">
        <v>7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38</v>
      </c>
      <c r="P312" s="33">
        <v>7.1</v>
      </c>
      <c r="Q312" s="30">
        <v>15</v>
      </c>
      <c r="R312" s="30">
        <v>2</v>
      </c>
      <c r="S312" s="30">
        <v>4</v>
      </c>
      <c r="T312" s="30">
        <v>0</v>
      </c>
      <c r="U312" s="30">
        <v>0</v>
      </c>
      <c r="V312" s="30">
        <v>5</v>
      </c>
      <c r="W312" s="30">
        <v>0</v>
      </c>
      <c r="X312" s="30">
        <v>0</v>
      </c>
      <c r="Y312" s="30">
        <v>12</v>
      </c>
      <c r="Z312" s="30">
        <v>12</v>
      </c>
      <c r="AA312" s="23" t="s">
        <v>15</v>
      </c>
      <c r="AB312" s="23" t="s">
        <v>57</v>
      </c>
      <c r="AC312" s="23" t="s">
        <v>57</v>
      </c>
      <c r="AD312" s="23">
        <f t="shared" si="3"/>
        <v>2.676056338028169</v>
      </c>
      <c r="AE312" s="23">
        <f t="shared" si="4"/>
        <v>7.0636619718309861</v>
      </c>
      <c r="AF312" s="23">
        <f t="shared" si="5"/>
        <v>0.48148148148148145</v>
      </c>
    </row>
    <row r="313" spans="1:32" ht="15.75" customHeight="1" x14ac:dyDescent="0.15">
      <c r="A313" s="34">
        <v>311</v>
      </c>
      <c r="B313" s="35" t="s">
        <v>2991</v>
      </c>
      <c r="C313" s="43" t="s">
        <v>2649</v>
      </c>
      <c r="D313" s="34">
        <v>6.14</v>
      </c>
      <c r="E313" s="34">
        <v>3</v>
      </c>
      <c r="F313" s="34">
        <v>0</v>
      </c>
      <c r="G313" s="34">
        <v>1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35</v>
      </c>
      <c r="P313" s="33">
        <v>7.1</v>
      </c>
      <c r="Q313" s="34">
        <v>10</v>
      </c>
      <c r="R313" s="34">
        <v>0</v>
      </c>
      <c r="S313" s="34">
        <v>4</v>
      </c>
      <c r="T313" s="34">
        <v>0</v>
      </c>
      <c r="U313" s="34">
        <v>1</v>
      </c>
      <c r="V313" s="34">
        <v>5</v>
      </c>
      <c r="W313" s="34">
        <v>0</v>
      </c>
      <c r="X313" s="34">
        <v>0</v>
      </c>
      <c r="Y313" s="34">
        <v>5</v>
      </c>
      <c r="Z313" s="34">
        <v>5</v>
      </c>
      <c r="AA313" s="24" t="s">
        <v>15</v>
      </c>
      <c r="AB313" s="24" t="s">
        <v>47</v>
      </c>
      <c r="AC313" s="24" t="s">
        <v>14</v>
      </c>
      <c r="AD313" s="23">
        <f t="shared" si="3"/>
        <v>1.971830985915493</v>
      </c>
      <c r="AE313" s="23">
        <f t="shared" si="4"/>
        <v>3.8242253521126761</v>
      </c>
      <c r="AF313" s="23">
        <f t="shared" si="5"/>
        <v>0.4</v>
      </c>
    </row>
    <row r="314" spans="1:32" ht="15.75" customHeight="1" x14ac:dyDescent="0.15">
      <c r="A314" s="30">
        <v>313</v>
      </c>
      <c r="B314" s="31" t="s">
        <v>2992</v>
      </c>
      <c r="C314" s="49" t="s">
        <v>2655</v>
      </c>
      <c r="D314" s="30">
        <v>0</v>
      </c>
      <c r="E314" s="30">
        <v>6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31</v>
      </c>
      <c r="P314" s="33">
        <v>7</v>
      </c>
      <c r="Q314" s="30">
        <v>6</v>
      </c>
      <c r="R314" s="30">
        <v>0</v>
      </c>
      <c r="S314" s="30">
        <v>4</v>
      </c>
      <c r="T314" s="30">
        <v>0</v>
      </c>
      <c r="U314" s="30">
        <v>0</v>
      </c>
      <c r="V314" s="30">
        <v>7</v>
      </c>
      <c r="W314" s="30">
        <v>0</v>
      </c>
      <c r="X314" s="30">
        <v>0</v>
      </c>
      <c r="Y314" s="30">
        <v>4</v>
      </c>
      <c r="Z314" s="30">
        <v>0</v>
      </c>
      <c r="AA314" s="23" t="s">
        <v>15</v>
      </c>
      <c r="AB314" s="23" t="s">
        <v>72</v>
      </c>
      <c r="AC314" s="23" t="s">
        <v>64</v>
      </c>
      <c r="AD314" s="23">
        <f t="shared" si="3"/>
        <v>1.4285714285714286</v>
      </c>
      <c r="AE314" s="23">
        <f t="shared" si="4"/>
        <v>2.8342857142857145</v>
      </c>
      <c r="AF314" s="23">
        <f t="shared" si="5"/>
        <v>0.3</v>
      </c>
    </row>
    <row r="315" spans="1:32" ht="15.75" customHeight="1" x14ac:dyDescent="0.15">
      <c r="A315" s="34">
        <v>313</v>
      </c>
      <c r="B315" s="35" t="s">
        <v>2993</v>
      </c>
      <c r="C315" s="58" t="s">
        <v>2645</v>
      </c>
      <c r="D315" s="34">
        <v>6.43</v>
      </c>
      <c r="E315" s="34">
        <v>4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34</v>
      </c>
      <c r="P315" s="33">
        <v>7</v>
      </c>
      <c r="Q315" s="34">
        <v>8</v>
      </c>
      <c r="R315" s="34">
        <v>3</v>
      </c>
      <c r="S315" s="34">
        <v>5</v>
      </c>
      <c r="T315" s="34">
        <v>1</v>
      </c>
      <c r="U315" s="34">
        <v>0</v>
      </c>
      <c r="V315" s="34">
        <v>4</v>
      </c>
      <c r="W315" s="34">
        <v>0</v>
      </c>
      <c r="X315" s="34">
        <v>0</v>
      </c>
      <c r="Y315" s="34">
        <v>5</v>
      </c>
      <c r="Z315" s="34">
        <v>5</v>
      </c>
      <c r="AA315" s="24" t="s">
        <v>15</v>
      </c>
      <c r="AB315" s="24" t="s">
        <v>57</v>
      </c>
      <c r="AC315" s="24" t="s">
        <v>57</v>
      </c>
      <c r="AD315" s="23">
        <f t="shared" si="3"/>
        <v>1.8571428571428572</v>
      </c>
      <c r="AE315" s="23">
        <f t="shared" si="4"/>
        <v>9.2628571428571433</v>
      </c>
      <c r="AF315" s="23">
        <f t="shared" si="5"/>
        <v>0.23809523809523808</v>
      </c>
    </row>
    <row r="316" spans="1:32" ht="15.75" customHeight="1" x14ac:dyDescent="0.15">
      <c r="A316" s="30">
        <v>313</v>
      </c>
      <c r="B316" s="31" t="s">
        <v>2994</v>
      </c>
      <c r="C316" s="39" t="s">
        <v>2649</v>
      </c>
      <c r="D316" s="30">
        <v>2.57</v>
      </c>
      <c r="E316" s="30">
        <v>2</v>
      </c>
      <c r="F316" s="30">
        <v>0</v>
      </c>
      <c r="G316" s="30">
        <v>0</v>
      </c>
      <c r="H316" s="30">
        <v>0</v>
      </c>
      <c r="I316" s="30">
        <v>1</v>
      </c>
      <c r="J316" s="30">
        <v>1</v>
      </c>
      <c r="K316" s="30">
        <v>0</v>
      </c>
      <c r="L316" s="30">
        <v>0</v>
      </c>
      <c r="M316" s="30">
        <v>0</v>
      </c>
      <c r="N316" s="30">
        <v>0</v>
      </c>
      <c r="O316" s="30">
        <v>29</v>
      </c>
      <c r="P316" s="33">
        <v>7</v>
      </c>
      <c r="Q316" s="30">
        <v>3</v>
      </c>
      <c r="R316" s="30">
        <v>0</v>
      </c>
      <c r="S316" s="30">
        <v>5</v>
      </c>
      <c r="T316" s="30">
        <v>0</v>
      </c>
      <c r="U316" s="30">
        <v>1</v>
      </c>
      <c r="V316" s="30">
        <v>3</v>
      </c>
      <c r="W316" s="30">
        <v>2</v>
      </c>
      <c r="X316" s="30">
        <v>0</v>
      </c>
      <c r="Y316" s="30">
        <v>2</v>
      </c>
      <c r="Z316" s="30">
        <v>2</v>
      </c>
      <c r="AA316" s="23" t="s">
        <v>15</v>
      </c>
      <c r="AB316" s="23" t="s">
        <v>14</v>
      </c>
      <c r="AC316" s="23" t="s">
        <v>14</v>
      </c>
      <c r="AD316" s="23">
        <f t="shared" si="3"/>
        <v>1.1428571428571428</v>
      </c>
      <c r="AE316" s="23">
        <f t="shared" si="4"/>
        <v>4.8342857142857145</v>
      </c>
      <c r="AF316" s="23">
        <f t="shared" si="5"/>
        <v>0.15</v>
      </c>
    </row>
    <row r="317" spans="1:32" ht="15.75" customHeight="1" x14ac:dyDescent="0.15">
      <c r="A317" s="34">
        <v>313</v>
      </c>
      <c r="B317" s="35" t="s">
        <v>2995</v>
      </c>
      <c r="C317" s="40" t="s">
        <v>2650</v>
      </c>
      <c r="D317" s="34">
        <v>10.29</v>
      </c>
      <c r="E317" s="34">
        <v>2</v>
      </c>
      <c r="F317" s="34">
        <v>1</v>
      </c>
      <c r="G317" s="34">
        <v>1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0.5</v>
      </c>
      <c r="O317" s="34">
        <v>41</v>
      </c>
      <c r="P317" s="33">
        <v>7</v>
      </c>
      <c r="Q317" s="34">
        <v>11</v>
      </c>
      <c r="R317" s="34">
        <v>1</v>
      </c>
      <c r="S317" s="34">
        <v>9</v>
      </c>
      <c r="T317" s="34">
        <v>0</v>
      </c>
      <c r="U317" s="34">
        <v>1</v>
      </c>
      <c r="V317" s="34">
        <v>7</v>
      </c>
      <c r="W317" s="34">
        <v>0</v>
      </c>
      <c r="X317" s="34">
        <v>0</v>
      </c>
      <c r="Y317" s="34">
        <v>8</v>
      </c>
      <c r="Z317" s="34">
        <v>8</v>
      </c>
      <c r="AA317" s="24" t="s">
        <v>15</v>
      </c>
      <c r="AB317" s="24" t="s">
        <v>80</v>
      </c>
      <c r="AC317" s="24" t="s">
        <v>72</v>
      </c>
      <c r="AD317" s="23">
        <f t="shared" si="3"/>
        <v>2.8571428571428572</v>
      </c>
      <c r="AE317" s="23">
        <f t="shared" si="4"/>
        <v>7.2628571428571433</v>
      </c>
      <c r="AF317" s="23">
        <f t="shared" si="5"/>
        <v>0.43478260869565216</v>
      </c>
    </row>
    <row r="318" spans="1:32" ht="15.75" customHeight="1" x14ac:dyDescent="0.15">
      <c r="A318" s="30">
        <v>317</v>
      </c>
      <c r="B318" s="31" t="s">
        <v>2996</v>
      </c>
      <c r="C318" s="39" t="s">
        <v>2649</v>
      </c>
      <c r="D318" s="30">
        <v>13.5</v>
      </c>
      <c r="E318" s="30">
        <v>7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36</v>
      </c>
      <c r="P318" s="33">
        <v>6.2</v>
      </c>
      <c r="Q318" s="30">
        <v>12</v>
      </c>
      <c r="R318" s="30">
        <v>2</v>
      </c>
      <c r="S318" s="30">
        <v>4</v>
      </c>
      <c r="T318" s="30">
        <v>0</v>
      </c>
      <c r="U318" s="30">
        <v>0</v>
      </c>
      <c r="V318" s="30">
        <v>6</v>
      </c>
      <c r="W318" s="30">
        <v>1</v>
      </c>
      <c r="X318" s="30">
        <v>0</v>
      </c>
      <c r="Y318" s="30">
        <v>10</v>
      </c>
      <c r="Z318" s="30">
        <v>10</v>
      </c>
      <c r="AA318" s="23" t="s">
        <v>15</v>
      </c>
      <c r="AB318" s="23" t="s">
        <v>57</v>
      </c>
      <c r="AC318" s="23" t="s">
        <v>57</v>
      </c>
      <c r="AD318" s="23">
        <f t="shared" si="3"/>
        <v>2.5806451612903225</v>
      </c>
      <c r="AE318" s="23">
        <f t="shared" si="4"/>
        <v>7.3135483870967741</v>
      </c>
      <c r="AF318" s="23">
        <f t="shared" si="5"/>
        <v>0.41666666666666669</v>
      </c>
    </row>
    <row r="319" spans="1:32" ht="15.75" customHeight="1" x14ac:dyDescent="0.15">
      <c r="A319" s="34">
        <v>317</v>
      </c>
      <c r="B319" s="35" t="s">
        <v>2997</v>
      </c>
      <c r="C319" s="40" t="s">
        <v>2650</v>
      </c>
      <c r="D319" s="34">
        <v>1.35</v>
      </c>
      <c r="E319" s="34">
        <v>6</v>
      </c>
      <c r="F319" s="34">
        <v>1</v>
      </c>
      <c r="G319" s="34">
        <v>0</v>
      </c>
      <c r="H319" s="34">
        <v>0</v>
      </c>
      <c r="I319" s="34">
        <v>0</v>
      </c>
      <c r="J319" s="34">
        <v>1</v>
      </c>
      <c r="K319" s="34">
        <v>0</v>
      </c>
      <c r="L319" s="34">
        <v>0</v>
      </c>
      <c r="M319" s="34">
        <v>0</v>
      </c>
      <c r="N319" s="34">
        <v>1</v>
      </c>
      <c r="O319" s="34">
        <v>30</v>
      </c>
      <c r="P319" s="33">
        <v>6.2</v>
      </c>
      <c r="Q319" s="34">
        <v>3</v>
      </c>
      <c r="R319" s="34">
        <v>0</v>
      </c>
      <c r="S319" s="34">
        <v>8</v>
      </c>
      <c r="T319" s="34">
        <v>0</v>
      </c>
      <c r="U319" s="34">
        <v>0</v>
      </c>
      <c r="V319" s="34">
        <v>9</v>
      </c>
      <c r="W319" s="34">
        <v>0</v>
      </c>
      <c r="X319" s="34">
        <v>0</v>
      </c>
      <c r="Y319" s="34">
        <v>1</v>
      </c>
      <c r="Z319" s="34">
        <v>1</v>
      </c>
      <c r="AA319" s="24" t="s">
        <v>15</v>
      </c>
      <c r="AB319" s="24" t="s">
        <v>15</v>
      </c>
      <c r="AC319" s="24" t="s">
        <v>15</v>
      </c>
      <c r="AD319" s="23">
        <f t="shared" si="3"/>
        <v>1.7741935483870968</v>
      </c>
      <c r="AE319" s="23">
        <f t="shared" si="4"/>
        <v>4.0877419354838711</v>
      </c>
      <c r="AF319" s="23">
        <f t="shared" si="5"/>
        <v>0.23076923076923078</v>
      </c>
    </row>
    <row r="320" spans="1:32" ht="15.75" customHeight="1" x14ac:dyDescent="0.15">
      <c r="A320" s="30">
        <v>317</v>
      </c>
      <c r="B320" s="31" t="s">
        <v>2998</v>
      </c>
      <c r="C320" s="49" t="s">
        <v>2655</v>
      </c>
      <c r="D320" s="30">
        <v>1.35</v>
      </c>
      <c r="E320" s="30">
        <v>2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1</v>
      </c>
      <c r="O320" s="30">
        <v>27</v>
      </c>
      <c r="P320" s="33">
        <v>6.2</v>
      </c>
      <c r="Q320" s="30">
        <v>7</v>
      </c>
      <c r="R320" s="30">
        <v>1</v>
      </c>
      <c r="S320" s="30">
        <v>0</v>
      </c>
      <c r="T320" s="30">
        <v>0</v>
      </c>
      <c r="U320" s="30">
        <v>0</v>
      </c>
      <c r="V320" s="30">
        <v>5</v>
      </c>
      <c r="W320" s="30">
        <v>0</v>
      </c>
      <c r="X320" s="30">
        <v>0</v>
      </c>
      <c r="Y320" s="30">
        <v>1</v>
      </c>
      <c r="Z320" s="30">
        <v>1</v>
      </c>
      <c r="AA320" s="23" t="s">
        <v>15</v>
      </c>
      <c r="AB320" s="23" t="s">
        <v>57</v>
      </c>
      <c r="AC320" s="23" t="s">
        <v>57</v>
      </c>
      <c r="AD320" s="23">
        <f t="shared" si="3"/>
        <v>1.129032258064516</v>
      </c>
      <c r="AE320" s="23">
        <f t="shared" si="4"/>
        <v>3.6038709677419356</v>
      </c>
      <c r="AF320" s="23">
        <f t="shared" si="5"/>
        <v>0.2857142857142857</v>
      </c>
    </row>
    <row r="321" spans="1:32" ht="15.75" customHeight="1" x14ac:dyDescent="0.15">
      <c r="A321" s="34">
        <v>317</v>
      </c>
      <c r="B321" s="35" t="s">
        <v>2999</v>
      </c>
      <c r="C321" s="51" t="s">
        <v>2655</v>
      </c>
      <c r="D321" s="34">
        <v>9.4499999999999993</v>
      </c>
      <c r="E321" s="34">
        <v>2</v>
      </c>
      <c r="F321" s="34">
        <v>0</v>
      </c>
      <c r="G321" s="34">
        <v>2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34</v>
      </c>
      <c r="P321" s="33">
        <v>6.2</v>
      </c>
      <c r="Q321" s="34">
        <v>8</v>
      </c>
      <c r="R321" s="34">
        <v>0</v>
      </c>
      <c r="S321" s="34">
        <v>6</v>
      </c>
      <c r="T321" s="34">
        <v>0</v>
      </c>
      <c r="U321" s="34">
        <v>0</v>
      </c>
      <c r="V321" s="34">
        <v>5</v>
      </c>
      <c r="W321" s="34">
        <v>1</v>
      </c>
      <c r="X321" s="34">
        <v>0</v>
      </c>
      <c r="Y321" s="34">
        <v>7</v>
      </c>
      <c r="Z321" s="34">
        <v>7</v>
      </c>
      <c r="AA321" s="24" t="s">
        <v>15</v>
      </c>
      <c r="AB321" s="24" t="s">
        <v>27</v>
      </c>
      <c r="AC321" s="24" t="s">
        <v>27</v>
      </c>
      <c r="AD321" s="23">
        <f t="shared" si="3"/>
        <v>2.258064516129032</v>
      </c>
      <c r="AE321" s="23">
        <f t="shared" si="4"/>
        <v>4.4103225806451611</v>
      </c>
      <c r="AF321" s="23">
        <f t="shared" si="5"/>
        <v>0.34782608695652173</v>
      </c>
    </row>
    <row r="322" spans="1:32" ht="15.75" customHeight="1" x14ac:dyDescent="0.15">
      <c r="A322" s="30">
        <v>321</v>
      </c>
      <c r="B322" s="31" t="s">
        <v>3000</v>
      </c>
      <c r="C322" s="52" t="s">
        <v>2646</v>
      </c>
      <c r="D322" s="30">
        <v>4.26</v>
      </c>
      <c r="E322" s="30">
        <v>6</v>
      </c>
      <c r="F322" s="30">
        <v>0</v>
      </c>
      <c r="G322" s="30">
        <v>0</v>
      </c>
      <c r="H322" s="30">
        <v>1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28</v>
      </c>
      <c r="P322" s="33">
        <v>6.1</v>
      </c>
      <c r="Q322" s="30">
        <v>7</v>
      </c>
      <c r="R322" s="30">
        <v>1</v>
      </c>
      <c r="S322" s="30">
        <v>2</v>
      </c>
      <c r="T322" s="30">
        <v>0</v>
      </c>
      <c r="U322" s="30">
        <v>0</v>
      </c>
      <c r="V322" s="30">
        <v>6</v>
      </c>
      <c r="W322" s="30">
        <v>0</v>
      </c>
      <c r="X322" s="30">
        <v>0</v>
      </c>
      <c r="Y322" s="30">
        <v>3</v>
      </c>
      <c r="Z322" s="30">
        <v>3</v>
      </c>
      <c r="AA322" s="23" t="s">
        <v>15</v>
      </c>
      <c r="AB322" s="23" t="s">
        <v>15</v>
      </c>
      <c r="AC322" s="23" t="s">
        <v>15</v>
      </c>
      <c r="AD322" s="23">
        <f t="shared" si="3"/>
        <v>1.4754098360655739</v>
      </c>
      <c r="AE322" s="23">
        <f t="shared" si="4"/>
        <v>4.2675409836065574</v>
      </c>
      <c r="AF322" s="23">
        <f t="shared" si="5"/>
        <v>0.31578947368421051</v>
      </c>
    </row>
    <row r="323" spans="1:32" ht="15.75" customHeight="1" x14ac:dyDescent="0.15">
      <c r="A323" s="34">
        <v>322</v>
      </c>
      <c r="B323" s="35" t="s">
        <v>3001</v>
      </c>
      <c r="C323" s="38" t="s">
        <v>2648</v>
      </c>
      <c r="D323" s="34">
        <v>3</v>
      </c>
      <c r="E323" s="34">
        <v>7</v>
      </c>
      <c r="F323" s="34">
        <v>1</v>
      </c>
      <c r="G323" s="34">
        <v>1</v>
      </c>
      <c r="H323" s="34">
        <v>0</v>
      </c>
      <c r="I323" s="34">
        <v>1</v>
      </c>
      <c r="J323" s="34">
        <v>2</v>
      </c>
      <c r="K323" s="34">
        <v>0</v>
      </c>
      <c r="L323" s="34">
        <v>0</v>
      </c>
      <c r="M323" s="34">
        <v>0</v>
      </c>
      <c r="N323" s="34">
        <v>0.5</v>
      </c>
      <c r="O323" s="34">
        <v>27</v>
      </c>
      <c r="P323" s="33">
        <v>6</v>
      </c>
      <c r="Q323" s="34">
        <v>6</v>
      </c>
      <c r="R323" s="34">
        <v>0</v>
      </c>
      <c r="S323" s="34">
        <v>2</v>
      </c>
      <c r="T323" s="34">
        <v>0</v>
      </c>
      <c r="U323" s="34">
        <v>1</v>
      </c>
      <c r="V323" s="34">
        <v>11</v>
      </c>
      <c r="W323" s="34">
        <v>1</v>
      </c>
      <c r="X323" s="34">
        <v>0</v>
      </c>
      <c r="Y323" s="34">
        <v>2</v>
      </c>
      <c r="Z323" s="34">
        <v>2</v>
      </c>
      <c r="AA323" s="24" t="s">
        <v>15</v>
      </c>
      <c r="AB323" s="24" t="s">
        <v>47</v>
      </c>
      <c r="AC323" s="24" t="s">
        <v>47</v>
      </c>
      <c r="AD323" s="23">
        <f t="shared" si="3"/>
        <v>1.3333333333333333</v>
      </c>
      <c r="AE323" s="23">
        <f t="shared" si="4"/>
        <v>0.95333333333333359</v>
      </c>
      <c r="AF323" s="23">
        <f t="shared" si="5"/>
        <v>0.46153846153846156</v>
      </c>
    </row>
    <row r="324" spans="1:32" ht="15.75" customHeight="1" x14ac:dyDescent="0.15">
      <c r="A324" s="30">
        <v>322</v>
      </c>
      <c r="B324" s="31" t="s">
        <v>3002</v>
      </c>
      <c r="C324" s="55" t="s">
        <v>2652</v>
      </c>
      <c r="D324" s="30">
        <v>10.5</v>
      </c>
      <c r="E324" s="30">
        <v>6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31</v>
      </c>
      <c r="P324" s="33">
        <v>6</v>
      </c>
      <c r="Q324" s="30">
        <v>11</v>
      </c>
      <c r="R324" s="30">
        <v>0</v>
      </c>
      <c r="S324" s="30">
        <v>3</v>
      </c>
      <c r="T324" s="30">
        <v>0</v>
      </c>
      <c r="U324" s="30">
        <v>1</v>
      </c>
      <c r="V324" s="30">
        <v>2</v>
      </c>
      <c r="W324" s="30">
        <v>0</v>
      </c>
      <c r="X324" s="30">
        <v>0</v>
      </c>
      <c r="Y324" s="30">
        <v>7</v>
      </c>
      <c r="Z324" s="30">
        <v>7</v>
      </c>
      <c r="AA324" s="23" t="s">
        <v>15</v>
      </c>
      <c r="AB324" s="23" t="s">
        <v>27</v>
      </c>
      <c r="AC324" s="23" t="s">
        <v>14</v>
      </c>
      <c r="AD324" s="23">
        <f t="shared" si="3"/>
        <v>2.3333333333333335</v>
      </c>
      <c r="AE324" s="23">
        <f t="shared" si="4"/>
        <v>4.4533333333333331</v>
      </c>
      <c r="AF324" s="23">
        <f t="shared" si="5"/>
        <v>0.44</v>
      </c>
    </row>
    <row r="325" spans="1:32" ht="15.75" customHeight="1" x14ac:dyDescent="0.15">
      <c r="A325" s="34">
        <v>322</v>
      </c>
      <c r="B325" s="35" t="s">
        <v>3003</v>
      </c>
      <c r="C325" s="51" t="s">
        <v>2655</v>
      </c>
      <c r="D325" s="34">
        <v>0</v>
      </c>
      <c r="E325" s="34">
        <v>5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  <c r="N325" s="34">
        <v>0</v>
      </c>
      <c r="O325" s="34">
        <v>26</v>
      </c>
      <c r="P325" s="33">
        <v>6</v>
      </c>
      <c r="Q325" s="34">
        <v>4</v>
      </c>
      <c r="R325" s="34">
        <v>0</v>
      </c>
      <c r="S325" s="34">
        <v>5</v>
      </c>
      <c r="T325" s="34">
        <v>0</v>
      </c>
      <c r="U325" s="34">
        <v>2</v>
      </c>
      <c r="V325" s="34">
        <v>6</v>
      </c>
      <c r="W325" s="34">
        <v>1</v>
      </c>
      <c r="X325" s="34">
        <v>0</v>
      </c>
      <c r="Y325" s="34">
        <v>0</v>
      </c>
      <c r="Z325" s="34">
        <v>0</v>
      </c>
      <c r="AA325" s="24" t="s">
        <v>15</v>
      </c>
      <c r="AB325" s="24" t="s">
        <v>47</v>
      </c>
      <c r="AC325" s="24" t="s">
        <v>47</v>
      </c>
      <c r="AD325" s="23">
        <f t="shared" si="3"/>
        <v>1.5</v>
      </c>
      <c r="AE325" s="23">
        <f t="shared" si="4"/>
        <v>4.62</v>
      </c>
      <c r="AF325" s="23">
        <f t="shared" si="5"/>
        <v>0.30769230769230771</v>
      </c>
    </row>
    <row r="326" spans="1:32" ht="15.75" customHeight="1" x14ac:dyDescent="0.15">
      <c r="A326" s="30">
        <v>322</v>
      </c>
      <c r="B326" s="31" t="s">
        <v>3004</v>
      </c>
      <c r="C326" s="55" t="s">
        <v>2652</v>
      </c>
      <c r="D326" s="30">
        <v>3</v>
      </c>
      <c r="E326" s="30">
        <v>5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28</v>
      </c>
      <c r="P326" s="33">
        <v>6</v>
      </c>
      <c r="Q326" s="30">
        <v>8</v>
      </c>
      <c r="R326" s="30">
        <v>1</v>
      </c>
      <c r="S326" s="30">
        <v>2</v>
      </c>
      <c r="T326" s="30">
        <v>0</v>
      </c>
      <c r="U326" s="30">
        <v>0</v>
      </c>
      <c r="V326" s="30">
        <v>4</v>
      </c>
      <c r="W326" s="30">
        <v>1</v>
      </c>
      <c r="X326" s="30">
        <v>0</v>
      </c>
      <c r="Y326" s="30">
        <v>3</v>
      </c>
      <c r="Z326" s="30">
        <v>2</v>
      </c>
      <c r="AA326" s="23" t="s">
        <v>15</v>
      </c>
      <c r="AB326" s="23" t="s">
        <v>37</v>
      </c>
      <c r="AC326" s="23" t="s">
        <v>37</v>
      </c>
      <c r="AD326" s="23">
        <f t="shared" si="3"/>
        <v>1.6666666666666667</v>
      </c>
      <c r="AE326" s="23">
        <f t="shared" si="4"/>
        <v>4.9533333333333331</v>
      </c>
      <c r="AF326" s="23">
        <f t="shared" si="5"/>
        <v>0.33333333333333331</v>
      </c>
    </row>
    <row r="327" spans="1:32" ht="15.75" customHeight="1" x14ac:dyDescent="0.15">
      <c r="A327" s="34">
        <v>322</v>
      </c>
      <c r="B327" s="35" t="s">
        <v>3005</v>
      </c>
      <c r="C327" s="42" t="s">
        <v>2652</v>
      </c>
      <c r="D327" s="34">
        <v>7.5</v>
      </c>
      <c r="E327" s="34">
        <v>4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29</v>
      </c>
      <c r="P327" s="33">
        <v>6</v>
      </c>
      <c r="Q327" s="34">
        <v>9</v>
      </c>
      <c r="R327" s="34">
        <v>0</v>
      </c>
      <c r="S327" s="34">
        <v>4</v>
      </c>
      <c r="T327" s="34">
        <v>0</v>
      </c>
      <c r="U327" s="34">
        <v>0</v>
      </c>
      <c r="V327" s="34">
        <v>8</v>
      </c>
      <c r="W327" s="34">
        <v>0</v>
      </c>
      <c r="X327" s="34">
        <v>0</v>
      </c>
      <c r="Y327" s="34">
        <v>5</v>
      </c>
      <c r="Z327" s="34">
        <v>5</v>
      </c>
      <c r="AA327" s="24" t="s">
        <v>15</v>
      </c>
      <c r="AB327" s="24" t="s">
        <v>86</v>
      </c>
      <c r="AC327" s="24" t="s">
        <v>64</v>
      </c>
      <c r="AD327" s="23">
        <f t="shared" si="3"/>
        <v>2.1666666666666665</v>
      </c>
      <c r="AE327" s="23">
        <f t="shared" si="4"/>
        <v>2.4533333333333336</v>
      </c>
      <c r="AF327" s="23">
        <f t="shared" si="5"/>
        <v>0.52941176470588236</v>
      </c>
    </row>
    <row r="328" spans="1:32" ht="15.75" customHeight="1" x14ac:dyDescent="0.15">
      <c r="A328" s="30">
        <v>327</v>
      </c>
      <c r="B328" s="31" t="s">
        <v>3006</v>
      </c>
      <c r="C328" s="44" t="s">
        <v>2653</v>
      </c>
      <c r="D328" s="30">
        <v>1.59</v>
      </c>
      <c r="E328" s="30">
        <v>7</v>
      </c>
      <c r="F328" s="30">
        <v>0</v>
      </c>
      <c r="G328" s="30">
        <v>1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24</v>
      </c>
      <c r="P328" s="33">
        <v>5.2</v>
      </c>
      <c r="Q328" s="30">
        <v>4</v>
      </c>
      <c r="R328" s="30">
        <v>0</v>
      </c>
      <c r="S328" s="30">
        <v>1</v>
      </c>
      <c r="T328" s="30">
        <v>1</v>
      </c>
      <c r="U328" s="30">
        <v>0</v>
      </c>
      <c r="V328" s="30">
        <v>2</v>
      </c>
      <c r="W328" s="30">
        <v>0</v>
      </c>
      <c r="X328" s="30">
        <v>0</v>
      </c>
      <c r="Y328" s="30">
        <v>4</v>
      </c>
      <c r="Z328" s="30">
        <v>1</v>
      </c>
      <c r="AA328" s="23" t="s">
        <v>15</v>
      </c>
      <c r="AB328" s="23" t="s">
        <v>72</v>
      </c>
      <c r="AC328" s="23" t="s">
        <v>72</v>
      </c>
      <c r="AD328" s="23">
        <f t="shared" si="3"/>
        <v>0.96153846153846145</v>
      </c>
      <c r="AE328" s="23">
        <f t="shared" si="4"/>
        <v>2.3507692307692309</v>
      </c>
      <c r="AF328" s="23">
        <f t="shared" si="5"/>
        <v>0.2</v>
      </c>
    </row>
    <row r="329" spans="1:32" ht="15.75" customHeight="1" x14ac:dyDescent="0.15">
      <c r="A329" s="34">
        <v>327</v>
      </c>
      <c r="B329" s="35" t="s">
        <v>3007</v>
      </c>
      <c r="C329" s="45" t="s">
        <v>2651</v>
      </c>
      <c r="D329" s="34">
        <v>9.5299999999999994</v>
      </c>
      <c r="E329" s="34">
        <v>7</v>
      </c>
      <c r="F329" s="34">
        <v>0</v>
      </c>
      <c r="G329" s="34">
        <v>2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33</v>
      </c>
      <c r="P329" s="33">
        <v>5.2</v>
      </c>
      <c r="Q329" s="34">
        <v>6</v>
      </c>
      <c r="R329" s="34">
        <v>1</v>
      </c>
      <c r="S329" s="34">
        <v>7</v>
      </c>
      <c r="T329" s="34">
        <v>2</v>
      </c>
      <c r="U329" s="34">
        <v>0</v>
      </c>
      <c r="V329" s="34">
        <v>9</v>
      </c>
      <c r="W329" s="34">
        <v>0</v>
      </c>
      <c r="X329" s="34">
        <v>0</v>
      </c>
      <c r="Y329" s="34">
        <v>7</v>
      </c>
      <c r="Z329" s="34">
        <v>6</v>
      </c>
      <c r="AA329" s="24" t="s">
        <v>14</v>
      </c>
      <c r="AB329" s="24" t="s">
        <v>14</v>
      </c>
      <c r="AC329" s="24" t="s">
        <v>14</v>
      </c>
      <c r="AD329" s="23">
        <f t="shared" si="3"/>
        <v>2.5</v>
      </c>
      <c r="AE329" s="23">
        <f t="shared" si="4"/>
        <v>5.0430769230769226</v>
      </c>
      <c r="AF329" s="23">
        <f t="shared" si="5"/>
        <v>0.35714285714285715</v>
      </c>
    </row>
    <row r="330" spans="1:32" ht="15.75" customHeight="1" x14ac:dyDescent="0.15">
      <c r="A330" s="30">
        <v>327</v>
      </c>
      <c r="B330" s="31" t="s">
        <v>3008</v>
      </c>
      <c r="C330" s="53" t="s">
        <v>198</v>
      </c>
      <c r="D330" s="30">
        <v>1.59</v>
      </c>
      <c r="E330" s="30">
        <v>5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21</v>
      </c>
      <c r="P330" s="33">
        <v>5.2</v>
      </c>
      <c r="Q330" s="30">
        <v>0</v>
      </c>
      <c r="R330" s="30">
        <v>0</v>
      </c>
      <c r="S330" s="30">
        <v>4</v>
      </c>
      <c r="T330" s="30">
        <v>0</v>
      </c>
      <c r="U330" s="30">
        <v>0</v>
      </c>
      <c r="V330" s="30">
        <v>6</v>
      </c>
      <c r="W330" s="30">
        <v>0</v>
      </c>
      <c r="X330" s="30">
        <v>0</v>
      </c>
      <c r="Y330" s="30">
        <v>1</v>
      </c>
      <c r="Z330" s="30">
        <v>1</v>
      </c>
      <c r="AA330" s="23" t="s">
        <v>15</v>
      </c>
      <c r="AB330" s="23" t="s">
        <v>47</v>
      </c>
      <c r="AC330" s="23" t="s">
        <v>47</v>
      </c>
      <c r="AD330" s="23">
        <f t="shared" si="3"/>
        <v>0.76923076923076916</v>
      </c>
      <c r="AE330" s="23">
        <f t="shared" si="4"/>
        <v>3.12</v>
      </c>
      <c r="AF330" s="23">
        <f t="shared" si="5"/>
        <v>0</v>
      </c>
    </row>
    <row r="331" spans="1:32" ht="15.75" customHeight="1" x14ac:dyDescent="0.15">
      <c r="A331" s="34">
        <v>327</v>
      </c>
      <c r="B331" s="35" t="s">
        <v>3009</v>
      </c>
      <c r="C331" s="45" t="s">
        <v>2651</v>
      </c>
      <c r="D331" s="34">
        <v>1.59</v>
      </c>
      <c r="E331" s="34">
        <v>4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25</v>
      </c>
      <c r="P331" s="33">
        <v>5.2</v>
      </c>
      <c r="Q331" s="34">
        <v>6</v>
      </c>
      <c r="R331" s="34">
        <v>0</v>
      </c>
      <c r="S331" s="34">
        <v>3</v>
      </c>
      <c r="T331" s="34">
        <v>0</v>
      </c>
      <c r="U331" s="34">
        <v>0</v>
      </c>
      <c r="V331" s="34">
        <v>6</v>
      </c>
      <c r="W331" s="34">
        <v>0</v>
      </c>
      <c r="X331" s="34">
        <v>0</v>
      </c>
      <c r="Y331" s="34">
        <v>1</v>
      </c>
      <c r="Z331" s="34">
        <v>1</v>
      </c>
      <c r="AA331" s="24" t="s">
        <v>15</v>
      </c>
      <c r="AB331" s="24" t="s">
        <v>37</v>
      </c>
      <c r="AC331" s="24" t="s">
        <v>37</v>
      </c>
      <c r="AD331" s="23">
        <f t="shared" si="3"/>
        <v>1.7307692307692306</v>
      </c>
      <c r="AE331" s="23">
        <f t="shared" si="4"/>
        <v>2.5430769230769235</v>
      </c>
      <c r="AF331" s="23">
        <f t="shared" si="5"/>
        <v>0.375</v>
      </c>
    </row>
    <row r="332" spans="1:32" ht="15.75" customHeight="1" x14ac:dyDescent="0.15">
      <c r="A332" s="30">
        <v>331</v>
      </c>
      <c r="B332" s="31" t="s">
        <v>3010</v>
      </c>
      <c r="C332" s="41" t="s">
        <v>2651</v>
      </c>
      <c r="D332" s="30">
        <v>11.81</v>
      </c>
      <c r="E332" s="30">
        <v>6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35</v>
      </c>
      <c r="P332" s="33">
        <v>5.0999999999999996</v>
      </c>
      <c r="Q332" s="30">
        <v>15</v>
      </c>
      <c r="R332" s="30">
        <v>1</v>
      </c>
      <c r="S332" s="30">
        <v>5</v>
      </c>
      <c r="T332" s="30">
        <v>2</v>
      </c>
      <c r="U332" s="30">
        <v>0</v>
      </c>
      <c r="V332" s="30">
        <v>4</v>
      </c>
      <c r="W332" s="30">
        <v>0</v>
      </c>
      <c r="X332" s="30">
        <v>0</v>
      </c>
      <c r="Y332" s="30">
        <v>8</v>
      </c>
      <c r="Z332" s="30">
        <v>7</v>
      </c>
      <c r="AA332" s="23" t="s">
        <v>14</v>
      </c>
      <c r="AB332" s="23" t="s">
        <v>15</v>
      </c>
      <c r="AC332" s="23" t="s">
        <v>15</v>
      </c>
      <c r="AD332" s="23">
        <f t="shared" si="3"/>
        <v>3.9215686274509807</v>
      </c>
      <c r="AE332" s="23">
        <f t="shared" si="4"/>
        <v>5.8650980392156864</v>
      </c>
      <c r="AF332" s="23">
        <f t="shared" si="5"/>
        <v>0.60869565217391308</v>
      </c>
    </row>
    <row r="333" spans="1:32" ht="15.75" customHeight="1" x14ac:dyDescent="0.15">
      <c r="A333" s="34">
        <v>331</v>
      </c>
      <c r="B333" s="35" t="s">
        <v>3011</v>
      </c>
      <c r="C333" s="56" t="s">
        <v>2653</v>
      </c>
      <c r="D333" s="34">
        <v>6.75</v>
      </c>
      <c r="E333" s="34">
        <v>2</v>
      </c>
      <c r="F333" s="34">
        <v>0</v>
      </c>
      <c r="G333" s="34">
        <v>1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  <c r="N333" s="34">
        <v>0</v>
      </c>
      <c r="O333" s="34">
        <v>22</v>
      </c>
      <c r="P333" s="33">
        <v>5.0999999999999996</v>
      </c>
      <c r="Q333" s="34">
        <v>5</v>
      </c>
      <c r="R333" s="34">
        <v>3</v>
      </c>
      <c r="S333" s="34">
        <v>1</v>
      </c>
      <c r="T333" s="34">
        <v>0</v>
      </c>
      <c r="U333" s="34">
        <v>0</v>
      </c>
      <c r="V333" s="34">
        <v>5</v>
      </c>
      <c r="W333" s="34">
        <v>0</v>
      </c>
      <c r="X333" s="34">
        <v>0</v>
      </c>
      <c r="Y333" s="34">
        <v>4</v>
      </c>
      <c r="Z333" s="34">
        <v>4</v>
      </c>
      <c r="AA333" s="24" t="s">
        <v>15</v>
      </c>
      <c r="AB333" s="24" t="s">
        <v>15</v>
      </c>
      <c r="AC333" s="24" t="s">
        <v>15</v>
      </c>
      <c r="AD333" s="23">
        <f t="shared" si="3"/>
        <v>1.1764705882352942</v>
      </c>
      <c r="AE333" s="23">
        <f t="shared" si="4"/>
        <v>9.3945098039215686</v>
      </c>
      <c r="AF333" s="23">
        <f t="shared" si="5"/>
        <v>0.15384615384615385</v>
      </c>
    </row>
    <row r="334" spans="1:32" ht="15.75" customHeight="1" x14ac:dyDescent="0.15">
      <c r="A334" s="30">
        <v>333</v>
      </c>
      <c r="B334" s="31" t="s">
        <v>3012</v>
      </c>
      <c r="C334" s="54" t="s">
        <v>2650</v>
      </c>
      <c r="D334" s="30">
        <v>0</v>
      </c>
      <c r="E334" s="30">
        <v>5</v>
      </c>
      <c r="F334" s="30">
        <v>1</v>
      </c>
      <c r="G334" s="30">
        <v>0</v>
      </c>
      <c r="H334" s="30">
        <v>0</v>
      </c>
      <c r="I334" s="30">
        <v>0</v>
      </c>
      <c r="J334" s="30">
        <v>1</v>
      </c>
      <c r="K334" s="30">
        <v>0</v>
      </c>
      <c r="L334" s="30">
        <v>0</v>
      </c>
      <c r="M334" s="30">
        <v>0</v>
      </c>
      <c r="N334" s="30">
        <v>1</v>
      </c>
      <c r="O334" s="30">
        <v>22</v>
      </c>
      <c r="P334" s="33">
        <v>5</v>
      </c>
      <c r="Q334" s="30">
        <v>3</v>
      </c>
      <c r="R334" s="30">
        <v>0</v>
      </c>
      <c r="S334" s="30">
        <v>2</v>
      </c>
      <c r="T334" s="30">
        <v>0</v>
      </c>
      <c r="U334" s="30">
        <v>2</v>
      </c>
      <c r="V334" s="30">
        <v>4</v>
      </c>
      <c r="W334" s="30">
        <v>0</v>
      </c>
      <c r="X334" s="30">
        <v>0</v>
      </c>
      <c r="Y334" s="30">
        <v>0</v>
      </c>
      <c r="Z334" s="30">
        <v>0</v>
      </c>
      <c r="AA334" s="23" t="s">
        <v>15</v>
      </c>
      <c r="AB334" s="23" t="s">
        <v>37</v>
      </c>
      <c r="AC334" s="23" t="s">
        <v>37</v>
      </c>
      <c r="AD334" s="23">
        <f t="shared" si="3"/>
        <v>1</v>
      </c>
      <c r="AE334" s="23">
        <f t="shared" si="4"/>
        <v>3.92</v>
      </c>
      <c r="AF334" s="23">
        <f t="shared" si="5"/>
        <v>0.21428571428571427</v>
      </c>
    </row>
    <row r="335" spans="1:32" ht="15.75" customHeight="1" x14ac:dyDescent="0.15">
      <c r="A335" s="34">
        <v>333</v>
      </c>
      <c r="B335" s="35" t="s">
        <v>3013</v>
      </c>
      <c r="C335" s="36" t="s">
        <v>2646</v>
      </c>
      <c r="D335" s="34">
        <v>3.6</v>
      </c>
      <c r="E335" s="34">
        <v>3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21</v>
      </c>
      <c r="P335" s="33">
        <v>5</v>
      </c>
      <c r="Q335" s="34">
        <v>5</v>
      </c>
      <c r="R335" s="34">
        <v>1</v>
      </c>
      <c r="S335" s="34">
        <v>0</v>
      </c>
      <c r="T335" s="34">
        <v>0</v>
      </c>
      <c r="U335" s="34">
        <v>1</v>
      </c>
      <c r="V335" s="34">
        <v>4</v>
      </c>
      <c r="W335" s="34">
        <v>0</v>
      </c>
      <c r="X335" s="34">
        <v>0</v>
      </c>
      <c r="Y335" s="34">
        <v>2</v>
      </c>
      <c r="Z335" s="34">
        <v>2</v>
      </c>
      <c r="AA335" s="24" t="s">
        <v>15</v>
      </c>
      <c r="AB335" s="24" t="s">
        <v>15</v>
      </c>
      <c r="AC335" s="24" t="s">
        <v>15</v>
      </c>
      <c r="AD335" s="23">
        <f t="shared" si="3"/>
        <v>1</v>
      </c>
      <c r="AE335" s="23">
        <f t="shared" si="4"/>
        <v>4.7200000000000006</v>
      </c>
      <c r="AF335" s="23">
        <f t="shared" si="5"/>
        <v>0.26666666666666666</v>
      </c>
    </row>
    <row r="336" spans="1:32" ht="15.75" customHeight="1" x14ac:dyDescent="0.15">
      <c r="A336" s="30">
        <v>333</v>
      </c>
      <c r="B336" s="31" t="s">
        <v>3014</v>
      </c>
      <c r="C336" s="37" t="s">
        <v>2647</v>
      </c>
      <c r="D336" s="30">
        <v>1.8</v>
      </c>
      <c r="E336" s="30">
        <v>1</v>
      </c>
      <c r="F336" s="30">
        <v>0</v>
      </c>
      <c r="G336" s="30">
        <v>1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22</v>
      </c>
      <c r="P336" s="33">
        <v>5</v>
      </c>
      <c r="Q336" s="30">
        <v>5</v>
      </c>
      <c r="R336" s="30">
        <v>0</v>
      </c>
      <c r="S336" s="30">
        <v>1</v>
      </c>
      <c r="T336" s="30">
        <v>0</v>
      </c>
      <c r="U336" s="30">
        <v>0</v>
      </c>
      <c r="V336" s="30">
        <v>4</v>
      </c>
      <c r="W336" s="30">
        <v>0</v>
      </c>
      <c r="X336" s="30">
        <v>0</v>
      </c>
      <c r="Y336" s="30">
        <v>2</v>
      </c>
      <c r="Z336" s="30">
        <v>1</v>
      </c>
      <c r="AA336" s="23" t="s">
        <v>15</v>
      </c>
      <c r="AB336" s="23" t="s">
        <v>27</v>
      </c>
      <c r="AC336" s="23" t="s">
        <v>27</v>
      </c>
      <c r="AD336" s="23">
        <f t="shared" si="3"/>
        <v>1.2</v>
      </c>
      <c r="AE336" s="23">
        <f t="shared" si="4"/>
        <v>2.12</v>
      </c>
      <c r="AF336" s="23">
        <f t="shared" si="5"/>
        <v>0.29411764705882354</v>
      </c>
    </row>
    <row r="337" spans="1:32" ht="15.75" customHeight="1" x14ac:dyDescent="0.15">
      <c r="A337" s="34">
        <v>333</v>
      </c>
      <c r="B337" s="35" t="s">
        <v>3015</v>
      </c>
      <c r="C337" s="40" t="s">
        <v>2650</v>
      </c>
      <c r="D337" s="34">
        <v>7.2</v>
      </c>
      <c r="E337" s="34">
        <v>1</v>
      </c>
      <c r="F337" s="34">
        <v>0</v>
      </c>
      <c r="G337" s="34">
        <v>1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20</v>
      </c>
      <c r="P337" s="33">
        <v>5</v>
      </c>
      <c r="Q337" s="34">
        <v>5</v>
      </c>
      <c r="R337" s="34">
        <v>1</v>
      </c>
      <c r="S337" s="34">
        <v>1</v>
      </c>
      <c r="T337" s="34">
        <v>0</v>
      </c>
      <c r="U337" s="34">
        <v>0</v>
      </c>
      <c r="V337" s="34">
        <v>3</v>
      </c>
      <c r="W337" s="34">
        <v>0</v>
      </c>
      <c r="X337" s="34">
        <v>0</v>
      </c>
      <c r="Y337" s="34">
        <v>4</v>
      </c>
      <c r="Z337" s="34">
        <v>4</v>
      </c>
      <c r="AA337" s="24" t="s">
        <v>15</v>
      </c>
      <c r="AB337" s="24" t="s">
        <v>15</v>
      </c>
      <c r="AC337" s="24" t="s">
        <v>15</v>
      </c>
      <c r="AD337" s="23">
        <f t="shared" si="3"/>
        <v>1.2</v>
      </c>
      <c r="AE337" s="23">
        <f t="shared" si="4"/>
        <v>5.12</v>
      </c>
      <c r="AF337" s="23">
        <f t="shared" si="5"/>
        <v>0.26666666666666666</v>
      </c>
    </row>
    <row r="338" spans="1:32" ht="15.75" customHeight="1" x14ac:dyDescent="0.15">
      <c r="A338" s="30">
        <v>337</v>
      </c>
      <c r="B338" s="31" t="s">
        <v>3016</v>
      </c>
      <c r="C338" s="52" t="s">
        <v>2646</v>
      </c>
      <c r="D338" s="30">
        <v>3.86</v>
      </c>
      <c r="E338" s="30">
        <v>6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23</v>
      </c>
      <c r="P338" s="33">
        <v>4.2</v>
      </c>
      <c r="Q338" s="30">
        <v>6</v>
      </c>
      <c r="R338" s="30">
        <v>1</v>
      </c>
      <c r="S338" s="30">
        <v>2</v>
      </c>
      <c r="T338" s="30">
        <v>0</v>
      </c>
      <c r="U338" s="30">
        <v>1</v>
      </c>
      <c r="V338" s="30">
        <v>4</v>
      </c>
      <c r="W338" s="30">
        <v>0</v>
      </c>
      <c r="X338" s="30">
        <v>1</v>
      </c>
      <c r="Y338" s="30">
        <v>2</v>
      </c>
      <c r="Z338" s="30">
        <v>2</v>
      </c>
      <c r="AA338" s="23" t="s">
        <v>15</v>
      </c>
      <c r="AB338" s="23" t="s">
        <v>15</v>
      </c>
      <c r="AC338" s="23" t="s">
        <v>15</v>
      </c>
      <c r="AD338" s="23">
        <f t="shared" si="3"/>
        <v>1.9047619047619047</v>
      </c>
      <c r="AE338" s="23">
        <f t="shared" si="4"/>
        <v>6.4533333333333331</v>
      </c>
      <c r="AF338" s="23">
        <f t="shared" si="5"/>
        <v>0.33333333333333331</v>
      </c>
    </row>
    <row r="339" spans="1:32" ht="15.75" customHeight="1" x14ac:dyDescent="0.15">
      <c r="A339" s="34">
        <v>337</v>
      </c>
      <c r="B339" s="35" t="s">
        <v>3017</v>
      </c>
      <c r="C339" s="48" t="s">
        <v>2647</v>
      </c>
      <c r="D339" s="34">
        <v>13.5</v>
      </c>
      <c r="E339" s="34">
        <v>3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29</v>
      </c>
      <c r="P339" s="33">
        <v>4.2</v>
      </c>
      <c r="Q339" s="34">
        <v>9</v>
      </c>
      <c r="R339" s="34">
        <v>1</v>
      </c>
      <c r="S339" s="34">
        <v>6</v>
      </c>
      <c r="T339" s="34">
        <v>0</v>
      </c>
      <c r="U339" s="34">
        <v>0</v>
      </c>
      <c r="V339" s="34">
        <v>5</v>
      </c>
      <c r="W339" s="34">
        <v>0</v>
      </c>
      <c r="X339" s="34">
        <v>0</v>
      </c>
      <c r="Y339" s="34">
        <v>7</v>
      </c>
      <c r="Z339" s="34">
        <v>7</v>
      </c>
      <c r="AA339" s="24" t="s">
        <v>15</v>
      </c>
      <c r="AB339" s="24" t="s">
        <v>14</v>
      </c>
      <c r="AC339" s="24" t="s">
        <v>14</v>
      </c>
      <c r="AD339" s="23">
        <f t="shared" si="3"/>
        <v>3.5714285714285712</v>
      </c>
      <c r="AE339" s="23">
        <f t="shared" si="4"/>
        <v>8.120000000000001</v>
      </c>
      <c r="AF339" s="23">
        <f t="shared" si="5"/>
        <v>0.47058823529411764</v>
      </c>
    </row>
    <row r="340" spans="1:32" ht="15.75" customHeight="1" x14ac:dyDescent="0.15">
      <c r="A340" s="30">
        <v>337</v>
      </c>
      <c r="B340" s="31" t="s">
        <v>3018</v>
      </c>
      <c r="C340" s="49" t="s">
        <v>2655</v>
      </c>
      <c r="D340" s="30">
        <v>13.5</v>
      </c>
      <c r="E340" s="30">
        <v>2</v>
      </c>
      <c r="F340" s="30">
        <v>0</v>
      </c>
      <c r="G340" s="30">
        <v>2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28</v>
      </c>
      <c r="P340" s="33">
        <v>4.2</v>
      </c>
      <c r="Q340" s="30">
        <v>6</v>
      </c>
      <c r="R340" s="30">
        <v>0</v>
      </c>
      <c r="S340" s="30">
        <v>5</v>
      </c>
      <c r="T340" s="30">
        <v>0</v>
      </c>
      <c r="U340" s="30">
        <v>3</v>
      </c>
      <c r="V340" s="30">
        <v>5</v>
      </c>
      <c r="W340" s="30">
        <v>0</v>
      </c>
      <c r="X340" s="30">
        <v>0</v>
      </c>
      <c r="Y340" s="30">
        <v>7</v>
      </c>
      <c r="Z340" s="30">
        <v>7</v>
      </c>
      <c r="AA340" s="23" t="s">
        <v>15</v>
      </c>
      <c r="AB340" s="23" t="s">
        <v>14</v>
      </c>
      <c r="AC340" s="23" t="s">
        <v>14</v>
      </c>
      <c r="AD340" s="23">
        <f t="shared" si="3"/>
        <v>2.6190476190476191</v>
      </c>
      <c r="AE340" s="23">
        <f t="shared" si="4"/>
        <v>6.4533333333333331</v>
      </c>
      <c r="AF340" s="23">
        <f t="shared" si="5"/>
        <v>0.4</v>
      </c>
    </row>
    <row r="341" spans="1:32" ht="15.75" customHeight="1" x14ac:dyDescent="0.15">
      <c r="A341" s="34">
        <v>340</v>
      </c>
      <c r="B341" s="35" t="s">
        <v>3019</v>
      </c>
      <c r="C341" s="57" t="s">
        <v>2654</v>
      </c>
      <c r="D341" s="34">
        <v>2.08</v>
      </c>
      <c r="E341" s="34">
        <v>5</v>
      </c>
      <c r="F341" s="34">
        <v>1</v>
      </c>
      <c r="G341" s="34">
        <v>0</v>
      </c>
      <c r="H341" s="34">
        <v>0</v>
      </c>
      <c r="I341" s="34">
        <v>0</v>
      </c>
      <c r="J341" s="34">
        <v>1</v>
      </c>
      <c r="K341" s="34">
        <v>0</v>
      </c>
      <c r="L341" s="34">
        <v>0</v>
      </c>
      <c r="M341" s="34">
        <v>0</v>
      </c>
      <c r="N341" s="34">
        <v>1</v>
      </c>
      <c r="O341" s="34">
        <v>20</v>
      </c>
      <c r="P341" s="33">
        <v>4.0999999999999996</v>
      </c>
      <c r="Q341" s="34">
        <v>6</v>
      </c>
      <c r="R341" s="34">
        <v>0</v>
      </c>
      <c r="S341" s="34">
        <v>3</v>
      </c>
      <c r="T341" s="34">
        <v>0</v>
      </c>
      <c r="U341" s="34">
        <v>0</v>
      </c>
      <c r="V341" s="34">
        <v>3</v>
      </c>
      <c r="W341" s="34">
        <v>0</v>
      </c>
      <c r="X341" s="34">
        <v>1</v>
      </c>
      <c r="Y341" s="34">
        <v>1</v>
      </c>
      <c r="Z341" s="34">
        <v>1</v>
      </c>
      <c r="AA341" s="24" t="s">
        <v>15</v>
      </c>
      <c r="AB341" s="24" t="s">
        <v>14</v>
      </c>
      <c r="AC341" s="24" t="s">
        <v>14</v>
      </c>
      <c r="AD341" s="23">
        <f t="shared" si="3"/>
        <v>2.1951219512195124</v>
      </c>
      <c r="AE341" s="23">
        <f t="shared" si="4"/>
        <v>3.851707317073171</v>
      </c>
      <c r="AF341" s="23">
        <f t="shared" si="5"/>
        <v>0.42857142857142855</v>
      </c>
    </row>
    <row r="342" spans="1:32" ht="15.75" customHeight="1" x14ac:dyDescent="0.15">
      <c r="A342" s="30">
        <v>341</v>
      </c>
      <c r="B342" s="31" t="s">
        <v>3021</v>
      </c>
      <c r="C342" s="49" t="s">
        <v>2655</v>
      </c>
      <c r="D342" s="30">
        <v>10.8</v>
      </c>
      <c r="E342" s="30">
        <v>4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17</v>
      </c>
      <c r="P342" s="33">
        <v>3.1</v>
      </c>
      <c r="Q342" s="30">
        <v>5</v>
      </c>
      <c r="R342" s="30">
        <v>1</v>
      </c>
      <c r="S342" s="30">
        <v>2</v>
      </c>
      <c r="T342" s="30">
        <v>0</v>
      </c>
      <c r="U342" s="30">
        <v>0</v>
      </c>
      <c r="V342" s="30">
        <v>3</v>
      </c>
      <c r="W342" s="30">
        <v>0</v>
      </c>
      <c r="X342" s="30">
        <v>0</v>
      </c>
      <c r="Y342" s="30">
        <v>4</v>
      </c>
      <c r="Z342" s="30">
        <v>4</v>
      </c>
      <c r="AA342" s="23" t="s">
        <v>15</v>
      </c>
      <c r="AB342" s="23" t="s">
        <v>99</v>
      </c>
      <c r="AC342" s="23" t="s">
        <v>90</v>
      </c>
      <c r="AD342" s="23">
        <f t="shared" si="3"/>
        <v>2.258064516129032</v>
      </c>
      <c r="AE342" s="23">
        <f t="shared" si="4"/>
        <v>7.3135483870967741</v>
      </c>
      <c r="AF342" s="23">
        <f t="shared" si="5"/>
        <v>0.36363636363636365</v>
      </c>
    </row>
    <row r="343" spans="1:32" ht="15.75" customHeight="1" x14ac:dyDescent="0.15">
      <c r="A343" s="34">
        <v>341</v>
      </c>
      <c r="B343" s="35" t="s">
        <v>3022</v>
      </c>
      <c r="C343" s="45" t="s">
        <v>2651</v>
      </c>
      <c r="D343" s="34">
        <v>16.2</v>
      </c>
      <c r="E343" s="34">
        <v>4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18</v>
      </c>
      <c r="P343" s="33">
        <v>3.1</v>
      </c>
      <c r="Q343" s="34">
        <v>6</v>
      </c>
      <c r="R343" s="34">
        <v>0</v>
      </c>
      <c r="S343" s="34">
        <v>3</v>
      </c>
      <c r="T343" s="34">
        <v>0</v>
      </c>
      <c r="U343" s="34">
        <v>0</v>
      </c>
      <c r="V343" s="34">
        <v>3</v>
      </c>
      <c r="W343" s="34">
        <v>0</v>
      </c>
      <c r="X343" s="34">
        <v>0</v>
      </c>
      <c r="Y343" s="34">
        <v>6</v>
      </c>
      <c r="Z343" s="34">
        <v>6</v>
      </c>
      <c r="AA343" s="24" t="s">
        <v>15</v>
      </c>
      <c r="AB343" s="24" t="s">
        <v>47</v>
      </c>
      <c r="AC343" s="24" t="s">
        <v>47</v>
      </c>
      <c r="AD343" s="23">
        <f t="shared" si="3"/>
        <v>2.903225806451613</v>
      </c>
      <c r="AE343" s="23">
        <f t="shared" si="4"/>
        <v>4.0877419354838711</v>
      </c>
      <c r="AF343" s="23">
        <f t="shared" si="5"/>
        <v>0.5</v>
      </c>
    </row>
    <row r="344" spans="1:32" ht="15.75" customHeight="1" x14ac:dyDescent="0.15">
      <c r="A344" s="30">
        <v>343</v>
      </c>
      <c r="B344" s="31" t="s">
        <v>3023</v>
      </c>
      <c r="C344" s="49" t="s">
        <v>2655</v>
      </c>
      <c r="D344" s="30">
        <v>0</v>
      </c>
      <c r="E344" s="30">
        <v>3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12</v>
      </c>
      <c r="P344" s="33">
        <v>3</v>
      </c>
      <c r="Q344" s="30">
        <v>3</v>
      </c>
      <c r="R344" s="30">
        <v>0</v>
      </c>
      <c r="S344" s="30">
        <v>0</v>
      </c>
      <c r="T344" s="30">
        <v>0</v>
      </c>
      <c r="U344" s="30">
        <v>1</v>
      </c>
      <c r="V344" s="30">
        <v>3</v>
      </c>
      <c r="W344" s="30">
        <v>0</v>
      </c>
      <c r="X344" s="30">
        <v>0</v>
      </c>
      <c r="Y344" s="30">
        <v>0</v>
      </c>
      <c r="Z344" s="30">
        <v>0</v>
      </c>
      <c r="AA344" s="23" t="s">
        <v>15</v>
      </c>
      <c r="AB344" s="23" t="s">
        <v>14</v>
      </c>
      <c r="AC344" s="23" t="s">
        <v>14</v>
      </c>
      <c r="AD344" s="23">
        <f t="shared" si="3"/>
        <v>1</v>
      </c>
      <c r="AE344" s="23">
        <f t="shared" si="4"/>
        <v>2.12</v>
      </c>
      <c r="AF344" s="23">
        <f t="shared" si="5"/>
        <v>0.375</v>
      </c>
    </row>
    <row r="345" spans="1:32" ht="15.75" customHeight="1" x14ac:dyDescent="0.15">
      <c r="A345" s="34">
        <v>343</v>
      </c>
      <c r="B345" s="35" t="s">
        <v>3024</v>
      </c>
      <c r="C345" s="45" t="s">
        <v>2651</v>
      </c>
      <c r="D345" s="34">
        <v>0</v>
      </c>
      <c r="E345" s="34">
        <v>3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11</v>
      </c>
      <c r="P345" s="33">
        <v>3</v>
      </c>
      <c r="Q345" s="34">
        <v>2</v>
      </c>
      <c r="R345" s="34">
        <v>0</v>
      </c>
      <c r="S345" s="34">
        <v>0</v>
      </c>
      <c r="T345" s="34">
        <v>0</v>
      </c>
      <c r="U345" s="34">
        <v>1</v>
      </c>
      <c r="V345" s="34">
        <v>4</v>
      </c>
      <c r="W345" s="34">
        <v>0</v>
      </c>
      <c r="X345" s="34">
        <v>0</v>
      </c>
      <c r="Y345" s="34">
        <v>0</v>
      </c>
      <c r="Z345" s="34">
        <v>0</v>
      </c>
      <c r="AA345" s="24" t="s">
        <v>15</v>
      </c>
      <c r="AB345" s="24" t="s">
        <v>27</v>
      </c>
      <c r="AC345" s="24" t="s">
        <v>27</v>
      </c>
      <c r="AD345" s="23">
        <f t="shared" si="3"/>
        <v>0.66666666666666663</v>
      </c>
      <c r="AE345" s="23">
        <f t="shared" si="4"/>
        <v>1.4533333333333334</v>
      </c>
      <c r="AF345" s="23">
        <f t="shared" si="5"/>
        <v>0.33333333333333331</v>
      </c>
    </row>
    <row r="346" spans="1:32" ht="15.75" customHeight="1" x14ac:dyDescent="0.15">
      <c r="A346" s="30">
        <v>343</v>
      </c>
      <c r="B346" s="31" t="s">
        <v>3025</v>
      </c>
      <c r="C346" s="44" t="s">
        <v>2653</v>
      </c>
      <c r="D346" s="30">
        <v>6</v>
      </c>
      <c r="E346" s="30">
        <v>2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14</v>
      </c>
      <c r="P346" s="33">
        <v>3</v>
      </c>
      <c r="Q346" s="30">
        <v>4</v>
      </c>
      <c r="R346" s="30">
        <v>1</v>
      </c>
      <c r="S346" s="30">
        <v>2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2</v>
      </c>
      <c r="Z346" s="30">
        <v>2</v>
      </c>
      <c r="AA346" s="23" t="s">
        <v>15</v>
      </c>
      <c r="AB346" s="23" t="s">
        <v>14</v>
      </c>
      <c r="AC346" s="23" t="s">
        <v>14</v>
      </c>
      <c r="AD346" s="23">
        <f t="shared" si="3"/>
        <v>2</v>
      </c>
      <c r="AE346" s="23">
        <f t="shared" si="4"/>
        <v>9.4533333333333331</v>
      </c>
      <c r="AF346" s="23">
        <f t="shared" si="5"/>
        <v>0.27272727272727271</v>
      </c>
    </row>
    <row r="347" spans="1:32" ht="15.75" customHeight="1" x14ac:dyDescent="0.15">
      <c r="A347" s="34">
        <v>343</v>
      </c>
      <c r="B347" s="35" t="s">
        <v>3026</v>
      </c>
      <c r="C347" s="57" t="s">
        <v>2654</v>
      </c>
      <c r="D347" s="34">
        <v>0</v>
      </c>
      <c r="E347" s="34">
        <v>2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14</v>
      </c>
      <c r="P347" s="33">
        <v>3</v>
      </c>
      <c r="Q347" s="34">
        <v>1</v>
      </c>
      <c r="R347" s="34">
        <v>0</v>
      </c>
      <c r="S347" s="34">
        <v>4</v>
      </c>
      <c r="T347" s="34">
        <v>0</v>
      </c>
      <c r="U347" s="34">
        <v>0</v>
      </c>
      <c r="V347" s="34">
        <v>1</v>
      </c>
      <c r="W347" s="34">
        <v>0</v>
      </c>
      <c r="X347" s="34">
        <v>0</v>
      </c>
      <c r="Y347" s="34">
        <v>0</v>
      </c>
      <c r="Z347" s="34">
        <v>0</v>
      </c>
      <c r="AA347" s="24" t="s">
        <v>15</v>
      </c>
      <c r="AB347" s="24" t="s">
        <v>37</v>
      </c>
      <c r="AC347" s="24" t="s">
        <v>37</v>
      </c>
      <c r="AD347" s="23">
        <f t="shared" si="3"/>
        <v>1.6666666666666667</v>
      </c>
      <c r="AE347" s="23">
        <f t="shared" si="4"/>
        <v>6.4533333333333331</v>
      </c>
      <c r="AF347" s="23">
        <f t="shared" si="5"/>
        <v>0.1111111111111111</v>
      </c>
    </row>
    <row r="348" spans="1:32" ht="15.75" customHeight="1" x14ac:dyDescent="0.15">
      <c r="A348" s="30">
        <v>347</v>
      </c>
      <c r="B348" s="31" t="s">
        <v>3027</v>
      </c>
      <c r="C348" s="41" t="s">
        <v>2651</v>
      </c>
      <c r="D348" s="30">
        <v>3.38</v>
      </c>
      <c r="E348" s="30">
        <v>3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12</v>
      </c>
      <c r="P348" s="33">
        <v>2.2000000000000002</v>
      </c>
      <c r="Q348" s="30">
        <v>3</v>
      </c>
      <c r="R348" s="30">
        <v>0</v>
      </c>
      <c r="S348" s="30">
        <v>1</v>
      </c>
      <c r="T348" s="30">
        <v>0</v>
      </c>
      <c r="U348" s="30">
        <v>0</v>
      </c>
      <c r="V348" s="30">
        <v>3</v>
      </c>
      <c r="W348" s="30">
        <v>0</v>
      </c>
      <c r="X348" s="30">
        <v>0</v>
      </c>
      <c r="Y348" s="30">
        <v>1</v>
      </c>
      <c r="Z348" s="30">
        <v>1</v>
      </c>
      <c r="AA348" s="23" t="s">
        <v>15</v>
      </c>
      <c r="AB348" s="23" t="s">
        <v>57</v>
      </c>
      <c r="AC348" s="23" t="s">
        <v>57</v>
      </c>
      <c r="AD348" s="23">
        <f t="shared" si="3"/>
        <v>1.8181818181818181</v>
      </c>
      <c r="AE348" s="23">
        <f t="shared" si="4"/>
        <v>1.7563636363636366</v>
      </c>
      <c r="AF348" s="23">
        <f t="shared" si="5"/>
        <v>0.375</v>
      </c>
    </row>
    <row r="349" spans="1:32" ht="15.75" customHeight="1" x14ac:dyDescent="0.15">
      <c r="A349" s="34">
        <v>347</v>
      </c>
      <c r="B349" s="35" t="s">
        <v>3028</v>
      </c>
      <c r="C349" s="56" t="s">
        <v>2653</v>
      </c>
      <c r="D349" s="34">
        <v>10.130000000000001</v>
      </c>
      <c r="E349" s="34">
        <v>1</v>
      </c>
      <c r="F349" s="34">
        <v>0</v>
      </c>
      <c r="G349" s="34">
        <v>1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19</v>
      </c>
      <c r="P349" s="33">
        <v>2.2000000000000002</v>
      </c>
      <c r="Q349" s="34">
        <v>8</v>
      </c>
      <c r="R349" s="34">
        <v>0</v>
      </c>
      <c r="S349" s="34">
        <v>2</v>
      </c>
      <c r="T349" s="34">
        <v>0</v>
      </c>
      <c r="U349" s="34">
        <v>1</v>
      </c>
      <c r="V349" s="34">
        <v>3</v>
      </c>
      <c r="W349" s="34">
        <v>0</v>
      </c>
      <c r="X349" s="34">
        <v>0</v>
      </c>
      <c r="Y349" s="34">
        <v>3</v>
      </c>
      <c r="Z349" s="34">
        <v>3</v>
      </c>
      <c r="AA349" s="24" t="s">
        <v>15</v>
      </c>
      <c r="AB349" s="24" t="s">
        <v>57</v>
      </c>
      <c r="AC349" s="24" t="s">
        <v>27</v>
      </c>
      <c r="AD349" s="23">
        <f t="shared" si="3"/>
        <v>4.545454545454545</v>
      </c>
      <c r="AE349" s="23">
        <f t="shared" si="4"/>
        <v>4.4836363636363634</v>
      </c>
      <c r="AF349" s="23">
        <f t="shared" si="5"/>
        <v>0.61538461538461542</v>
      </c>
    </row>
    <row r="350" spans="1:32" ht="15.75" customHeight="1" x14ac:dyDescent="0.15">
      <c r="A350" s="30">
        <v>349</v>
      </c>
      <c r="B350" s="31" t="s">
        <v>3029</v>
      </c>
      <c r="C350" s="46" t="s">
        <v>2648</v>
      </c>
      <c r="D350" s="30">
        <v>3.86</v>
      </c>
      <c r="E350" s="30">
        <v>3</v>
      </c>
      <c r="F350" s="30">
        <v>0</v>
      </c>
      <c r="G350" s="30">
        <v>0</v>
      </c>
      <c r="H350" s="30">
        <v>0</v>
      </c>
      <c r="I350" s="30">
        <v>1</v>
      </c>
      <c r="J350" s="30">
        <v>1</v>
      </c>
      <c r="K350" s="30">
        <v>0</v>
      </c>
      <c r="L350" s="30">
        <v>0</v>
      </c>
      <c r="M350" s="30">
        <v>0</v>
      </c>
      <c r="N350" s="30">
        <v>0</v>
      </c>
      <c r="O350" s="30">
        <v>10</v>
      </c>
      <c r="P350" s="33">
        <v>2.1</v>
      </c>
      <c r="Q350" s="30">
        <v>3</v>
      </c>
      <c r="R350" s="30">
        <v>1</v>
      </c>
      <c r="S350" s="30">
        <v>0</v>
      </c>
      <c r="T350" s="30">
        <v>0</v>
      </c>
      <c r="U350" s="30">
        <v>0</v>
      </c>
      <c r="V350" s="30">
        <v>2</v>
      </c>
      <c r="W350" s="30">
        <v>0</v>
      </c>
      <c r="X350" s="30">
        <v>0</v>
      </c>
      <c r="Y350" s="30">
        <v>1</v>
      </c>
      <c r="Z350" s="30">
        <v>1</v>
      </c>
      <c r="AA350" s="23" t="s">
        <v>15</v>
      </c>
      <c r="AB350" s="23" t="s">
        <v>27</v>
      </c>
      <c r="AC350" s="23" t="s">
        <v>14</v>
      </c>
      <c r="AD350" s="23">
        <f t="shared" si="3"/>
        <v>1.4285714285714286</v>
      </c>
      <c r="AE350" s="23">
        <f t="shared" si="4"/>
        <v>7.4057142857142857</v>
      </c>
      <c r="AF350" s="23">
        <f t="shared" si="5"/>
        <v>0.2857142857142857</v>
      </c>
    </row>
    <row r="351" spans="1:32" ht="15.75" customHeight="1" x14ac:dyDescent="0.15">
      <c r="A351" s="34">
        <v>349</v>
      </c>
      <c r="B351" s="35" t="s">
        <v>3030</v>
      </c>
      <c r="C351" s="45" t="s">
        <v>2651</v>
      </c>
      <c r="D351" s="34">
        <v>3.86</v>
      </c>
      <c r="E351" s="34">
        <v>3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9</v>
      </c>
      <c r="P351" s="33">
        <v>2.1</v>
      </c>
      <c r="Q351" s="34">
        <v>2</v>
      </c>
      <c r="R351" s="34">
        <v>1</v>
      </c>
      <c r="S351" s="34">
        <v>1</v>
      </c>
      <c r="T351" s="34">
        <v>0</v>
      </c>
      <c r="U351" s="34">
        <v>0</v>
      </c>
      <c r="V351" s="34">
        <v>2</v>
      </c>
      <c r="W351" s="34">
        <v>1</v>
      </c>
      <c r="X351" s="34">
        <v>0</v>
      </c>
      <c r="Y351" s="34">
        <v>1</v>
      </c>
      <c r="Z351" s="34">
        <v>1</v>
      </c>
      <c r="AA351" s="24" t="s">
        <v>15</v>
      </c>
      <c r="AB351" s="24" t="s">
        <v>57</v>
      </c>
      <c r="AC351" s="24" t="s">
        <v>57</v>
      </c>
      <c r="AD351" s="23">
        <f t="shared" si="3"/>
        <v>1.4285714285714286</v>
      </c>
      <c r="AE351" s="23">
        <f t="shared" si="4"/>
        <v>8.8342857142857145</v>
      </c>
      <c r="AF351" s="23">
        <f t="shared" si="5"/>
        <v>0.2</v>
      </c>
    </row>
    <row r="352" spans="1:32" ht="15.75" customHeight="1" x14ac:dyDescent="0.15">
      <c r="A352" s="30">
        <v>349</v>
      </c>
      <c r="B352" s="31" t="s">
        <v>3031</v>
      </c>
      <c r="C352" s="46" t="s">
        <v>2648</v>
      </c>
      <c r="D352" s="30">
        <v>38.57</v>
      </c>
      <c r="E352" s="30">
        <v>2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22</v>
      </c>
      <c r="P352" s="33">
        <v>2.1</v>
      </c>
      <c r="Q352" s="30">
        <v>13</v>
      </c>
      <c r="R352" s="30">
        <v>0</v>
      </c>
      <c r="S352" s="30">
        <v>2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12</v>
      </c>
      <c r="Z352" s="30">
        <v>10</v>
      </c>
      <c r="AA352" s="23" t="s">
        <v>15</v>
      </c>
      <c r="AB352" s="23" t="s">
        <v>80</v>
      </c>
      <c r="AC352" s="23" t="s">
        <v>80</v>
      </c>
      <c r="AD352" s="23">
        <f t="shared" si="3"/>
        <v>7.1428571428571423</v>
      </c>
      <c r="AE352" s="23">
        <f t="shared" si="4"/>
        <v>5.0247619047619043</v>
      </c>
      <c r="AF352" s="23">
        <f t="shared" si="5"/>
        <v>0.68421052631578949</v>
      </c>
    </row>
    <row r="353" spans="1:32" ht="15.75" customHeight="1" x14ac:dyDescent="0.15">
      <c r="A353" s="34">
        <v>349</v>
      </c>
      <c r="B353" s="35" t="s">
        <v>3032</v>
      </c>
      <c r="C353" s="45" t="s">
        <v>2651</v>
      </c>
      <c r="D353" s="34">
        <v>15.43</v>
      </c>
      <c r="E353" s="34">
        <v>2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14</v>
      </c>
      <c r="P353" s="33">
        <v>2.1</v>
      </c>
      <c r="Q353" s="34">
        <v>4</v>
      </c>
      <c r="R353" s="34">
        <v>0</v>
      </c>
      <c r="S353" s="34">
        <v>4</v>
      </c>
      <c r="T353" s="34">
        <v>0</v>
      </c>
      <c r="U353" s="34">
        <v>0</v>
      </c>
      <c r="V353" s="34">
        <v>3</v>
      </c>
      <c r="W353" s="34">
        <v>1</v>
      </c>
      <c r="X353" s="34">
        <v>0</v>
      </c>
      <c r="Y353" s="34">
        <v>4</v>
      </c>
      <c r="Z353" s="34">
        <v>4</v>
      </c>
      <c r="AA353" s="24" t="s">
        <v>15</v>
      </c>
      <c r="AB353" s="24" t="s">
        <v>37</v>
      </c>
      <c r="AC353" s="24" t="s">
        <v>37</v>
      </c>
      <c r="AD353" s="23">
        <f t="shared" si="3"/>
        <v>3.8095238095238093</v>
      </c>
      <c r="AE353" s="23">
        <f t="shared" si="4"/>
        <v>5.9771428571428569</v>
      </c>
      <c r="AF353" s="23">
        <f t="shared" si="5"/>
        <v>0.5714285714285714</v>
      </c>
    </row>
    <row r="354" spans="1:32" ht="15.75" customHeight="1" x14ac:dyDescent="0.15">
      <c r="A354" s="30">
        <v>353</v>
      </c>
      <c r="B354" s="31" t="s">
        <v>3033</v>
      </c>
      <c r="C354" s="44" t="s">
        <v>2653</v>
      </c>
      <c r="D354" s="30">
        <v>0</v>
      </c>
      <c r="E354" s="30">
        <v>2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7</v>
      </c>
      <c r="P354" s="33">
        <v>2</v>
      </c>
      <c r="Q354" s="30">
        <v>0</v>
      </c>
      <c r="R354" s="30">
        <v>0</v>
      </c>
      <c r="S354" s="30">
        <v>2</v>
      </c>
      <c r="T354" s="30">
        <v>0</v>
      </c>
      <c r="U354" s="30">
        <v>0</v>
      </c>
      <c r="V354" s="30">
        <v>3</v>
      </c>
      <c r="W354" s="30">
        <v>0</v>
      </c>
      <c r="X354" s="30">
        <v>0</v>
      </c>
      <c r="Y354" s="30">
        <v>0</v>
      </c>
      <c r="Z354" s="30">
        <v>0</v>
      </c>
      <c r="AA354" s="23" t="s">
        <v>15</v>
      </c>
      <c r="AB354" s="23" t="s">
        <v>27</v>
      </c>
      <c r="AC354" s="23" t="s">
        <v>27</v>
      </c>
      <c r="AD354" s="23">
        <f t="shared" si="3"/>
        <v>1</v>
      </c>
      <c r="AE354" s="23">
        <f t="shared" si="4"/>
        <v>3.12</v>
      </c>
      <c r="AF354" s="23">
        <f t="shared" si="5"/>
        <v>0</v>
      </c>
    </row>
    <row r="355" spans="1:32" ht="15.75" customHeight="1" x14ac:dyDescent="0.15">
      <c r="A355" s="34">
        <v>353</v>
      </c>
      <c r="B355" s="35" t="s">
        <v>3034</v>
      </c>
      <c r="C355" s="48" t="s">
        <v>2647</v>
      </c>
      <c r="D355" s="34">
        <v>9</v>
      </c>
      <c r="E355" s="34">
        <v>2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10</v>
      </c>
      <c r="P355" s="33">
        <v>2</v>
      </c>
      <c r="Q355" s="34">
        <v>3</v>
      </c>
      <c r="R355" s="34">
        <v>0</v>
      </c>
      <c r="S355" s="34">
        <v>1</v>
      </c>
      <c r="T355" s="34">
        <v>0</v>
      </c>
      <c r="U355" s="34">
        <v>0</v>
      </c>
      <c r="V355" s="34">
        <v>2</v>
      </c>
      <c r="W355" s="34">
        <v>0</v>
      </c>
      <c r="X355" s="34">
        <v>0</v>
      </c>
      <c r="Y355" s="34">
        <v>2</v>
      </c>
      <c r="Z355" s="34">
        <v>2</v>
      </c>
      <c r="AA355" s="24" t="s">
        <v>15</v>
      </c>
      <c r="AB355" s="24" t="s">
        <v>57</v>
      </c>
      <c r="AC355" s="24" t="s">
        <v>37</v>
      </c>
      <c r="AD355" s="23">
        <f t="shared" si="3"/>
        <v>2</v>
      </c>
      <c r="AE355" s="23">
        <f t="shared" si="4"/>
        <v>2.62</v>
      </c>
      <c r="AF355" s="23">
        <f t="shared" si="5"/>
        <v>0.42857142857142855</v>
      </c>
    </row>
    <row r="356" spans="1:32" ht="15.75" customHeight="1" x14ac:dyDescent="0.15">
      <c r="A356" s="30">
        <v>353</v>
      </c>
      <c r="B356" s="31" t="s">
        <v>3035</v>
      </c>
      <c r="C356" s="37" t="s">
        <v>2647</v>
      </c>
      <c r="D356" s="30">
        <v>4.5</v>
      </c>
      <c r="E356" s="30">
        <v>2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9</v>
      </c>
      <c r="P356" s="33">
        <v>2</v>
      </c>
      <c r="Q356" s="30">
        <v>3</v>
      </c>
      <c r="R356" s="30">
        <v>0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1</v>
      </c>
      <c r="Z356" s="30">
        <v>1</v>
      </c>
      <c r="AA356" s="23" t="s">
        <v>15</v>
      </c>
      <c r="AB356" s="23" t="s">
        <v>47</v>
      </c>
      <c r="AC356" s="23" t="s">
        <v>27</v>
      </c>
      <c r="AD356" s="23">
        <f t="shared" si="3"/>
        <v>1.5</v>
      </c>
      <c r="AE356" s="23">
        <f t="shared" si="4"/>
        <v>2.12</v>
      </c>
      <c r="AF356" s="23">
        <f t="shared" si="5"/>
        <v>0.375</v>
      </c>
    </row>
    <row r="357" spans="1:32" ht="15.75" customHeight="1" x14ac:dyDescent="0.15">
      <c r="A357" s="34">
        <v>353</v>
      </c>
      <c r="B357" s="35" t="s">
        <v>3036</v>
      </c>
      <c r="C357" s="48" t="s">
        <v>2647</v>
      </c>
      <c r="D357" s="34">
        <v>13.5</v>
      </c>
      <c r="E357" s="34">
        <v>2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11</v>
      </c>
      <c r="P357" s="33">
        <v>2</v>
      </c>
      <c r="Q357" s="34">
        <v>4</v>
      </c>
      <c r="R357" s="34">
        <v>1</v>
      </c>
      <c r="S357" s="34">
        <v>3</v>
      </c>
      <c r="T357" s="34">
        <v>0</v>
      </c>
      <c r="U357" s="34">
        <v>0</v>
      </c>
      <c r="V357" s="34">
        <v>0</v>
      </c>
      <c r="W357" s="34">
        <v>0</v>
      </c>
      <c r="X357" s="34">
        <v>0</v>
      </c>
      <c r="Y357" s="34">
        <v>3</v>
      </c>
      <c r="Z357" s="34">
        <v>3</v>
      </c>
      <c r="AA357" s="24" t="s">
        <v>15</v>
      </c>
      <c r="AB357" s="24" t="s">
        <v>14</v>
      </c>
      <c r="AC357" s="24" t="s">
        <v>14</v>
      </c>
      <c r="AD357" s="23">
        <f t="shared" si="3"/>
        <v>3.5</v>
      </c>
      <c r="AE357" s="23">
        <f t="shared" si="4"/>
        <v>14.120000000000001</v>
      </c>
      <c r="AF357" s="23">
        <f t="shared" si="5"/>
        <v>0.42857142857142855</v>
      </c>
    </row>
    <row r="358" spans="1:32" ht="15.75" customHeight="1" x14ac:dyDescent="0.15">
      <c r="A358" s="30">
        <v>353</v>
      </c>
      <c r="B358" s="31" t="s">
        <v>3037</v>
      </c>
      <c r="C358" s="44" t="s">
        <v>2653</v>
      </c>
      <c r="D358" s="30">
        <v>4.5</v>
      </c>
      <c r="E358" s="30">
        <v>2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10</v>
      </c>
      <c r="P358" s="33">
        <v>2</v>
      </c>
      <c r="Q358" s="30">
        <v>2</v>
      </c>
      <c r="R358" s="30">
        <v>0</v>
      </c>
      <c r="S358" s="30">
        <v>2</v>
      </c>
      <c r="T358" s="30">
        <v>0</v>
      </c>
      <c r="U358" s="30">
        <v>0</v>
      </c>
      <c r="V358" s="30">
        <v>1</v>
      </c>
      <c r="W358" s="30">
        <v>0</v>
      </c>
      <c r="X358" s="30">
        <v>0</v>
      </c>
      <c r="Y358" s="30">
        <v>1</v>
      </c>
      <c r="Z358" s="30">
        <v>1</v>
      </c>
      <c r="AA358" s="23" t="s">
        <v>15</v>
      </c>
      <c r="AB358" s="23" t="s">
        <v>27</v>
      </c>
      <c r="AC358" s="23" t="s">
        <v>27</v>
      </c>
      <c r="AD358" s="23">
        <f t="shared" si="3"/>
        <v>2</v>
      </c>
      <c r="AE358" s="23">
        <f t="shared" si="4"/>
        <v>5.12</v>
      </c>
      <c r="AF358" s="23">
        <f t="shared" si="5"/>
        <v>0.2857142857142857</v>
      </c>
    </row>
    <row r="359" spans="1:32" ht="15.75" customHeight="1" x14ac:dyDescent="0.15">
      <c r="A359" s="34">
        <v>353</v>
      </c>
      <c r="B359" s="35" t="s">
        <v>3038</v>
      </c>
      <c r="C359" s="56" t="s">
        <v>2653</v>
      </c>
      <c r="D359" s="34">
        <v>9</v>
      </c>
      <c r="E359" s="34">
        <v>2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9</v>
      </c>
      <c r="P359" s="33">
        <v>2</v>
      </c>
      <c r="Q359" s="34">
        <v>3</v>
      </c>
      <c r="R359" s="34">
        <v>0</v>
      </c>
      <c r="S359" s="34">
        <v>0</v>
      </c>
      <c r="T359" s="34">
        <v>0</v>
      </c>
      <c r="U359" s="34">
        <v>0</v>
      </c>
      <c r="V359" s="34">
        <v>1</v>
      </c>
      <c r="W359" s="34">
        <v>0</v>
      </c>
      <c r="X359" s="34">
        <v>0</v>
      </c>
      <c r="Y359" s="34">
        <v>2</v>
      </c>
      <c r="Z359" s="34">
        <v>2</v>
      </c>
      <c r="AA359" s="24" t="s">
        <v>15</v>
      </c>
      <c r="AB359" s="24" t="s">
        <v>15</v>
      </c>
      <c r="AC359" s="24" t="s">
        <v>15</v>
      </c>
      <c r="AD359" s="23">
        <f t="shared" si="3"/>
        <v>1.5</v>
      </c>
      <c r="AE359" s="23">
        <f t="shared" si="4"/>
        <v>2.12</v>
      </c>
      <c r="AF359" s="23">
        <f t="shared" si="5"/>
        <v>0.375</v>
      </c>
    </row>
    <row r="360" spans="1:32" ht="15.75" customHeight="1" x14ac:dyDescent="0.15">
      <c r="A360" s="30">
        <v>353</v>
      </c>
      <c r="B360" s="31" t="s">
        <v>3039</v>
      </c>
      <c r="C360" s="44" t="s">
        <v>2653</v>
      </c>
      <c r="D360" s="30">
        <v>9</v>
      </c>
      <c r="E360" s="30">
        <v>1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14</v>
      </c>
      <c r="P360" s="33">
        <v>2</v>
      </c>
      <c r="Q360" s="30">
        <v>7</v>
      </c>
      <c r="R360" s="30">
        <v>0</v>
      </c>
      <c r="S360" s="30">
        <v>1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5</v>
      </c>
      <c r="Z360" s="30">
        <v>2</v>
      </c>
      <c r="AA360" s="23" t="s">
        <v>15</v>
      </c>
      <c r="AB360" s="23" t="s">
        <v>57</v>
      </c>
      <c r="AC360" s="23" t="s">
        <v>57</v>
      </c>
      <c r="AD360" s="23">
        <f t="shared" si="3"/>
        <v>4</v>
      </c>
      <c r="AE360" s="23">
        <f t="shared" si="4"/>
        <v>4.62</v>
      </c>
      <c r="AF360" s="23">
        <f t="shared" si="5"/>
        <v>0.53846153846153844</v>
      </c>
    </row>
    <row r="361" spans="1:32" ht="15.75" customHeight="1" x14ac:dyDescent="0.15">
      <c r="A361" s="34">
        <v>353</v>
      </c>
      <c r="B361" s="35" t="s">
        <v>3040</v>
      </c>
      <c r="C361" s="40" t="s">
        <v>2650</v>
      </c>
      <c r="D361" s="34">
        <v>4.5</v>
      </c>
      <c r="E361" s="34">
        <v>1</v>
      </c>
      <c r="F361" s="34">
        <v>0</v>
      </c>
      <c r="G361" s="34">
        <v>1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13</v>
      </c>
      <c r="P361" s="33">
        <v>2</v>
      </c>
      <c r="Q361" s="34">
        <v>2</v>
      </c>
      <c r="R361" s="34">
        <v>0</v>
      </c>
      <c r="S361" s="34">
        <v>4</v>
      </c>
      <c r="T361" s="34">
        <v>0</v>
      </c>
      <c r="U361" s="34">
        <v>0</v>
      </c>
      <c r="V361" s="34">
        <v>1</v>
      </c>
      <c r="W361" s="34">
        <v>0</v>
      </c>
      <c r="X361" s="34">
        <v>0</v>
      </c>
      <c r="Y361" s="34">
        <v>2</v>
      </c>
      <c r="Z361" s="34">
        <v>1</v>
      </c>
      <c r="AA361" s="24" t="s">
        <v>15</v>
      </c>
      <c r="AB361" s="24" t="s">
        <v>37</v>
      </c>
      <c r="AC361" s="24" t="s">
        <v>37</v>
      </c>
      <c r="AD361" s="23">
        <f t="shared" si="3"/>
        <v>3</v>
      </c>
      <c r="AE361" s="23">
        <f t="shared" si="4"/>
        <v>8.120000000000001</v>
      </c>
      <c r="AF361" s="23">
        <f t="shared" si="5"/>
        <v>0.25</v>
      </c>
    </row>
    <row r="362" spans="1:32" ht="15.75" customHeight="1" x14ac:dyDescent="0.15">
      <c r="A362" s="30">
        <v>353</v>
      </c>
      <c r="B362" s="31" t="s">
        <v>3041</v>
      </c>
      <c r="C362" s="47" t="s">
        <v>2654</v>
      </c>
      <c r="D362" s="30">
        <v>22.5</v>
      </c>
      <c r="E362" s="30">
        <v>1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13</v>
      </c>
      <c r="P362" s="33">
        <v>2</v>
      </c>
      <c r="Q362" s="30">
        <v>3</v>
      </c>
      <c r="R362" s="30">
        <v>0</v>
      </c>
      <c r="S362" s="30">
        <v>3</v>
      </c>
      <c r="T362" s="30">
        <v>0</v>
      </c>
      <c r="U362" s="30">
        <v>2</v>
      </c>
      <c r="V362" s="30">
        <v>1</v>
      </c>
      <c r="W362" s="30">
        <v>0</v>
      </c>
      <c r="X362" s="30">
        <v>0</v>
      </c>
      <c r="Y362" s="30">
        <v>5</v>
      </c>
      <c r="Z362" s="30">
        <v>5</v>
      </c>
      <c r="AA362" s="23" t="s">
        <v>15</v>
      </c>
      <c r="AB362" s="23" t="s">
        <v>27</v>
      </c>
      <c r="AC362" s="23" t="s">
        <v>27</v>
      </c>
      <c r="AD362" s="23">
        <f t="shared" si="3"/>
        <v>3</v>
      </c>
      <c r="AE362" s="23">
        <f t="shared" si="4"/>
        <v>9.620000000000001</v>
      </c>
      <c r="AF362" s="23">
        <f t="shared" si="5"/>
        <v>0.42857142857142855</v>
      </c>
    </row>
    <row r="363" spans="1:32" ht="15.75" customHeight="1" x14ac:dyDescent="0.15">
      <c r="A363" s="34">
        <v>353</v>
      </c>
      <c r="B363" s="35" t="s">
        <v>3042</v>
      </c>
      <c r="C363" s="51" t="s">
        <v>2655</v>
      </c>
      <c r="D363" s="34">
        <v>36</v>
      </c>
      <c r="E363" s="34">
        <v>1</v>
      </c>
      <c r="F363" s="34">
        <v>0</v>
      </c>
      <c r="G363" s="34">
        <v>1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15</v>
      </c>
      <c r="P363" s="33">
        <v>2</v>
      </c>
      <c r="Q363" s="34">
        <v>5</v>
      </c>
      <c r="R363" s="34">
        <v>1</v>
      </c>
      <c r="S363" s="34">
        <v>3</v>
      </c>
      <c r="T363" s="34">
        <v>0</v>
      </c>
      <c r="U363" s="34">
        <v>0</v>
      </c>
      <c r="V363" s="34">
        <v>1</v>
      </c>
      <c r="W363" s="34">
        <v>0</v>
      </c>
      <c r="X363" s="34">
        <v>0</v>
      </c>
      <c r="Y363" s="34">
        <v>8</v>
      </c>
      <c r="Z363" s="34">
        <v>8</v>
      </c>
      <c r="AA363" s="24" t="s">
        <v>15</v>
      </c>
      <c r="AB363" s="24" t="s">
        <v>14</v>
      </c>
      <c r="AC363" s="24" t="s">
        <v>14</v>
      </c>
      <c r="AD363" s="23">
        <f t="shared" si="3"/>
        <v>4</v>
      </c>
      <c r="AE363" s="23">
        <f t="shared" si="4"/>
        <v>13.120000000000001</v>
      </c>
      <c r="AF363" s="23">
        <f t="shared" si="5"/>
        <v>0.4</v>
      </c>
    </row>
    <row r="364" spans="1:32" ht="15.75" customHeight="1" x14ac:dyDescent="0.15">
      <c r="A364" s="30">
        <v>353</v>
      </c>
      <c r="B364" s="31" t="s">
        <v>3043</v>
      </c>
      <c r="C364" s="32" t="s">
        <v>2645</v>
      </c>
      <c r="D364" s="30">
        <v>13.5</v>
      </c>
      <c r="E364" s="30">
        <v>1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10</v>
      </c>
      <c r="P364" s="33">
        <v>2</v>
      </c>
      <c r="Q364" s="30">
        <v>4</v>
      </c>
      <c r="R364" s="30">
        <v>1</v>
      </c>
      <c r="S364" s="30">
        <v>0</v>
      </c>
      <c r="T364" s="30">
        <v>0</v>
      </c>
      <c r="U364" s="30">
        <v>0</v>
      </c>
      <c r="V364" s="30">
        <v>2</v>
      </c>
      <c r="W364" s="30">
        <v>0</v>
      </c>
      <c r="X364" s="30">
        <v>0</v>
      </c>
      <c r="Y364" s="30">
        <v>3</v>
      </c>
      <c r="Z364" s="30">
        <v>3</v>
      </c>
      <c r="AA364" s="23" t="s">
        <v>15</v>
      </c>
      <c r="AB364" s="23" t="s">
        <v>27</v>
      </c>
      <c r="AC364" s="23" t="s">
        <v>27</v>
      </c>
      <c r="AD364" s="23">
        <f t="shared" si="3"/>
        <v>2</v>
      </c>
      <c r="AE364" s="23">
        <f t="shared" si="4"/>
        <v>7.62</v>
      </c>
      <c r="AF364" s="23">
        <f t="shared" si="5"/>
        <v>0.42857142857142855</v>
      </c>
    </row>
    <row r="365" spans="1:32" ht="15.75" customHeight="1" x14ac:dyDescent="0.15">
      <c r="A365" s="34">
        <v>364</v>
      </c>
      <c r="B365" s="35" t="s">
        <v>3044</v>
      </c>
      <c r="C365" s="36" t="s">
        <v>2646</v>
      </c>
      <c r="D365" s="34">
        <v>10.8</v>
      </c>
      <c r="E365" s="34">
        <v>2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11</v>
      </c>
      <c r="P365" s="33">
        <v>1.2</v>
      </c>
      <c r="Q365" s="34">
        <v>3</v>
      </c>
      <c r="R365" s="34">
        <v>0</v>
      </c>
      <c r="S365" s="34">
        <v>3</v>
      </c>
      <c r="T365" s="34">
        <v>0</v>
      </c>
      <c r="U365" s="34">
        <v>0</v>
      </c>
      <c r="V365" s="34">
        <v>1</v>
      </c>
      <c r="W365" s="34">
        <v>0</v>
      </c>
      <c r="X365" s="34">
        <v>0</v>
      </c>
      <c r="Y365" s="34">
        <v>2</v>
      </c>
      <c r="Z365" s="34">
        <v>2</v>
      </c>
      <c r="AA365" s="24" t="s">
        <v>15</v>
      </c>
      <c r="AB365" s="24" t="s">
        <v>15</v>
      </c>
      <c r="AC365" s="24" t="s">
        <v>15</v>
      </c>
      <c r="AD365" s="23">
        <f t="shared" si="3"/>
        <v>5</v>
      </c>
      <c r="AE365" s="23">
        <f t="shared" si="4"/>
        <v>8.9533333333333331</v>
      </c>
      <c r="AF365" s="23">
        <f t="shared" si="5"/>
        <v>0.42857142857142855</v>
      </c>
    </row>
    <row r="366" spans="1:32" ht="15.75" customHeight="1" x14ac:dyDescent="0.15">
      <c r="A366" s="30">
        <v>364</v>
      </c>
      <c r="B366" s="31" t="s">
        <v>3045</v>
      </c>
      <c r="C366" s="39" t="s">
        <v>2649</v>
      </c>
      <c r="D366" s="30">
        <v>16.2</v>
      </c>
      <c r="E366" s="30">
        <v>1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12</v>
      </c>
      <c r="P366" s="33">
        <v>1.2</v>
      </c>
      <c r="Q366" s="30">
        <v>5</v>
      </c>
      <c r="R366" s="30">
        <v>0</v>
      </c>
      <c r="S366" s="30">
        <v>1</v>
      </c>
      <c r="T366" s="30">
        <v>0</v>
      </c>
      <c r="U366" s="30">
        <v>0</v>
      </c>
      <c r="V366" s="30">
        <v>1</v>
      </c>
      <c r="W366" s="30">
        <v>1</v>
      </c>
      <c r="X366" s="30">
        <v>0</v>
      </c>
      <c r="Y366" s="30">
        <v>5</v>
      </c>
      <c r="Z366" s="30">
        <v>3</v>
      </c>
      <c r="AA366" s="23" t="s">
        <v>15</v>
      </c>
      <c r="AB366" s="23" t="s">
        <v>15</v>
      </c>
      <c r="AC366" s="23" t="s">
        <v>15</v>
      </c>
      <c r="AD366" s="23">
        <f t="shared" si="3"/>
        <v>5</v>
      </c>
      <c r="AE366" s="23">
        <f t="shared" si="4"/>
        <v>3.9533333333333336</v>
      </c>
      <c r="AF366" s="23">
        <f t="shared" si="5"/>
        <v>0.5</v>
      </c>
    </row>
    <row r="367" spans="1:32" ht="15.75" customHeight="1" x14ac:dyDescent="0.15">
      <c r="A367" s="34">
        <v>366</v>
      </c>
      <c r="B367" s="35" t="s">
        <v>3046</v>
      </c>
      <c r="C367" s="57" t="s">
        <v>2654</v>
      </c>
      <c r="D367" s="34">
        <v>13.5</v>
      </c>
      <c r="E367" s="34">
        <v>2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11</v>
      </c>
      <c r="P367" s="33">
        <v>1.1000000000000001</v>
      </c>
      <c r="Q367" s="34">
        <v>4</v>
      </c>
      <c r="R367" s="34">
        <v>0</v>
      </c>
      <c r="S367" s="34">
        <v>3</v>
      </c>
      <c r="T367" s="34">
        <v>0</v>
      </c>
      <c r="U367" s="34">
        <v>0</v>
      </c>
      <c r="V367" s="34">
        <v>1</v>
      </c>
      <c r="W367" s="34">
        <v>0</v>
      </c>
      <c r="X367" s="34">
        <v>0</v>
      </c>
      <c r="Y367" s="34">
        <v>4</v>
      </c>
      <c r="Z367" s="34">
        <v>2</v>
      </c>
      <c r="AA367" s="24" t="s">
        <v>15</v>
      </c>
      <c r="AB367" s="24" t="s">
        <v>14</v>
      </c>
      <c r="AC367" s="24" t="s">
        <v>14</v>
      </c>
      <c r="AD367" s="23">
        <f t="shared" si="3"/>
        <v>6.3636363636363633</v>
      </c>
      <c r="AE367" s="23">
        <f t="shared" si="4"/>
        <v>9.4836363636363643</v>
      </c>
      <c r="AF367" s="23">
        <f t="shared" si="5"/>
        <v>0.5714285714285714</v>
      </c>
    </row>
    <row r="368" spans="1:32" ht="15.75" customHeight="1" x14ac:dyDescent="0.15">
      <c r="A368" s="30">
        <v>366</v>
      </c>
      <c r="B368" s="31" t="s">
        <v>3047</v>
      </c>
      <c r="C368" s="52" t="s">
        <v>2646</v>
      </c>
      <c r="D368" s="30">
        <v>20.25</v>
      </c>
      <c r="E368" s="30">
        <v>2</v>
      </c>
      <c r="F368" s="30">
        <v>0</v>
      </c>
      <c r="G368" s="30">
        <v>1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11</v>
      </c>
      <c r="P368" s="33">
        <v>1.1000000000000001</v>
      </c>
      <c r="Q368" s="30">
        <v>4</v>
      </c>
      <c r="R368" s="30">
        <v>0</v>
      </c>
      <c r="S368" s="30">
        <v>3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4</v>
      </c>
      <c r="Z368" s="30">
        <v>3</v>
      </c>
      <c r="AA368" s="23" t="s">
        <v>15</v>
      </c>
      <c r="AB368" s="23" t="s">
        <v>37</v>
      </c>
      <c r="AC368" s="23" t="s">
        <v>14</v>
      </c>
      <c r="AD368" s="23">
        <f t="shared" si="3"/>
        <v>6.3636363636363633</v>
      </c>
      <c r="AE368" s="23">
        <f t="shared" si="4"/>
        <v>11.301818181818181</v>
      </c>
      <c r="AF368" s="23">
        <f t="shared" si="5"/>
        <v>0.5</v>
      </c>
    </row>
    <row r="369" spans="1:32" ht="15.75" customHeight="1" x14ac:dyDescent="0.15">
      <c r="A369" s="34">
        <v>368</v>
      </c>
      <c r="B369" s="35" t="s">
        <v>3048</v>
      </c>
      <c r="C369" s="58" t="s">
        <v>2645</v>
      </c>
      <c r="D369" s="34">
        <v>9</v>
      </c>
      <c r="E369" s="34">
        <v>2</v>
      </c>
      <c r="F369" s="34">
        <v>0</v>
      </c>
      <c r="G369" s="34">
        <v>0</v>
      </c>
      <c r="H369" s="34">
        <v>0</v>
      </c>
      <c r="I369" s="34">
        <v>1</v>
      </c>
      <c r="J369" s="34">
        <v>1</v>
      </c>
      <c r="K369" s="34">
        <v>0</v>
      </c>
      <c r="L369" s="34">
        <v>0</v>
      </c>
      <c r="M369" s="34">
        <v>0</v>
      </c>
      <c r="N369" s="34">
        <v>0</v>
      </c>
      <c r="O369" s="34">
        <v>8</v>
      </c>
      <c r="P369" s="33">
        <v>1</v>
      </c>
      <c r="Q369" s="34">
        <v>3</v>
      </c>
      <c r="R369" s="34">
        <v>0</v>
      </c>
      <c r="S369" s="34">
        <v>1</v>
      </c>
      <c r="T369" s="34">
        <v>0</v>
      </c>
      <c r="U369" s="34">
        <v>0</v>
      </c>
      <c r="V369" s="34">
        <v>1</v>
      </c>
      <c r="W369" s="34">
        <v>0</v>
      </c>
      <c r="X369" s="34">
        <v>0</v>
      </c>
      <c r="Y369" s="34">
        <v>3</v>
      </c>
      <c r="Z369" s="34">
        <v>1</v>
      </c>
      <c r="AA369" s="24" t="s">
        <v>15</v>
      </c>
      <c r="AB369" s="24" t="s">
        <v>15</v>
      </c>
      <c r="AC369" s="24" t="s">
        <v>15</v>
      </c>
      <c r="AD369" s="23">
        <f t="shared" si="3"/>
        <v>4</v>
      </c>
      <c r="AE369" s="23">
        <f t="shared" si="4"/>
        <v>4.12</v>
      </c>
      <c r="AF369" s="23">
        <f t="shared" si="5"/>
        <v>0.5</v>
      </c>
    </row>
    <row r="370" spans="1:32" ht="15.75" customHeight="1" x14ac:dyDescent="0.15">
      <c r="A370" s="30">
        <v>368</v>
      </c>
      <c r="B370" s="31" t="s">
        <v>3049</v>
      </c>
      <c r="C370" s="46" t="s">
        <v>2648</v>
      </c>
      <c r="D370" s="30">
        <v>9</v>
      </c>
      <c r="E370" s="30">
        <v>2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9</v>
      </c>
      <c r="P370" s="33">
        <v>1</v>
      </c>
      <c r="Q370" s="30">
        <v>4</v>
      </c>
      <c r="R370" s="30">
        <v>0</v>
      </c>
      <c r="S370" s="30">
        <v>2</v>
      </c>
      <c r="T370" s="30">
        <v>0</v>
      </c>
      <c r="U370" s="30">
        <v>0</v>
      </c>
      <c r="V370" s="30">
        <v>2</v>
      </c>
      <c r="W370" s="30">
        <v>1</v>
      </c>
      <c r="X370" s="30">
        <v>0</v>
      </c>
      <c r="Y370" s="30">
        <v>1</v>
      </c>
      <c r="Z370" s="30">
        <v>1</v>
      </c>
      <c r="AA370" s="23" t="s">
        <v>15</v>
      </c>
      <c r="AB370" s="23" t="s">
        <v>64</v>
      </c>
      <c r="AC370" s="23" t="s">
        <v>64</v>
      </c>
      <c r="AD370" s="23">
        <f t="shared" si="3"/>
        <v>6</v>
      </c>
      <c r="AE370" s="23">
        <f t="shared" si="4"/>
        <v>5.12</v>
      </c>
      <c r="AF370" s="23">
        <f t="shared" si="5"/>
        <v>0.8</v>
      </c>
    </row>
    <row r="371" spans="1:32" ht="15.75" customHeight="1" x14ac:dyDescent="0.15">
      <c r="A371" s="34">
        <v>368</v>
      </c>
      <c r="B371" s="35" t="s">
        <v>3050</v>
      </c>
      <c r="C371" s="38" t="s">
        <v>2648</v>
      </c>
      <c r="D371" s="34">
        <v>45</v>
      </c>
      <c r="E371" s="34">
        <v>2</v>
      </c>
      <c r="F371" s="34">
        <v>0</v>
      </c>
      <c r="G371" s="34">
        <v>1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16</v>
      </c>
      <c r="P371" s="33">
        <v>1</v>
      </c>
      <c r="Q371" s="34">
        <v>6</v>
      </c>
      <c r="R371" s="34">
        <v>0</v>
      </c>
      <c r="S371" s="34">
        <v>5</v>
      </c>
      <c r="T371" s="34">
        <v>0</v>
      </c>
      <c r="U371" s="34">
        <v>0</v>
      </c>
      <c r="V371" s="34">
        <v>1</v>
      </c>
      <c r="W371" s="34">
        <v>0</v>
      </c>
      <c r="X371" s="34">
        <v>0</v>
      </c>
      <c r="Y371" s="34">
        <v>10</v>
      </c>
      <c r="Z371" s="34">
        <v>5</v>
      </c>
      <c r="AA371" s="24" t="s">
        <v>15</v>
      </c>
      <c r="AB371" s="24" t="s">
        <v>15</v>
      </c>
      <c r="AC371" s="24" t="s">
        <v>15</v>
      </c>
      <c r="AD371" s="23">
        <f t="shared" si="3"/>
        <v>11</v>
      </c>
      <c r="AE371" s="23">
        <f t="shared" si="4"/>
        <v>16.12</v>
      </c>
      <c r="AF371" s="23">
        <f t="shared" si="5"/>
        <v>0.6</v>
      </c>
    </row>
    <row r="372" spans="1:32" ht="15.75" customHeight="1" x14ac:dyDescent="0.15">
      <c r="A372" s="30">
        <v>368</v>
      </c>
      <c r="B372" s="31" t="s">
        <v>3051</v>
      </c>
      <c r="C372" s="49" t="s">
        <v>2655</v>
      </c>
      <c r="D372" s="30">
        <v>0</v>
      </c>
      <c r="E372" s="30">
        <v>1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5</v>
      </c>
      <c r="P372" s="33">
        <v>1</v>
      </c>
      <c r="Q372" s="30">
        <v>1</v>
      </c>
      <c r="R372" s="30">
        <v>0</v>
      </c>
      <c r="S372" s="30">
        <v>1</v>
      </c>
      <c r="T372" s="30">
        <v>0</v>
      </c>
      <c r="U372" s="30">
        <v>0</v>
      </c>
      <c r="V372" s="30">
        <v>3</v>
      </c>
      <c r="W372" s="30">
        <v>0</v>
      </c>
      <c r="X372" s="30">
        <v>0</v>
      </c>
      <c r="Y372" s="30">
        <v>0</v>
      </c>
      <c r="Z372" s="30">
        <v>0</v>
      </c>
      <c r="AA372" s="23" t="s">
        <v>15</v>
      </c>
      <c r="AB372" s="23" t="s">
        <v>27</v>
      </c>
      <c r="AC372" s="23" t="s">
        <v>27</v>
      </c>
      <c r="AD372" s="23">
        <f t="shared" si="3"/>
        <v>2</v>
      </c>
      <c r="AE372" s="23">
        <f t="shared" si="4"/>
        <v>0.12000000000000011</v>
      </c>
      <c r="AF372" s="23">
        <f t="shared" si="5"/>
        <v>1</v>
      </c>
    </row>
    <row r="373" spans="1:32" ht="15.75" customHeight="1" x14ac:dyDescent="0.15">
      <c r="A373" s="34">
        <v>368</v>
      </c>
      <c r="B373" s="35" t="s">
        <v>3052</v>
      </c>
      <c r="C373" s="50" t="s">
        <v>198</v>
      </c>
      <c r="D373" s="34">
        <v>0</v>
      </c>
      <c r="E373" s="34">
        <v>1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3</v>
      </c>
      <c r="P373" s="33">
        <v>1</v>
      </c>
      <c r="Q373" s="34">
        <v>0</v>
      </c>
      <c r="R373" s="34">
        <v>0</v>
      </c>
      <c r="S373" s="34">
        <v>0</v>
      </c>
      <c r="T373" s="34">
        <v>0</v>
      </c>
      <c r="U373" s="34">
        <v>0</v>
      </c>
      <c r="V373" s="34">
        <v>1</v>
      </c>
      <c r="W373" s="34">
        <v>0</v>
      </c>
      <c r="X373" s="34">
        <v>0</v>
      </c>
      <c r="Y373" s="34">
        <v>0</v>
      </c>
      <c r="Z373" s="34">
        <v>0</v>
      </c>
      <c r="AA373" s="24" t="s">
        <v>15</v>
      </c>
      <c r="AB373" s="24" t="s">
        <v>14</v>
      </c>
      <c r="AC373" s="24" t="s">
        <v>14</v>
      </c>
      <c r="AD373" s="23">
        <f t="shared" si="3"/>
        <v>0</v>
      </c>
      <c r="AE373" s="23">
        <f t="shared" si="4"/>
        <v>1.1200000000000001</v>
      </c>
      <c r="AF373" s="23">
        <f t="shared" si="5"/>
        <v>0</v>
      </c>
    </row>
    <row r="374" spans="1:32" ht="15.75" customHeight="1" x14ac:dyDescent="0.15">
      <c r="A374" s="30">
        <v>368</v>
      </c>
      <c r="B374" s="31" t="s">
        <v>3053</v>
      </c>
      <c r="C374" s="46" t="s">
        <v>2648</v>
      </c>
      <c r="D374" s="30">
        <v>45</v>
      </c>
      <c r="E374" s="30">
        <v>1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3">
        <v>1</v>
      </c>
      <c r="Q374" s="30">
        <v>5</v>
      </c>
      <c r="R374" s="30">
        <v>1</v>
      </c>
      <c r="S374" s="30">
        <v>1</v>
      </c>
      <c r="T374" s="30">
        <v>0</v>
      </c>
      <c r="U374" s="30">
        <v>0</v>
      </c>
      <c r="V374" s="30">
        <v>1</v>
      </c>
      <c r="W374" s="30">
        <v>0</v>
      </c>
      <c r="X374" s="30">
        <v>0</v>
      </c>
      <c r="Y374" s="30">
        <v>5</v>
      </c>
      <c r="Z374" s="30">
        <v>5</v>
      </c>
      <c r="AA374" s="22"/>
      <c r="AB374" s="22"/>
      <c r="AC374" s="22"/>
      <c r="AD374" s="22"/>
      <c r="AE374" s="22"/>
      <c r="AF374" s="22"/>
    </row>
    <row r="375" spans="1:32" ht="15.75" customHeight="1" x14ac:dyDescent="0.15">
      <c r="A375" s="34">
        <v>368</v>
      </c>
      <c r="B375" s="35" t="s">
        <v>3054</v>
      </c>
      <c r="C375" s="43" t="s">
        <v>2649</v>
      </c>
      <c r="D375" s="34">
        <v>27</v>
      </c>
      <c r="E375" s="34">
        <v>1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8</v>
      </c>
      <c r="P375" s="33">
        <v>1</v>
      </c>
      <c r="Q375" s="34">
        <v>2</v>
      </c>
      <c r="R375" s="34">
        <v>1</v>
      </c>
      <c r="S375" s="34">
        <v>2</v>
      </c>
      <c r="T375" s="34">
        <v>0</v>
      </c>
      <c r="U375" s="34">
        <v>1</v>
      </c>
      <c r="V375" s="34">
        <v>0</v>
      </c>
      <c r="W375" s="34">
        <v>0</v>
      </c>
      <c r="X375" s="34">
        <v>0</v>
      </c>
      <c r="Y375" s="34">
        <v>3</v>
      </c>
      <c r="Z375" s="34">
        <v>3</v>
      </c>
      <c r="AA375" s="22"/>
      <c r="AB375" s="22"/>
      <c r="AC375" s="22"/>
      <c r="AD375" s="22"/>
      <c r="AE375" s="22"/>
      <c r="AF375" s="22"/>
    </row>
    <row r="376" spans="1:32" ht="15.75" customHeight="1" x14ac:dyDescent="0.15">
      <c r="A376" s="30">
        <v>368</v>
      </c>
      <c r="B376" s="31" t="s">
        <v>3055</v>
      </c>
      <c r="C376" s="39" t="s">
        <v>2649</v>
      </c>
      <c r="D376" s="30">
        <v>9</v>
      </c>
      <c r="E376" s="30">
        <v>1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5</v>
      </c>
      <c r="P376" s="33">
        <v>1</v>
      </c>
      <c r="Q376" s="30">
        <v>2</v>
      </c>
      <c r="R376" s="30">
        <v>0</v>
      </c>
      <c r="S376" s="30">
        <v>1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1</v>
      </c>
      <c r="Z376" s="30">
        <v>1</v>
      </c>
      <c r="AA376" s="22"/>
      <c r="AB376" s="22"/>
      <c r="AC376" s="22"/>
      <c r="AD376" s="22"/>
      <c r="AE376" s="22"/>
      <c r="AF376" s="22"/>
    </row>
    <row r="377" spans="1:32" ht="15.75" customHeight="1" x14ac:dyDescent="0.15">
      <c r="A377" s="34">
        <v>368</v>
      </c>
      <c r="B377" s="35" t="s">
        <v>3056</v>
      </c>
      <c r="C377" s="42" t="s">
        <v>2652</v>
      </c>
      <c r="D377" s="34">
        <v>18</v>
      </c>
      <c r="E377" s="34">
        <v>1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6</v>
      </c>
      <c r="P377" s="33">
        <v>1</v>
      </c>
      <c r="Q377" s="34">
        <v>3</v>
      </c>
      <c r="R377" s="34">
        <v>0</v>
      </c>
      <c r="S377" s="34">
        <v>0</v>
      </c>
      <c r="T377" s="34">
        <v>0</v>
      </c>
      <c r="U377" s="34">
        <v>0</v>
      </c>
      <c r="V377" s="34">
        <v>1</v>
      </c>
      <c r="W377" s="34">
        <v>0</v>
      </c>
      <c r="X377" s="34">
        <v>0</v>
      </c>
      <c r="Y377" s="34">
        <v>2</v>
      </c>
      <c r="Z377" s="34">
        <v>2</v>
      </c>
      <c r="AA377" s="22"/>
      <c r="AB377" s="22"/>
      <c r="AC377" s="22"/>
      <c r="AD377" s="22"/>
      <c r="AE377" s="22"/>
      <c r="AF377" s="22"/>
    </row>
    <row r="378" spans="1:32" ht="15.75" customHeight="1" x14ac:dyDescent="0.15">
      <c r="A378" s="30">
        <v>377</v>
      </c>
      <c r="B378" s="31" t="s">
        <v>3057</v>
      </c>
      <c r="C378" s="39" t="s">
        <v>2649</v>
      </c>
      <c r="D378" s="30">
        <v>81</v>
      </c>
      <c r="E378" s="30">
        <v>2</v>
      </c>
      <c r="F378" s="30">
        <v>0</v>
      </c>
      <c r="G378" s="30">
        <v>1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8</v>
      </c>
      <c r="P378" s="33">
        <v>0.2</v>
      </c>
      <c r="Q378" s="30">
        <v>5</v>
      </c>
      <c r="R378" s="30">
        <v>1</v>
      </c>
      <c r="S378" s="30">
        <v>0</v>
      </c>
      <c r="T378" s="30">
        <v>0</v>
      </c>
      <c r="U378" s="30">
        <v>1</v>
      </c>
      <c r="V378" s="30">
        <v>1</v>
      </c>
      <c r="W378" s="30">
        <v>0</v>
      </c>
      <c r="X378" s="30">
        <v>0</v>
      </c>
      <c r="Y378" s="30">
        <v>6</v>
      </c>
      <c r="Z378" s="30">
        <v>6</v>
      </c>
      <c r="AA378" s="22"/>
      <c r="AB378" s="22"/>
      <c r="AC378" s="22"/>
      <c r="AD378" s="22"/>
      <c r="AE378" s="22"/>
      <c r="AF378" s="22"/>
    </row>
    <row r="379" spans="1:32" ht="15.75" customHeight="1" x14ac:dyDescent="0.15">
      <c r="A379" s="34">
        <v>377</v>
      </c>
      <c r="B379" s="35" t="s">
        <v>3422</v>
      </c>
      <c r="C379" s="43" t="s">
        <v>2649</v>
      </c>
      <c r="D379" s="34">
        <v>0</v>
      </c>
      <c r="E379" s="34">
        <v>1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2</v>
      </c>
      <c r="P379" s="33">
        <v>0.2</v>
      </c>
      <c r="Q379" s="34">
        <v>0</v>
      </c>
      <c r="R379" s="34">
        <v>0</v>
      </c>
      <c r="S379" s="34">
        <v>1</v>
      </c>
      <c r="T379" s="34">
        <v>0</v>
      </c>
      <c r="U379" s="34">
        <v>0</v>
      </c>
      <c r="V379" s="34">
        <v>0</v>
      </c>
      <c r="W379" s="34">
        <v>0</v>
      </c>
      <c r="X379" s="34">
        <v>0</v>
      </c>
      <c r="Y379" s="34">
        <v>0</v>
      </c>
      <c r="Z379" s="34">
        <v>0</v>
      </c>
      <c r="AA379" s="22"/>
      <c r="AB379" s="22"/>
      <c r="AC379" s="22"/>
      <c r="AD379" s="22"/>
      <c r="AE379" s="22"/>
      <c r="AF379" s="22"/>
    </row>
    <row r="380" spans="1:32" ht="15.75" customHeight="1" x14ac:dyDescent="0.15">
      <c r="A380" s="30">
        <v>377</v>
      </c>
      <c r="B380" s="31" t="s">
        <v>3058</v>
      </c>
      <c r="C380" s="49" t="s">
        <v>2655</v>
      </c>
      <c r="D380" s="30">
        <v>13.5</v>
      </c>
      <c r="E380" s="30">
        <v>1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4</v>
      </c>
      <c r="P380" s="33">
        <v>0.2</v>
      </c>
      <c r="Q380" s="30">
        <v>0</v>
      </c>
      <c r="R380" s="30">
        <v>0</v>
      </c>
      <c r="S380" s="30">
        <v>2</v>
      </c>
      <c r="T380" s="30">
        <v>0</v>
      </c>
      <c r="U380" s="30">
        <v>0</v>
      </c>
      <c r="V380" s="30">
        <v>0</v>
      </c>
      <c r="W380" s="30">
        <v>2</v>
      </c>
      <c r="X380" s="30">
        <v>0</v>
      </c>
      <c r="Y380" s="30">
        <v>1</v>
      </c>
      <c r="Z380" s="30">
        <v>1</v>
      </c>
      <c r="AA380" s="22"/>
      <c r="AB380" s="22"/>
      <c r="AC380" s="22"/>
      <c r="AD380" s="22"/>
      <c r="AE380" s="22"/>
      <c r="AF380" s="22"/>
    </row>
    <row r="381" spans="1:32" ht="15.75" customHeight="1" x14ac:dyDescent="0.15">
      <c r="A381" s="34">
        <v>380</v>
      </c>
      <c r="B381" s="35" t="s">
        <v>3059</v>
      </c>
      <c r="C381" s="36" t="s">
        <v>2646</v>
      </c>
      <c r="D381" s="34">
        <v>0</v>
      </c>
      <c r="E381" s="34">
        <v>1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3</v>
      </c>
      <c r="P381" s="33">
        <v>0.1</v>
      </c>
      <c r="Q381" s="34">
        <v>1</v>
      </c>
      <c r="R381" s="34">
        <v>0</v>
      </c>
      <c r="S381" s="34">
        <v>1</v>
      </c>
      <c r="T381" s="34">
        <v>0</v>
      </c>
      <c r="U381" s="34">
        <v>0</v>
      </c>
      <c r="V381" s="34">
        <v>0</v>
      </c>
      <c r="W381" s="34">
        <v>0</v>
      </c>
      <c r="X381" s="34">
        <v>0</v>
      </c>
      <c r="Y381" s="34">
        <v>0</v>
      </c>
      <c r="Z381" s="34">
        <v>0</v>
      </c>
      <c r="AA381" s="22"/>
      <c r="AB381" s="22"/>
      <c r="AC381" s="22"/>
      <c r="AD381" s="22"/>
      <c r="AE381" s="22"/>
      <c r="AF381" s="22"/>
    </row>
    <row r="382" spans="1:32" ht="15.75" customHeight="1" x14ac:dyDescent="0.15">
      <c r="A382" s="30">
        <v>380</v>
      </c>
      <c r="B382" s="31" t="s">
        <v>3060</v>
      </c>
      <c r="C382" s="54" t="s">
        <v>2650</v>
      </c>
      <c r="D382" s="30">
        <v>0</v>
      </c>
      <c r="E382" s="30">
        <v>1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1</v>
      </c>
      <c r="P382" s="33">
        <v>0.1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22"/>
      <c r="AB382" s="22"/>
      <c r="AC382" s="22"/>
      <c r="AD382" s="22"/>
      <c r="AE382" s="22"/>
      <c r="AF382" s="22"/>
    </row>
    <row r="383" spans="1:32" ht="15.75" customHeight="1" x14ac:dyDescent="0.15">
      <c r="A383" s="34">
        <v>380</v>
      </c>
      <c r="B383" s="35" t="s">
        <v>3061</v>
      </c>
      <c r="C383" s="36" t="s">
        <v>2646</v>
      </c>
      <c r="D383" s="34">
        <v>0</v>
      </c>
      <c r="E383" s="34">
        <v>1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1</v>
      </c>
      <c r="P383" s="33">
        <v>0.1</v>
      </c>
      <c r="Q383" s="34">
        <v>0</v>
      </c>
      <c r="R383" s="34">
        <v>0</v>
      </c>
      <c r="S383" s="34">
        <v>0</v>
      </c>
      <c r="T383" s="34">
        <v>0</v>
      </c>
      <c r="U383" s="34">
        <v>0</v>
      </c>
      <c r="V383" s="34">
        <v>0</v>
      </c>
      <c r="W383" s="34">
        <v>0</v>
      </c>
      <c r="X383" s="34">
        <v>0</v>
      </c>
      <c r="Y383" s="34">
        <v>0</v>
      </c>
      <c r="Z383" s="34">
        <v>0</v>
      </c>
      <c r="AA383" s="22"/>
      <c r="AB383" s="22"/>
      <c r="AC383" s="22"/>
      <c r="AD383" s="22"/>
      <c r="AE383" s="22"/>
      <c r="AF383" s="22"/>
    </row>
    <row r="384" spans="1:32" ht="15.75" customHeight="1" x14ac:dyDescent="0.15">
      <c r="A384" s="30">
        <v>380</v>
      </c>
      <c r="B384" s="31" t="s">
        <v>3062</v>
      </c>
      <c r="C384" s="53" t="s">
        <v>198</v>
      </c>
      <c r="D384" s="30">
        <v>54</v>
      </c>
      <c r="E384" s="30">
        <v>1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5</v>
      </c>
      <c r="P384" s="33">
        <v>0.1</v>
      </c>
      <c r="Q384" s="30">
        <v>2</v>
      </c>
      <c r="R384" s="30">
        <v>0</v>
      </c>
      <c r="S384" s="30">
        <v>1</v>
      </c>
      <c r="T384" s="30">
        <v>1</v>
      </c>
      <c r="U384" s="30">
        <v>1</v>
      </c>
      <c r="V384" s="30">
        <v>1</v>
      </c>
      <c r="W384" s="30">
        <v>0</v>
      </c>
      <c r="X384" s="30">
        <v>0</v>
      </c>
      <c r="Y384" s="30">
        <v>2</v>
      </c>
      <c r="Z384" s="30">
        <v>2</v>
      </c>
      <c r="AA384" s="22"/>
      <c r="AB384" s="22"/>
      <c r="AC384" s="22"/>
      <c r="AD384" s="22"/>
      <c r="AE384" s="22"/>
      <c r="AF384" s="22"/>
    </row>
    <row r="385" spans="1:32" ht="15.75" customHeight="1" x14ac:dyDescent="0.15">
      <c r="A385" s="34">
        <v>380</v>
      </c>
      <c r="B385" s="35" t="s">
        <v>3063</v>
      </c>
      <c r="C385" s="42" t="s">
        <v>2652</v>
      </c>
      <c r="D385" s="34">
        <v>0</v>
      </c>
      <c r="E385" s="34">
        <v>1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1</v>
      </c>
      <c r="P385" s="33">
        <v>0.1</v>
      </c>
      <c r="Q385" s="34">
        <v>0</v>
      </c>
      <c r="R385" s="34">
        <v>0</v>
      </c>
      <c r="S385" s="34">
        <v>0</v>
      </c>
      <c r="T385" s="34">
        <v>0</v>
      </c>
      <c r="U385" s="34">
        <v>0</v>
      </c>
      <c r="V385" s="34">
        <v>0</v>
      </c>
      <c r="W385" s="34">
        <v>0</v>
      </c>
      <c r="X385" s="34">
        <v>0</v>
      </c>
      <c r="Y385" s="34">
        <v>0</v>
      </c>
      <c r="Z385" s="34">
        <v>0</v>
      </c>
      <c r="AA385" s="22"/>
      <c r="AB385" s="22"/>
      <c r="AC385" s="22"/>
      <c r="AD385" s="22"/>
      <c r="AE385" s="22"/>
      <c r="AF385" s="22"/>
    </row>
    <row r="386" spans="1:32" ht="15.75" customHeight="1" x14ac:dyDescent="0.15">
      <c r="A386" s="30">
        <v>385</v>
      </c>
      <c r="B386" s="31" t="s">
        <v>3064</v>
      </c>
      <c r="C386" s="52" t="s">
        <v>2646</v>
      </c>
      <c r="D386" s="59" t="s">
        <v>329</v>
      </c>
      <c r="E386" s="30">
        <v>1</v>
      </c>
      <c r="F386" s="30">
        <v>0</v>
      </c>
      <c r="G386" s="30">
        <v>1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3</v>
      </c>
      <c r="P386" s="33">
        <v>0</v>
      </c>
      <c r="Q386" s="30">
        <v>2</v>
      </c>
      <c r="R386" s="30">
        <v>0</v>
      </c>
      <c r="S386" s="30">
        <v>1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/>
      <c r="AA386" s="22"/>
      <c r="AB386" s="22"/>
      <c r="AC386" s="22"/>
      <c r="AD386" s="22"/>
      <c r="AE386" s="22"/>
      <c r="AF386" s="22"/>
    </row>
    <row r="387" spans="1:32" ht="15.75" customHeight="1" x14ac:dyDescent="0.1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3"/>
      <c r="Y387" s="22"/>
      <c r="Z387" s="22"/>
      <c r="AA387" s="22"/>
      <c r="AB387" s="22"/>
      <c r="AC387" s="22"/>
      <c r="AD387" s="22"/>
      <c r="AE387" s="22"/>
      <c r="AF387" s="22"/>
    </row>
    <row r="388" spans="1:32" ht="15.75" customHeight="1" x14ac:dyDescent="0.1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3"/>
      <c r="Y388" s="22"/>
      <c r="Z388" s="22"/>
      <c r="AA388" s="22"/>
      <c r="AB388" s="22"/>
      <c r="AC388" s="22"/>
      <c r="AD388" s="22"/>
      <c r="AE388" s="22"/>
      <c r="AF388" s="22"/>
    </row>
    <row r="389" spans="1:32" ht="15.75" customHeight="1" x14ac:dyDescent="0.1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3"/>
      <c r="Y389" s="22"/>
      <c r="Z389" s="22"/>
      <c r="AA389" s="22"/>
      <c r="AB389" s="22"/>
      <c r="AC389" s="22"/>
      <c r="AD389" s="22"/>
      <c r="AE389" s="22"/>
      <c r="AF389" s="22"/>
    </row>
    <row r="390" spans="1:32" ht="15.75" customHeight="1" x14ac:dyDescent="0.1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3"/>
      <c r="Y390" s="22"/>
      <c r="Z390" s="22"/>
      <c r="AA390" s="22"/>
      <c r="AB390" s="22"/>
      <c r="AC390" s="22"/>
      <c r="AD390" s="22"/>
      <c r="AE390" s="22"/>
      <c r="AF390" s="22"/>
    </row>
    <row r="391" spans="1:32" ht="15.75" customHeight="1" x14ac:dyDescent="0.1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3"/>
      <c r="Y391" s="22"/>
      <c r="Z391" s="22"/>
      <c r="AA391" s="22"/>
      <c r="AB391" s="22"/>
      <c r="AC391" s="22"/>
      <c r="AD391" s="22"/>
      <c r="AE391" s="22"/>
      <c r="AF391" s="22"/>
    </row>
    <row r="392" spans="1:32" ht="15.75" customHeight="1" x14ac:dyDescent="0.1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3"/>
      <c r="Y392" s="22"/>
      <c r="Z392" s="22"/>
      <c r="AA392" s="22"/>
      <c r="AB392" s="22"/>
      <c r="AC392" s="22"/>
      <c r="AD392" s="22"/>
      <c r="AE392" s="22"/>
      <c r="AF392" s="22"/>
    </row>
    <row r="393" spans="1:32" ht="15.75" customHeight="1" x14ac:dyDescent="0.1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3"/>
      <c r="Y393" s="22"/>
      <c r="Z393" s="22"/>
      <c r="AA393" s="22"/>
      <c r="AB393" s="22"/>
      <c r="AC393" s="22"/>
      <c r="AD393" s="22"/>
      <c r="AE393" s="22"/>
      <c r="AF393" s="22"/>
    </row>
    <row r="394" spans="1:32" ht="15.75" customHeight="1" x14ac:dyDescent="0.1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3"/>
      <c r="Y394" s="22"/>
      <c r="Z394" s="22"/>
      <c r="AA394" s="22"/>
      <c r="AB394" s="22"/>
      <c r="AC394" s="22"/>
      <c r="AD394" s="22"/>
      <c r="AE394" s="22"/>
      <c r="AF394" s="22"/>
    </row>
    <row r="395" spans="1:32" ht="15.75" customHeight="1" x14ac:dyDescent="0.1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3"/>
      <c r="Y395" s="22"/>
      <c r="Z395" s="22"/>
      <c r="AA395" s="22"/>
      <c r="AB395" s="22"/>
      <c r="AC395" s="22"/>
      <c r="AD395" s="22"/>
      <c r="AE395" s="22"/>
      <c r="AF395" s="22"/>
    </row>
    <row r="396" spans="1:32" ht="15.75" customHeight="1" x14ac:dyDescent="0.1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3"/>
      <c r="Y396" s="22"/>
      <c r="Z396" s="22"/>
      <c r="AA396" s="22"/>
      <c r="AB396" s="22"/>
      <c r="AC396" s="22"/>
      <c r="AD396" s="22"/>
      <c r="AE396" s="22"/>
      <c r="AF396" s="22"/>
    </row>
    <row r="397" spans="1:32" ht="15.75" customHeight="1" x14ac:dyDescent="0.1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3"/>
      <c r="Y397" s="22"/>
      <c r="Z397" s="22"/>
      <c r="AA397" s="22"/>
      <c r="AB397" s="22"/>
      <c r="AC397" s="22"/>
      <c r="AD397" s="22"/>
      <c r="AE397" s="22"/>
      <c r="AF397" s="22"/>
    </row>
    <row r="398" spans="1:32" ht="15.75" customHeight="1" x14ac:dyDescent="0.1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3"/>
      <c r="Y398" s="22"/>
      <c r="Z398" s="22"/>
      <c r="AA398" s="22"/>
      <c r="AB398" s="22"/>
      <c r="AC398" s="22"/>
      <c r="AD398" s="22"/>
      <c r="AE398" s="22"/>
      <c r="AF398" s="22"/>
    </row>
    <row r="399" spans="1:32" ht="15.75" customHeight="1" x14ac:dyDescent="0.1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3"/>
      <c r="Y399" s="22"/>
      <c r="Z399" s="22"/>
      <c r="AA399" s="22"/>
      <c r="AB399" s="22"/>
      <c r="AC399" s="22"/>
      <c r="AD399" s="22"/>
      <c r="AE399" s="22"/>
      <c r="AF399" s="22"/>
    </row>
    <row r="400" spans="1:32" ht="15.75" customHeight="1" x14ac:dyDescent="0.1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3"/>
      <c r="Y400" s="22"/>
      <c r="Z400" s="22"/>
      <c r="AA400" s="22"/>
      <c r="AB400" s="22"/>
      <c r="AC400" s="22"/>
      <c r="AD400" s="22"/>
      <c r="AE400" s="22"/>
      <c r="AF400" s="22"/>
    </row>
    <row r="401" spans="1:32" ht="15.75" customHeight="1" x14ac:dyDescent="0.1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3"/>
      <c r="Y401" s="22"/>
      <c r="Z401" s="22"/>
      <c r="AA401" s="22"/>
      <c r="AB401" s="22"/>
      <c r="AC401" s="22"/>
      <c r="AD401" s="22"/>
      <c r="AE401" s="22"/>
      <c r="AF401" s="22"/>
    </row>
    <row r="402" spans="1:32" ht="15.75" customHeight="1" x14ac:dyDescent="0.1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3"/>
      <c r="Y402" s="22"/>
      <c r="Z402" s="22"/>
      <c r="AA402" s="22"/>
      <c r="AB402" s="22"/>
      <c r="AC402" s="22"/>
      <c r="AD402" s="22"/>
      <c r="AE402" s="22"/>
      <c r="AF402" s="22"/>
    </row>
    <row r="403" spans="1:32" ht="15.75" customHeight="1" x14ac:dyDescent="0.1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3"/>
      <c r="Y403" s="22"/>
      <c r="Z403" s="22"/>
      <c r="AA403" s="22"/>
      <c r="AB403" s="22"/>
      <c r="AC403" s="22"/>
      <c r="AD403" s="22"/>
      <c r="AE403" s="22"/>
      <c r="AF403" s="22"/>
    </row>
    <row r="404" spans="1:32" ht="15.75" customHeight="1" x14ac:dyDescent="0.1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3"/>
      <c r="Y404" s="22"/>
      <c r="Z404" s="22"/>
      <c r="AA404" s="22"/>
      <c r="AB404" s="22"/>
      <c r="AC404" s="22"/>
      <c r="AD404" s="22"/>
      <c r="AE404" s="22"/>
      <c r="AF404" s="22"/>
    </row>
    <row r="405" spans="1:32" ht="15.75" customHeight="1" x14ac:dyDescent="0.1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3"/>
      <c r="Y405" s="22"/>
      <c r="Z405" s="22"/>
      <c r="AA405" s="22"/>
      <c r="AB405" s="22"/>
      <c r="AC405" s="22"/>
      <c r="AD405" s="22"/>
      <c r="AE405" s="22"/>
      <c r="AF405" s="22"/>
    </row>
    <row r="406" spans="1:32" ht="15.75" customHeight="1" x14ac:dyDescent="0.1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3"/>
      <c r="Y406" s="22"/>
      <c r="Z406" s="22"/>
      <c r="AA406" s="22"/>
      <c r="AB406" s="22"/>
      <c r="AC406" s="22"/>
      <c r="AD406" s="22"/>
      <c r="AE406" s="22"/>
      <c r="AF406" s="22"/>
    </row>
    <row r="407" spans="1:32" ht="15.75" customHeight="1" x14ac:dyDescent="0.1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spans="1:32" ht="15.75" customHeight="1" x14ac:dyDescent="0.1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spans="1:32" ht="15.75" customHeight="1" x14ac:dyDescent="0.1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spans="1:32" ht="15.75" customHeight="1" x14ac:dyDescent="0.1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 spans="1:32" ht="15.75" customHeight="1" x14ac:dyDescent="0.1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spans="1:32" ht="15.75" customHeight="1" x14ac:dyDescent="0.1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spans="1:32" ht="15.75" customHeight="1" x14ac:dyDescent="0.1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spans="1:32" ht="15.75" customHeight="1" x14ac:dyDescent="0.1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spans="1:32" ht="15.75" customHeight="1" x14ac:dyDescent="0.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spans="1:32" ht="15.75" customHeight="1" x14ac:dyDescent="0.1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 spans="1:32" ht="15.75" customHeight="1" x14ac:dyDescent="0.1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spans="1:32" ht="15.75" customHeight="1" x14ac:dyDescent="0.1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spans="1:32" ht="15.75" customHeight="1" x14ac:dyDescent="0.1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spans="1:32" ht="15.75" customHeight="1" x14ac:dyDescent="0.1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spans="1:32" ht="15.75" customHeight="1" x14ac:dyDescent="0.1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spans="1:32" ht="15.75" customHeight="1" x14ac:dyDescent="0.1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 spans="1:32" ht="15.75" customHeight="1" x14ac:dyDescent="0.1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spans="1:32" ht="15.75" customHeight="1" x14ac:dyDescent="0.1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spans="1:32" ht="15.75" customHeight="1" x14ac:dyDescent="0.1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spans="1:32" ht="15.75" customHeight="1" x14ac:dyDescent="0.1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spans="1:32" ht="15.75" customHeight="1" x14ac:dyDescent="0.1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spans="1:32" ht="15.75" customHeight="1" x14ac:dyDescent="0.1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spans="1:32" ht="15.75" customHeight="1" x14ac:dyDescent="0.1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spans="1:32" ht="15.75" customHeight="1" x14ac:dyDescent="0.1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spans="1:32" ht="15.75" customHeight="1" x14ac:dyDescent="0.1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spans="1:32" ht="15.75" customHeight="1" x14ac:dyDescent="0.1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spans="1:32" ht="15.75" customHeight="1" x14ac:dyDescent="0.1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spans="1:32" ht="15.75" customHeight="1" x14ac:dyDescent="0.1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spans="1:32" ht="15.75" customHeight="1" x14ac:dyDescent="0.1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spans="1:32" ht="15.75" customHeight="1" x14ac:dyDescent="0.1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spans="1:32" ht="15.75" customHeight="1" x14ac:dyDescent="0.1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spans="1:32" ht="15.75" customHeight="1" x14ac:dyDescent="0.1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spans="1:32" ht="15.75" customHeight="1" x14ac:dyDescent="0.1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spans="1:32" ht="15.75" customHeight="1" x14ac:dyDescent="0.1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spans="1:32" ht="15.75" customHeight="1" x14ac:dyDescent="0.1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spans="1:32" ht="15.75" customHeight="1" x14ac:dyDescent="0.1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 spans="1:32" ht="15.75" customHeight="1" x14ac:dyDescent="0.1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spans="1:32" ht="15.75" customHeight="1" x14ac:dyDescent="0.1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spans="1:32" ht="15.75" customHeight="1" x14ac:dyDescent="0.1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spans="1:32" ht="15.75" customHeight="1" x14ac:dyDescent="0.1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 spans="1:32" ht="15.75" customHeight="1" x14ac:dyDescent="0.1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spans="1:32" ht="15.75" customHeight="1" x14ac:dyDescent="0.1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 spans="1:32" ht="15.75" customHeight="1" x14ac:dyDescent="0.1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spans="1:32" ht="15.75" customHeight="1" x14ac:dyDescent="0.1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spans="1:32" ht="15.75" customHeight="1" x14ac:dyDescent="0.1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spans="1:32" ht="15.75" customHeight="1" x14ac:dyDescent="0.1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 spans="1:32" ht="15.75" customHeight="1" x14ac:dyDescent="0.1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spans="1:32" ht="15.75" customHeight="1" x14ac:dyDescent="0.1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 spans="1:32" ht="15.75" customHeight="1" x14ac:dyDescent="0.1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spans="1:32" ht="15.75" customHeight="1" x14ac:dyDescent="0.1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spans="1:32" ht="15.75" customHeight="1" x14ac:dyDescent="0.1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spans="1:32" ht="15.75" customHeight="1" x14ac:dyDescent="0.1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spans="1:32" ht="15.75" customHeight="1" x14ac:dyDescent="0.1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spans="1:32" ht="15.75" customHeight="1" x14ac:dyDescent="0.1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spans="1:32" ht="15.75" customHeight="1" x14ac:dyDescent="0.1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spans="1:32" ht="15.75" customHeight="1" x14ac:dyDescent="0.1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spans="1:32" ht="15.75" customHeight="1" x14ac:dyDescent="0.1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spans="1:32" ht="15.75" customHeight="1" x14ac:dyDescent="0.1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 spans="1:32" ht="15.75" customHeight="1" x14ac:dyDescent="0.1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spans="1:32" ht="15.75" customHeight="1" x14ac:dyDescent="0.1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 spans="1:32" ht="15.75" customHeight="1" x14ac:dyDescent="0.1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spans="1:32" ht="15.75" customHeight="1" x14ac:dyDescent="0.1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spans="1:32" ht="15.75" customHeight="1" x14ac:dyDescent="0.1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spans="1:32" ht="15.75" customHeight="1" x14ac:dyDescent="0.1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 spans="1:32" ht="15.75" customHeight="1" x14ac:dyDescent="0.1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spans="1:32" ht="15.75" customHeight="1" x14ac:dyDescent="0.1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 spans="1:32" ht="15.75" customHeight="1" x14ac:dyDescent="0.1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spans="1:32" ht="15.75" customHeight="1" x14ac:dyDescent="0.1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spans="1:32" ht="15.75" customHeight="1" x14ac:dyDescent="0.1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spans="1:32" ht="15.75" customHeight="1" x14ac:dyDescent="0.1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 spans="1:32" ht="15.75" customHeight="1" x14ac:dyDescent="0.1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spans="1:32" ht="15.75" customHeight="1" x14ac:dyDescent="0.1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 spans="1:32" ht="15.75" customHeight="1" x14ac:dyDescent="0.1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spans="1:32" ht="15.75" customHeight="1" x14ac:dyDescent="0.1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spans="1:32" ht="15.75" customHeight="1" x14ac:dyDescent="0.1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spans="1:32" ht="15.75" customHeight="1" x14ac:dyDescent="0.1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 spans="1:32" ht="15.75" customHeight="1" x14ac:dyDescent="0.1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spans="1:32" ht="15.75" customHeight="1" x14ac:dyDescent="0.1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 spans="1:32" ht="15.75" customHeight="1" x14ac:dyDescent="0.1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spans="1:32" ht="15.75" customHeight="1" x14ac:dyDescent="0.1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spans="1:32" ht="15.75" customHeight="1" x14ac:dyDescent="0.1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spans="1:32" ht="15.75" customHeight="1" x14ac:dyDescent="0.1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spans="1:32" ht="15.75" customHeight="1" x14ac:dyDescent="0.1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spans="1:32" ht="15.75" customHeight="1" x14ac:dyDescent="0.1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spans="1:32" ht="15.75" customHeight="1" x14ac:dyDescent="0.1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spans="1:32" ht="15.75" customHeight="1" x14ac:dyDescent="0.1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spans="1:32" ht="15.75" customHeight="1" x14ac:dyDescent="0.1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spans="1:32" ht="15.75" customHeight="1" x14ac:dyDescent="0.1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spans="1:32" ht="15.75" customHeight="1" x14ac:dyDescent="0.1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spans="1:32" ht="15.75" customHeight="1" x14ac:dyDescent="0.1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spans="1:32" ht="15.75" customHeight="1" x14ac:dyDescent="0.1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spans="1:32" ht="15.75" customHeight="1" x14ac:dyDescent="0.1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spans="1:32" ht="15.75" customHeight="1" x14ac:dyDescent="0.1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spans="1:32" ht="15.75" customHeight="1" x14ac:dyDescent="0.1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 spans="1:32" ht="15.75" customHeight="1" x14ac:dyDescent="0.1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spans="1:32" ht="15.75" customHeight="1" x14ac:dyDescent="0.1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 spans="1:32" ht="15.75" customHeight="1" x14ac:dyDescent="0.1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spans="1:32" ht="15.75" customHeight="1" x14ac:dyDescent="0.1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spans="1:32" ht="15.75" customHeight="1" x14ac:dyDescent="0.1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spans="1:32" ht="15.75" customHeight="1" x14ac:dyDescent="0.1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 spans="1:32" ht="15.75" customHeight="1" x14ac:dyDescent="0.1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spans="1:32" ht="15.75" customHeight="1" x14ac:dyDescent="0.1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spans="1:32" ht="15.75" customHeight="1" x14ac:dyDescent="0.1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spans="1:32" ht="15.75" customHeight="1" x14ac:dyDescent="0.1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spans="1:32" ht="15.75" customHeight="1" x14ac:dyDescent="0.1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spans="1:32" ht="15.75" customHeight="1" x14ac:dyDescent="0.1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 spans="1:32" ht="15.75" customHeight="1" x14ac:dyDescent="0.1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spans="1:32" ht="15.75" customHeight="1" x14ac:dyDescent="0.1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 spans="1:32" ht="15.75" customHeight="1" x14ac:dyDescent="0.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spans="1:32" ht="15.75" customHeight="1" x14ac:dyDescent="0.1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spans="1:32" ht="15.75" customHeight="1" x14ac:dyDescent="0.1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spans="1:32" ht="15.75" customHeight="1" x14ac:dyDescent="0.1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spans="1:32" ht="15.75" customHeight="1" x14ac:dyDescent="0.1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spans="1:32" ht="15.75" customHeight="1" x14ac:dyDescent="0.1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spans="1:32" ht="15.75" customHeight="1" x14ac:dyDescent="0.1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spans="1:32" ht="15.75" customHeight="1" x14ac:dyDescent="0.1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spans="1:32" ht="15.75" customHeight="1" x14ac:dyDescent="0.1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spans="1:32" ht="15.75" customHeight="1" x14ac:dyDescent="0.1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spans="1:32" ht="15.75" customHeight="1" x14ac:dyDescent="0.1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spans="1:32" ht="15.75" customHeight="1" x14ac:dyDescent="0.1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spans="1:32" ht="15.75" customHeight="1" x14ac:dyDescent="0.1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spans="1:32" ht="15.75" customHeight="1" x14ac:dyDescent="0.1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spans="1:32" ht="15.75" customHeight="1" x14ac:dyDescent="0.1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spans="1:32" ht="15.75" customHeight="1" x14ac:dyDescent="0.1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spans="1:32" ht="15.75" customHeight="1" x14ac:dyDescent="0.1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spans="1:32" ht="15.75" customHeight="1" x14ac:dyDescent="0.1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spans="1:32" ht="15.75" customHeight="1" x14ac:dyDescent="0.1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spans="1:32" ht="15.75" customHeight="1" x14ac:dyDescent="0.1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spans="1:32" ht="15.75" customHeight="1" x14ac:dyDescent="0.1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spans="1:32" ht="15.75" customHeight="1" x14ac:dyDescent="0.1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spans="1:32" ht="15.75" customHeight="1" x14ac:dyDescent="0.1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spans="1:32" ht="15.75" customHeight="1" x14ac:dyDescent="0.1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spans="1:32" ht="15.75" customHeight="1" x14ac:dyDescent="0.1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spans="1:32" ht="15.75" customHeight="1" x14ac:dyDescent="0.1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spans="1:32" ht="15.75" customHeight="1" x14ac:dyDescent="0.1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spans="1:32" ht="15.75" customHeight="1" x14ac:dyDescent="0.1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spans="1:32" ht="15.75" customHeight="1" x14ac:dyDescent="0.1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spans="1:32" ht="15.75" customHeight="1" x14ac:dyDescent="0.1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spans="1:32" ht="15.75" customHeight="1" x14ac:dyDescent="0.1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spans="1:32" ht="15.75" customHeight="1" x14ac:dyDescent="0.1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spans="1:32" ht="15.75" customHeight="1" x14ac:dyDescent="0.1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spans="1:32" ht="15.75" customHeight="1" x14ac:dyDescent="0.1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spans="1:32" ht="15.75" customHeight="1" x14ac:dyDescent="0.1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spans="1:32" ht="15.75" customHeight="1" x14ac:dyDescent="0.1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spans="1:32" ht="15.75" customHeight="1" x14ac:dyDescent="0.1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spans="1:32" ht="15.75" customHeight="1" x14ac:dyDescent="0.1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spans="1:32" ht="15.75" customHeight="1" x14ac:dyDescent="0.1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spans="1:32" ht="15.75" customHeight="1" x14ac:dyDescent="0.1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spans="1:32" ht="15.75" customHeight="1" x14ac:dyDescent="0.1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spans="1:32" ht="15.75" customHeight="1" x14ac:dyDescent="0.1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spans="1:32" ht="15.75" customHeight="1" x14ac:dyDescent="0.1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spans="1:32" ht="15.75" customHeight="1" x14ac:dyDescent="0.1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spans="1:32" ht="15.75" customHeight="1" x14ac:dyDescent="0.1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spans="1:32" ht="15.75" customHeight="1" x14ac:dyDescent="0.1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spans="1:32" ht="15.75" customHeight="1" x14ac:dyDescent="0.1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spans="1:32" ht="15.75" customHeight="1" x14ac:dyDescent="0.1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spans="1:32" ht="15.75" customHeight="1" x14ac:dyDescent="0.1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spans="1:32" ht="15.75" customHeight="1" x14ac:dyDescent="0.1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spans="1:32" ht="15.75" customHeight="1" x14ac:dyDescent="0.1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spans="1:32" ht="15.75" customHeight="1" x14ac:dyDescent="0.1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spans="1:32" ht="15.75" customHeight="1" x14ac:dyDescent="0.1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spans="1:32" ht="15.75" customHeight="1" x14ac:dyDescent="0.1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spans="1:32" ht="15.75" customHeight="1" x14ac:dyDescent="0.1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spans="1:32" ht="15.75" customHeight="1" x14ac:dyDescent="0.1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spans="1:32" ht="15.75" customHeight="1" x14ac:dyDescent="0.1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spans="1:32" ht="15.75" customHeight="1" x14ac:dyDescent="0.1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spans="1:32" ht="15.75" customHeight="1" x14ac:dyDescent="0.1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spans="1:32" ht="15.75" customHeight="1" x14ac:dyDescent="0.1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spans="1:32" ht="15.75" customHeight="1" x14ac:dyDescent="0.1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spans="1:32" ht="15.75" customHeight="1" x14ac:dyDescent="0.1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spans="1:32" ht="15.75" customHeight="1" x14ac:dyDescent="0.1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spans="1:32" ht="15.75" customHeight="1" x14ac:dyDescent="0.1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spans="1:32" ht="15.75" customHeight="1" x14ac:dyDescent="0.1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spans="1:32" ht="15.75" customHeight="1" x14ac:dyDescent="0.1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spans="1:32" ht="15.75" customHeight="1" x14ac:dyDescent="0.1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spans="1:32" ht="15.75" customHeight="1" x14ac:dyDescent="0.1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spans="1:32" ht="15.75" customHeight="1" x14ac:dyDescent="0.1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spans="1:32" ht="15.75" customHeight="1" x14ac:dyDescent="0.1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spans="1:32" ht="15.75" customHeight="1" x14ac:dyDescent="0.1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spans="1:32" ht="15.75" customHeight="1" x14ac:dyDescent="0.1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</sheetData>
  <hyperlinks>
    <hyperlink ref="B2" r:id="rId1" xr:uid="{98BF900A-07D1-634A-80DD-AB14DE06A165}"/>
    <hyperlink ref="B3" r:id="rId2" xr:uid="{FFD5078C-6AF4-A848-BFE2-E4ACF8BC164A}"/>
    <hyperlink ref="B4" r:id="rId3" xr:uid="{C9B13A3A-A1ED-E949-A941-E71F71CA20D7}"/>
    <hyperlink ref="B5" r:id="rId4" xr:uid="{ED660D0B-AB49-EA49-8022-8D99FF93890D}"/>
    <hyperlink ref="B6" r:id="rId5" xr:uid="{6E64CE48-2153-FE46-83C6-91F9FD365D6B}"/>
    <hyperlink ref="B7" r:id="rId6" xr:uid="{6B7930CB-DE46-8A43-97DD-54F947825919}"/>
    <hyperlink ref="B8" r:id="rId7" xr:uid="{D1EA0444-0433-CA4E-AE5E-9668239B40FE}"/>
    <hyperlink ref="B9" r:id="rId8" xr:uid="{A5DD17EA-DA06-3443-883A-5A9E9D9E7FF9}"/>
    <hyperlink ref="B10" r:id="rId9" xr:uid="{C0D50E5E-FCDE-4742-A032-F437FEB3DF5D}"/>
    <hyperlink ref="B11" r:id="rId10" xr:uid="{273ED321-B4F4-1B49-BDF7-51B81F8B409C}"/>
    <hyperlink ref="B12" r:id="rId11" xr:uid="{F61CA73C-74B7-6F49-BD1E-D2D7C9134F2B}"/>
    <hyperlink ref="B13" r:id="rId12" xr:uid="{F4A221A8-FF8E-DE4F-AFE2-99D23813DDF3}"/>
    <hyperlink ref="B14" r:id="rId13" xr:uid="{2E4A8733-9052-F840-8244-1531E5DE6B4F}"/>
    <hyperlink ref="B15" r:id="rId14" xr:uid="{7392FEAD-B36E-014B-A7BC-D986CFF19EE6}"/>
    <hyperlink ref="B16" r:id="rId15" xr:uid="{8C2EFBCC-20A1-C14C-A279-C01655557213}"/>
    <hyperlink ref="B17" r:id="rId16" xr:uid="{284B543D-1481-2645-9CFE-74CC9D6570F9}"/>
    <hyperlink ref="B18" r:id="rId17" xr:uid="{E96BCBC9-C67F-714F-90E2-7BBE6B14971B}"/>
    <hyperlink ref="B19" r:id="rId18" xr:uid="{CE480C19-AAD8-0047-AE7D-D8AA8EFE6E23}"/>
    <hyperlink ref="B20" r:id="rId19" xr:uid="{FA1A5552-0E9A-CE4B-ACC9-6AE441964E3A}"/>
    <hyperlink ref="B21" r:id="rId20" xr:uid="{412CFC43-9D1D-E64E-9869-68D9B86216E3}"/>
    <hyperlink ref="B22" r:id="rId21" xr:uid="{F635A0EB-0191-4B49-AC67-C16D8CCE5B1F}"/>
    <hyperlink ref="B23" r:id="rId22" xr:uid="{DB442C35-22B0-2F4A-8263-19C666F9E283}"/>
    <hyperlink ref="B24" r:id="rId23" xr:uid="{454FE2E8-DAD2-0C4B-BBE6-D0C9B7A48A5E}"/>
    <hyperlink ref="B25" r:id="rId24" xr:uid="{10BE2FAD-6FAC-AE4D-85B1-64C503658905}"/>
    <hyperlink ref="B26" r:id="rId25" xr:uid="{3DBE1847-06D0-7646-9A9A-BCAB9C6B0259}"/>
    <hyperlink ref="B27" r:id="rId26" xr:uid="{16C9A842-591B-4B48-8C56-90CFADABCF15}"/>
    <hyperlink ref="B28" r:id="rId27" xr:uid="{EE0DAB0C-380B-E94F-8C19-1AE58B3DC6AC}"/>
    <hyperlink ref="B29" r:id="rId28" xr:uid="{A446921D-68B5-F849-9F6B-590BF4CCF3EF}"/>
    <hyperlink ref="B30" r:id="rId29" xr:uid="{D0BF2461-3A6B-3B42-B313-C20E868E3A02}"/>
    <hyperlink ref="B31" r:id="rId30" xr:uid="{C29BE4C8-D1DD-4341-91F6-B0CFD57AD3FD}"/>
    <hyperlink ref="B32" r:id="rId31" xr:uid="{826B155A-AEDC-884E-B493-E0A295178FCD}"/>
    <hyperlink ref="B33" r:id="rId32" xr:uid="{28D37939-5AAA-7B48-A16E-1AB71833446A}"/>
    <hyperlink ref="B34" r:id="rId33" xr:uid="{05113C95-9CAF-3942-8E00-B1CF0B63D280}"/>
    <hyperlink ref="B35" r:id="rId34" xr:uid="{4F718C61-F567-BD42-A59C-23B2655DA528}"/>
    <hyperlink ref="B36" r:id="rId35" xr:uid="{23C5EBFE-FF8B-2740-8A8B-A0B9584A4F2E}"/>
    <hyperlink ref="B37" r:id="rId36" xr:uid="{193C32D2-FAF6-F444-A76D-2EB5E68CB010}"/>
    <hyperlink ref="B38" r:id="rId37" xr:uid="{C21E52EA-4629-CF49-900F-45FFB8318B24}"/>
    <hyperlink ref="B39" r:id="rId38" xr:uid="{0E9FB05B-D3E7-EE4F-B84E-210B704466DC}"/>
    <hyperlink ref="B40" r:id="rId39" xr:uid="{9A52B250-7F06-D244-85AC-22F7F6F03A5C}"/>
    <hyperlink ref="B41" r:id="rId40" xr:uid="{7CD7890D-47BC-6449-A9FF-57CBE94954EF}"/>
    <hyperlink ref="B42" r:id="rId41" xr:uid="{13D4C2DC-08B4-4B40-9BE8-62BCCAC1FA1F}"/>
    <hyperlink ref="B43" r:id="rId42" xr:uid="{9F2D258D-540D-EE40-87E7-84926CA177EE}"/>
    <hyperlink ref="B44" r:id="rId43" xr:uid="{F8FE20D7-D3F3-674F-98D7-C6EEB233CEF2}"/>
    <hyperlink ref="B45" r:id="rId44" xr:uid="{2A344CD8-7689-354D-B9BB-854A1C6691E9}"/>
    <hyperlink ref="B46" r:id="rId45" xr:uid="{D06C034F-E609-9C40-A678-7C79809244AB}"/>
    <hyperlink ref="B47" r:id="rId46" xr:uid="{1E9C779A-2F3C-674C-A157-479F3AEAD5E3}"/>
    <hyperlink ref="B48" r:id="rId47" xr:uid="{A769042E-6621-694E-A17D-DBB06E6BDB69}"/>
    <hyperlink ref="B49" r:id="rId48" xr:uid="{55934E6C-4971-8C47-9D41-EDFDCDB3643F}"/>
    <hyperlink ref="B50" r:id="rId49" xr:uid="{0BA2644C-96AD-1E48-8048-402A54826CB4}"/>
    <hyperlink ref="B51" r:id="rId50" xr:uid="{42F3FC75-7775-4946-9F0B-0887E2A82B64}"/>
    <hyperlink ref="B52" r:id="rId51" xr:uid="{E6CA511F-9EBD-904A-9CD1-082999D70317}"/>
    <hyperlink ref="B53" r:id="rId52" xr:uid="{4ACCC831-75BD-B948-937B-C73A92BE10F5}"/>
    <hyperlink ref="B54" r:id="rId53" xr:uid="{F2E45564-9ABA-2C42-BEB5-5ED052244E10}"/>
    <hyperlink ref="B55" r:id="rId54" xr:uid="{F4C742C4-0C97-B24C-BA44-E63D5494AC6C}"/>
    <hyperlink ref="B56" r:id="rId55" xr:uid="{031A766F-7E78-0044-BDD9-8A1AD81EA77D}"/>
    <hyperlink ref="B57" r:id="rId56" xr:uid="{6D4D7C3D-BE35-A44A-B38A-AE50B50B45F1}"/>
    <hyperlink ref="B58" r:id="rId57" xr:uid="{00808A99-BC65-CE41-A16A-1FFFB829BFC4}"/>
    <hyperlink ref="B59" r:id="rId58" xr:uid="{42B2B79B-D6B1-6F47-B120-AF4306B89287}"/>
    <hyperlink ref="B60" r:id="rId59" xr:uid="{E4F25E1F-17C3-D643-9321-16D48ADA0B65}"/>
    <hyperlink ref="B61" r:id="rId60" xr:uid="{AA7FE85A-F7CC-614E-B090-BC3C29F20CB6}"/>
    <hyperlink ref="B62" r:id="rId61" xr:uid="{229F6E15-E1F0-CC42-9EA4-34EE66CCF65A}"/>
    <hyperlink ref="B63" r:id="rId62" xr:uid="{47C02E26-2E2C-204C-8B6A-44BE6B51BF61}"/>
    <hyperlink ref="B64" r:id="rId63" xr:uid="{EACA82AD-C4B2-CA40-88D3-F6E1F4382934}"/>
    <hyperlink ref="B65" r:id="rId64" xr:uid="{30BCF812-882F-E940-B5A6-79D92560EC27}"/>
    <hyperlink ref="B66" r:id="rId65" xr:uid="{4FC27DDC-6AE7-0A45-AFFB-400D9C9661C3}"/>
    <hyperlink ref="B67" r:id="rId66" xr:uid="{D73A21BF-3716-3043-B1E0-5CCB9E2D422E}"/>
    <hyperlink ref="B68" r:id="rId67" xr:uid="{D68E1638-7552-9449-B6CF-9D975BC1B192}"/>
    <hyperlink ref="B69" r:id="rId68" xr:uid="{8F9505E9-9F1E-3743-A611-0EA0BE5E27C1}"/>
    <hyperlink ref="B70" r:id="rId69" xr:uid="{0B292EBA-506D-864A-90B5-2B5F2A85624D}"/>
    <hyperlink ref="B71" r:id="rId70" xr:uid="{CA17B572-D35F-C641-8A4B-9ACF9BD7FDE7}"/>
    <hyperlink ref="B72" r:id="rId71" xr:uid="{0E20894E-A2DD-8B4D-9C7C-C71A26FEA385}"/>
    <hyperlink ref="B73" r:id="rId72" xr:uid="{225C3BAD-07FC-0047-B74A-A1F2ABA73C22}"/>
    <hyperlink ref="B74" r:id="rId73" xr:uid="{7C24E4F6-656D-AF47-823B-A46AC8D51094}"/>
    <hyperlink ref="B75" r:id="rId74" xr:uid="{2EDB82C8-BA6D-AB40-A3C1-3F325CCB5FC4}"/>
    <hyperlink ref="B76" r:id="rId75" xr:uid="{BC5C3983-55AF-0743-ADEC-E03C78A281F7}"/>
    <hyperlink ref="B77" r:id="rId76" xr:uid="{EF3C36BA-32BB-5243-975A-6C132F56EDC1}"/>
    <hyperlink ref="B78" r:id="rId77" xr:uid="{F0929C35-4859-6442-BA7C-9FA759E015C1}"/>
    <hyperlink ref="B79" r:id="rId78" xr:uid="{5175B909-8D53-7045-92C1-A81B608B2EC5}"/>
    <hyperlink ref="B80" r:id="rId79" xr:uid="{6E803094-1192-AC4B-889A-88F8E353C19A}"/>
    <hyperlink ref="B81" r:id="rId80" xr:uid="{C24D7793-F0E1-B143-B2AA-4AFC96D3EAC8}"/>
    <hyperlink ref="B82" r:id="rId81" xr:uid="{F5FA18B3-B7E1-5C4F-BEEB-8CAEE963BF71}"/>
    <hyperlink ref="B83" r:id="rId82" xr:uid="{082B5E31-E98A-8B46-9D72-55BEA505B224}"/>
    <hyperlink ref="B84" r:id="rId83" xr:uid="{5BFA8362-D7B4-5842-BEC0-89EE1D9F8C99}"/>
    <hyperlink ref="B85" r:id="rId84" xr:uid="{6492A88E-B6D0-BA43-A0FD-8B5201D81ECA}"/>
    <hyperlink ref="B86" r:id="rId85" xr:uid="{36B195D9-708E-8E4A-9CA5-A6FB4D9E9C0E}"/>
    <hyperlink ref="B87" r:id="rId86" xr:uid="{936DF9F3-4E47-2B40-BF92-17E0040BE2CC}"/>
    <hyperlink ref="B88" r:id="rId87" xr:uid="{CD3164CF-EF74-6B46-9F3F-8E1BC60181A6}"/>
    <hyperlink ref="B89" r:id="rId88" xr:uid="{308E10E0-178A-094E-BC7B-07C2F3BA21C7}"/>
    <hyperlink ref="B90" r:id="rId89" xr:uid="{26377269-ACE0-9648-91B9-6154967DF1BD}"/>
    <hyperlink ref="B91" r:id="rId90" xr:uid="{02F51DC7-E1D4-DA45-9E9F-EC7D17D3D109}"/>
    <hyperlink ref="B92" r:id="rId91" xr:uid="{50F6B7D9-3354-5B4D-B593-641063367704}"/>
    <hyperlink ref="B93" r:id="rId92" xr:uid="{935B09B5-E4D7-A745-A94D-98F73B5670A3}"/>
    <hyperlink ref="B94" r:id="rId93" xr:uid="{41C8C91E-776C-4744-8254-52E65F56DCAC}"/>
    <hyperlink ref="B95" r:id="rId94" xr:uid="{841315D3-FBD4-5E4C-920E-8BE7529A042A}"/>
    <hyperlink ref="B96" r:id="rId95" xr:uid="{777BFADE-68B2-DE4B-93B9-8AB8E70A5436}"/>
    <hyperlink ref="B97" r:id="rId96" xr:uid="{98842930-A4F7-A14E-973F-FD723E1E44F7}"/>
    <hyperlink ref="B98" r:id="rId97" xr:uid="{EF711D64-A196-2C49-92E5-B969AFDB982E}"/>
    <hyperlink ref="B99" r:id="rId98" xr:uid="{FF8F1B34-C3A6-BC47-B9C1-84B2BD7448CF}"/>
    <hyperlink ref="B100" r:id="rId99" xr:uid="{93B5F420-FED8-1646-AB77-139BB275421C}"/>
    <hyperlink ref="B101" r:id="rId100" xr:uid="{4384B83E-14F5-DB49-81A2-F7CF213B3D7C}"/>
    <hyperlink ref="B102" r:id="rId101" xr:uid="{3E70F1AB-913A-5748-AE62-C2A87378D0D2}"/>
    <hyperlink ref="B103" r:id="rId102" xr:uid="{EBD831E7-492B-BE43-8D86-530B947860AD}"/>
    <hyperlink ref="B104" r:id="rId103" xr:uid="{3AF7F945-FD63-5240-84EA-55C2B068B508}"/>
    <hyperlink ref="B105" r:id="rId104" xr:uid="{D482203D-3698-B44D-B65A-FA634F1C21B5}"/>
    <hyperlink ref="B106" r:id="rId105" xr:uid="{722AE15A-8F2C-A345-A1FC-C3766BCE9B82}"/>
    <hyperlink ref="B107" r:id="rId106" xr:uid="{566F95B1-7208-784E-8DA8-D499AA66B0CD}"/>
    <hyperlink ref="B108" r:id="rId107" xr:uid="{CC2151AA-6277-344C-A3F4-BBA1685D41AF}"/>
    <hyperlink ref="B109" r:id="rId108" xr:uid="{F7B918F2-FAD8-EA40-8A9F-830044AC7D09}"/>
    <hyperlink ref="B110" r:id="rId109" xr:uid="{F45BF14B-81EA-9E42-AA8C-EDCC13B02D8A}"/>
    <hyperlink ref="B111" r:id="rId110" xr:uid="{5FD8DB42-7415-3D44-9ACC-C9B54C86D85A}"/>
    <hyperlink ref="B112" r:id="rId111" xr:uid="{A5544190-5469-B548-9E91-E090BDFE80BA}"/>
    <hyperlink ref="B113" r:id="rId112" xr:uid="{1BDCA9BE-AAD2-2247-94A4-D34BDB9D8B0E}"/>
    <hyperlink ref="B114" r:id="rId113" xr:uid="{E3EC60C2-0F94-CD40-9990-8DD52A345C2B}"/>
    <hyperlink ref="B115" r:id="rId114" xr:uid="{5C0A52B0-F8BD-D440-B30D-FC9DC6FB5B51}"/>
    <hyperlink ref="B116" r:id="rId115" xr:uid="{C80DB0A2-8EC8-1647-BB9F-03853B9DD58E}"/>
    <hyperlink ref="B117" r:id="rId116" xr:uid="{90F86B0E-C728-1543-B052-6DBC68C5978A}"/>
    <hyperlink ref="B118" r:id="rId117" xr:uid="{D69AB164-C1E2-0246-B232-37A09DBC4FC6}"/>
    <hyperlink ref="B119" r:id="rId118" xr:uid="{40AF6A26-51E4-7A4D-B070-70A4E89D3163}"/>
    <hyperlink ref="B120" r:id="rId119" xr:uid="{C86D1490-AD46-C842-AB88-E5E420577863}"/>
    <hyperlink ref="B121" r:id="rId120" xr:uid="{35BA9BB3-247C-114C-9E30-5936BB75EE57}"/>
    <hyperlink ref="B122" r:id="rId121" xr:uid="{B711C71E-433C-3D4F-AD14-61E30DD96DC3}"/>
    <hyperlink ref="B123" r:id="rId122" xr:uid="{CE9B91EF-B163-C843-9ED8-A661A9CB840A}"/>
    <hyperlink ref="B124" r:id="rId123" xr:uid="{11AFD7AD-172D-224E-91EC-47E13A194E5D}"/>
    <hyperlink ref="B125" r:id="rId124" xr:uid="{74634BE9-23A3-F844-A9C4-50E902A83DAD}"/>
    <hyperlink ref="B126" r:id="rId125" xr:uid="{365FF3E6-6976-B24A-B2A1-6D294EC33202}"/>
    <hyperlink ref="B127" r:id="rId126" xr:uid="{9DBE9815-4D14-3C46-A98E-6DEDCB7E9B77}"/>
    <hyperlink ref="B128" r:id="rId127" xr:uid="{1D213FD7-B39F-A242-B8A9-6D78CF5D6DAF}"/>
    <hyperlink ref="B129" r:id="rId128" xr:uid="{1EBEC860-1E4A-AB42-9121-7411BC682EC8}"/>
    <hyperlink ref="B130" r:id="rId129" xr:uid="{4F0808AF-27B6-F546-B24D-D1346B9FC09F}"/>
    <hyperlink ref="B131" r:id="rId130" xr:uid="{9F4E1019-4264-5F45-BEDC-DE7BC19CB9AE}"/>
    <hyperlink ref="B132" r:id="rId131" xr:uid="{72342788-6338-5246-866C-310DE6C0F194}"/>
    <hyperlink ref="B133" r:id="rId132" xr:uid="{24AF302C-9A29-A14B-A7AA-56129252BCD3}"/>
    <hyperlink ref="B134" r:id="rId133" xr:uid="{79D273F0-7CD3-F049-A586-ABF4D3CDB2DD}"/>
    <hyperlink ref="B135" r:id="rId134" xr:uid="{660634A4-4EE6-C441-B9C4-631743798E18}"/>
    <hyperlink ref="B136" r:id="rId135" xr:uid="{D74FF5D3-4137-1441-9745-AAC0D13C7ABD}"/>
    <hyperlink ref="B137" r:id="rId136" xr:uid="{FDBD8FBC-9E6A-814B-98EC-F019B0D21A99}"/>
    <hyperlink ref="B138" r:id="rId137" xr:uid="{8B3E2B36-7954-5D45-AEFB-C95BE99B5B23}"/>
    <hyperlink ref="B139" r:id="rId138" xr:uid="{AB1D9A49-BF02-9B48-B61F-DAF3FEF395F3}"/>
    <hyperlink ref="B140" r:id="rId139" xr:uid="{AA35B43A-055D-1B4C-A159-A57C9117CA67}"/>
    <hyperlink ref="B141" r:id="rId140" xr:uid="{BC927465-2095-0E4E-8D3E-953B51AB9B75}"/>
    <hyperlink ref="B142" r:id="rId141" xr:uid="{315176C5-F2B6-D64B-88A0-1B5A4FC7DF05}"/>
    <hyperlink ref="B143" r:id="rId142" xr:uid="{9B088295-CE0E-7040-8AB2-2EF1F6CBF6EC}"/>
    <hyperlink ref="B144" r:id="rId143" xr:uid="{C3DEE8BD-28F0-EB42-8079-B24F7E668369}"/>
    <hyperlink ref="B145" r:id="rId144" xr:uid="{73A83DB2-293A-BA40-8C4F-B86245EB57AA}"/>
    <hyperlink ref="B146" r:id="rId145" xr:uid="{BAF1FACA-F0FA-C24B-9AF8-B3F1B98D3BBA}"/>
    <hyperlink ref="B147" r:id="rId146" xr:uid="{D4449AD5-6C49-954E-95F3-458CBC3D123E}"/>
    <hyperlink ref="B148" r:id="rId147" xr:uid="{D4E33D0F-76D6-4D40-938F-998E5A6757E5}"/>
    <hyperlink ref="B149" r:id="rId148" xr:uid="{62EDC3BE-61A0-774B-A4E7-F152C43C63C7}"/>
    <hyperlink ref="B150" r:id="rId149" xr:uid="{ADA1DE8D-A618-3E4B-95B6-A4334D812B3B}"/>
    <hyperlink ref="B151" r:id="rId150" xr:uid="{D2F6158E-960C-5B40-A007-836C2F6D1B17}"/>
    <hyperlink ref="B152" r:id="rId151" xr:uid="{7BD98002-A53D-A048-A196-6F9D15BEAE2C}"/>
    <hyperlink ref="B153" r:id="rId152" xr:uid="{D4BF2186-4879-F045-A9D2-87A70A304B76}"/>
    <hyperlink ref="B154" r:id="rId153" xr:uid="{CC889312-5FB9-1F4C-BF8C-7A7DCD84D6F7}"/>
    <hyperlink ref="B155" r:id="rId154" xr:uid="{2EF075BB-4AC9-1240-B67E-14B749FAAE62}"/>
    <hyperlink ref="B156" r:id="rId155" xr:uid="{0278E437-2A97-8341-9185-9CC7976D8199}"/>
    <hyperlink ref="B157" r:id="rId156" xr:uid="{DC7C944A-D9C6-8B43-A7F1-EAEA6CEBCF5E}"/>
    <hyperlink ref="B158" r:id="rId157" xr:uid="{3E304857-C19F-4847-8C26-57B2092CBBED}"/>
    <hyperlink ref="B159" r:id="rId158" xr:uid="{A3046E54-5EB1-FD41-8C7F-C50FFBD82EC6}"/>
    <hyperlink ref="B160" r:id="rId159" xr:uid="{5F55755D-1D8F-6B4A-92B6-CC545668326F}"/>
    <hyperlink ref="B161" r:id="rId160" xr:uid="{14751632-DCD8-A441-9E9B-409CABD2CA20}"/>
    <hyperlink ref="B162" r:id="rId161" xr:uid="{F509FF9D-BE79-A240-A2BC-073087C8EDEF}"/>
    <hyperlink ref="B163" r:id="rId162" xr:uid="{D9AB9EC1-4710-2C46-B79D-7F70750C5EF3}"/>
    <hyperlink ref="B164" r:id="rId163" xr:uid="{18CD1BE8-DCC8-F947-90C4-1F9469E72FE7}"/>
    <hyperlink ref="B165" r:id="rId164" xr:uid="{DFCCDE21-7E92-A646-87EE-7522840EC0DB}"/>
    <hyperlink ref="B166" r:id="rId165" xr:uid="{82BD26A9-CCD1-884F-AA60-237F27237726}"/>
    <hyperlink ref="B167" r:id="rId166" xr:uid="{9F3FCD2C-BB84-CA45-A574-8CAB2889FB4D}"/>
    <hyperlink ref="B168" r:id="rId167" xr:uid="{B481AB7B-039D-E04F-8B80-699A37CF5C8E}"/>
    <hyperlink ref="B169" r:id="rId168" xr:uid="{01C88A6C-8794-5E4F-B923-837726E8157C}"/>
    <hyperlink ref="B170" r:id="rId169" xr:uid="{FFF28327-7E24-954B-9301-550B9BF545CD}"/>
    <hyperlink ref="B171" r:id="rId170" xr:uid="{335814B5-D202-C94A-B8BD-ABD19736CA59}"/>
    <hyperlink ref="B172" r:id="rId171" xr:uid="{AF30DBF5-D046-E842-993D-E21BFD57AC9B}"/>
    <hyperlink ref="B173" r:id="rId172" xr:uid="{3AC68073-97CF-F143-B121-A01434A18A0C}"/>
    <hyperlink ref="B174" r:id="rId173" xr:uid="{F21D86B4-BCF5-1C49-B8F8-3FE114D30890}"/>
    <hyperlink ref="B175" r:id="rId174" xr:uid="{2DFA989E-AB28-924E-83F0-2A217EDEC9FF}"/>
    <hyperlink ref="B176" r:id="rId175" xr:uid="{908B3689-46CE-4241-B150-CE9DA1666B6C}"/>
    <hyperlink ref="B177" r:id="rId176" xr:uid="{6A606DA2-084B-944D-BE44-A453160E7F73}"/>
    <hyperlink ref="B178" r:id="rId177" xr:uid="{C2F2716E-40F5-C744-968F-CF7AB4F93B54}"/>
    <hyperlink ref="B179" r:id="rId178" xr:uid="{A5F3FB57-A00B-B747-B4F7-353494D4C8C6}"/>
    <hyperlink ref="B180" r:id="rId179" xr:uid="{49BB4047-CFCA-7A41-949C-ABC18235CDBC}"/>
    <hyperlink ref="B181" r:id="rId180" xr:uid="{3D3153B3-963D-6C42-921D-476836B7A50F}"/>
    <hyperlink ref="B182" r:id="rId181" xr:uid="{61C94CBD-316A-AB44-BC8E-46E62039C2D2}"/>
    <hyperlink ref="B183" r:id="rId182" xr:uid="{9D18B98F-0B58-4D4B-8223-B0D6F6FEE992}"/>
    <hyperlink ref="B184" r:id="rId183" xr:uid="{D46450A2-B39C-8B4E-AA16-6E22269A8215}"/>
    <hyperlink ref="B185" r:id="rId184" xr:uid="{F6A3D67E-F276-B349-90D4-3BCD694D4D56}"/>
    <hyperlink ref="B186" r:id="rId185" xr:uid="{BEC466DF-3E36-8B40-A059-EF84045489FD}"/>
    <hyperlink ref="B187" r:id="rId186" xr:uid="{B37BB740-C19A-9D46-ADBD-6E58420DA77D}"/>
    <hyperlink ref="B188" r:id="rId187" xr:uid="{0662BC55-CAD1-7C4F-A827-CAFB66E6E703}"/>
    <hyperlink ref="B189" r:id="rId188" xr:uid="{11474113-C8E9-F34F-9C15-8B50573771EC}"/>
    <hyperlink ref="B190" r:id="rId189" xr:uid="{FC839607-A7A8-A14A-9072-9A13EDC0A65C}"/>
    <hyperlink ref="B191" r:id="rId190" xr:uid="{1727BC39-4935-4C4B-89CA-968DF1BC13C1}"/>
    <hyperlink ref="B192" r:id="rId191" xr:uid="{49A77446-8846-AA45-9C29-6C3770008861}"/>
    <hyperlink ref="B193" r:id="rId192" xr:uid="{7D814D46-B626-234F-BFD3-2DDA790AB6EF}"/>
    <hyperlink ref="B194" r:id="rId193" xr:uid="{45CC6833-F6A9-D242-A017-E40466FEDBFD}"/>
    <hyperlink ref="B195" r:id="rId194" xr:uid="{D514EC25-C6DD-EF49-8E4F-D6C7280AAC1B}"/>
    <hyperlink ref="B196" r:id="rId195" xr:uid="{DEF71CC0-9A44-ED4D-8E68-CD3CB12E244D}"/>
    <hyperlink ref="B197" r:id="rId196" xr:uid="{365127BE-C926-2745-BAB7-3F784ABED136}"/>
    <hyperlink ref="B198" r:id="rId197" xr:uid="{B9490B26-A8FE-CF4B-955F-0D29765DE175}"/>
    <hyperlink ref="B199" r:id="rId198" xr:uid="{2A587E34-78C7-874B-976E-23D4F0027398}"/>
    <hyperlink ref="B200" r:id="rId199" xr:uid="{F7860DB1-D769-5448-A6E4-49079B1CBD4D}"/>
    <hyperlink ref="B201" r:id="rId200" xr:uid="{A5DE86C5-FEC6-C948-AFF0-CCDCBA2905DE}"/>
    <hyperlink ref="B202" r:id="rId201" xr:uid="{38EF0BCC-0B96-C742-933A-8B355D0CD6DE}"/>
    <hyperlink ref="B203" r:id="rId202" xr:uid="{200F4E0D-347C-4A4F-97B4-0B5A65526C1A}"/>
    <hyperlink ref="B204" r:id="rId203" xr:uid="{B4938027-2D17-0B4E-8364-C921ADC3312F}"/>
    <hyperlink ref="B205" r:id="rId204" xr:uid="{96585C80-B37A-6B4A-B2DE-E78DCE29D9CB}"/>
    <hyperlink ref="B206" r:id="rId205" xr:uid="{2078D47F-FD33-5240-8096-24B04C0CD2C8}"/>
    <hyperlink ref="B207" r:id="rId206" xr:uid="{ABF82976-65D2-0849-8EEA-5F29A4425045}"/>
    <hyperlink ref="B208" r:id="rId207" xr:uid="{14AAE4F3-2CAA-1441-A891-DA92EF4F0E64}"/>
    <hyperlink ref="B209" r:id="rId208" xr:uid="{5C9C6CC0-5926-C144-8037-EBA47ED63F8B}"/>
    <hyperlink ref="B210" r:id="rId209" xr:uid="{1E5A734E-B4DE-534F-97CE-897DDB148B76}"/>
    <hyperlink ref="B211" r:id="rId210" xr:uid="{E6D1F99A-8E56-584D-91D6-6425CF3499DF}"/>
    <hyperlink ref="B212" r:id="rId211" xr:uid="{5685007E-89F7-064E-85AF-5C495A350763}"/>
    <hyperlink ref="B213" r:id="rId212" xr:uid="{F3E7D3AA-2C13-5344-A65B-23401A686202}"/>
    <hyperlink ref="B214" r:id="rId213" xr:uid="{4A8BE6C6-4ACD-BA41-904E-AE691BB22CFF}"/>
    <hyperlink ref="B215" r:id="rId214" xr:uid="{2EEC14D1-BF52-914E-B474-2CEB267ED451}"/>
    <hyperlink ref="B216" r:id="rId215" xr:uid="{AD860D0C-11D1-BC47-8159-27A402F53CD5}"/>
    <hyperlink ref="B217" r:id="rId216" xr:uid="{25763F65-6672-C14E-9C31-75E30F03DB47}"/>
    <hyperlink ref="B218" r:id="rId217" xr:uid="{06397758-50AC-3646-8933-D9E42AA0CEEF}"/>
    <hyperlink ref="B219" r:id="rId218" xr:uid="{50769A81-BB93-1D49-97A2-5C5418A1867C}"/>
    <hyperlink ref="B220" r:id="rId219" xr:uid="{CF238277-BC0E-BC4E-A6DE-284A129A7DDC}"/>
    <hyperlink ref="B221" r:id="rId220" xr:uid="{8DCD4125-BEA9-3946-B190-3F80F890AF1E}"/>
    <hyperlink ref="B222" r:id="rId221" xr:uid="{90808B56-4F69-FD49-B26F-9BD52B84BBF6}"/>
    <hyperlink ref="B223" r:id="rId222" xr:uid="{28EF7E03-9A76-6A49-AAA4-AB3CC808BC7B}"/>
    <hyperlink ref="B224" r:id="rId223" xr:uid="{B9CAC8A7-739D-2640-82C5-346F7E79F36F}"/>
    <hyperlink ref="B225" r:id="rId224" xr:uid="{1FB0146D-3FC7-6D45-9FF8-9AC7A54F411C}"/>
    <hyperlink ref="B226" r:id="rId225" xr:uid="{19CCF60E-D1BC-8A45-8CF2-B4639A4CEE9E}"/>
    <hyperlink ref="B227" r:id="rId226" xr:uid="{94F94140-0BD9-8545-A466-9A540472F68B}"/>
    <hyperlink ref="B228" r:id="rId227" xr:uid="{F6C6235D-1782-EC49-B604-A7B479B1A07F}"/>
    <hyperlink ref="B229" r:id="rId228" xr:uid="{2DAD2237-46D5-3C45-9912-4A7B7134BEBA}"/>
    <hyperlink ref="B230" r:id="rId229" xr:uid="{851E8489-C3CD-424F-B14B-60EF6256514D}"/>
    <hyperlink ref="B231" r:id="rId230" xr:uid="{1ED01393-671B-B84A-A74F-C29312B15AF7}"/>
    <hyperlink ref="B232" r:id="rId231" xr:uid="{3986658A-A5D0-5340-A2C5-F9446BFC0908}"/>
    <hyperlink ref="B233" r:id="rId232" xr:uid="{0F83B7C7-813E-0D44-BBB2-1E1A5454E144}"/>
    <hyperlink ref="B234" r:id="rId233" xr:uid="{5107A3E6-3809-454A-BC7E-682F5E9852C0}"/>
    <hyperlink ref="B235" r:id="rId234" xr:uid="{1F14C051-B832-4B42-BCC1-07E784472BE3}"/>
    <hyperlink ref="B236" r:id="rId235" xr:uid="{F7586436-F815-974B-97BD-39A1D2261A9B}"/>
    <hyperlink ref="B237" r:id="rId236" xr:uid="{AFAA53ED-1756-A248-8079-368F434FD56D}"/>
    <hyperlink ref="B238" r:id="rId237" xr:uid="{D27A2253-9905-E442-B1D3-DE34E1286AA8}"/>
    <hyperlink ref="B239" r:id="rId238" xr:uid="{30521EC0-DC51-E647-A386-DCF3C06BF9AF}"/>
    <hyperlink ref="B240" r:id="rId239" xr:uid="{4784F252-2C1B-BA4A-AF51-15C1E3EE690A}"/>
    <hyperlink ref="B241" r:id="rId240" xr:uid="{D7B18503-8D1F-A745-ACB1-DA1E788427DC}"/>
    <hyperlink ref="B242" r:id="rId241" xr:uid="{4CCA5B40-F5F3-E142-883D-AC2E8B79752A}"/>
    <hyperlink ref="B243" r:id="rId242" xr:uid="{02A5E15B-7BA1-7042-8472-984B6F6FD351}"/>
    <hyperlink ref="B244" r:id="rId243" xr:uid="{6705F2CA-1FFA-8B41-B1C9-2A00DA77AACC}"/>
    <hyperlink ref="B245" r:id="rId244" xr:uid="{15651BC0-5419-684C-B8F6-7E86CD511A77}"/>
    <hyperlink ref="B246" r:id="rId245" xr:uid="{EE31316D-824E-A945-B426-86FDD29EFE18}"/>
    <hyperlink ref="B247" r:id="rId246" xr:uid="{EB3C6C53-8DF5-344F-A456-AFBAE63C3AC0}"/>
    <hyperlink ref="B248" r:id="rId247" xr:uid="{29E5A8D1-763D-2C48-A964-13A146B53285}"/>
    <hyperlink ref="B249" r:id="rId248" xr:uid="{B2BC68E2-73D5-4D45-97F2-E86A506E658B}"/>
    <hyperlink ref="B250" r:id="rId249" xr:uid="{2E17D905-FF2D-A44F-9DCE-5304CFEE2BF6}"/>
    <hyperlink ref="B251" r:id="rId250" xr:uid="{6F0E4CC7-B6A5-694E-B00C-C4068750D18C}"/>
    <hyperlink ref="B252" r:id="rId251" xr:uid="{6EE70776-AC2B-CB49-930E-CCE3067A876D}"/>
    <hyperlink ref="B253" r:id="rId252" xr:uid="{98F30AAC-0FE1-804C-8B8D-36F995754E64}"/>
    <hyperlink ref="B254" r:id="rId253" xr:uid="{A7C39328-249D-3D44-AD44-8C47DE22DCA2}"/>
    <hyperlink ref="B255" r:id="rId254" xr:uid="{6F862A19-78DE-F34F-9316-732A86EB79C2}"/>
    <hyperlink ref="B256" r:id="rId255" xr:uid="{BF135E5B-E3AA-E645-BB30-7C92DA6D40B0}"/>
    <hyperlink ref="B257" r:id="rId256" xr:uid="{1EB58F3D-566A-9A47-BB26-9C6A85DD55BE}"/>
    <hyperlink ref="B258" r:id="rId257" xr:uid="{44DBD7C4-9855-9240-8718-18808D8ECF92}"/>
    <hyperlink ref="B259" r:id="rId258" xr:uid="{5AE14C30-AD29-094C-8FA0-73160A1FD7BE}"/>
    <hyperlink ref="B260" r:id="rId259" xr:uid="{B089F09E-00D8-DC4F-A43C-7206A1512882}"/>
    <hyperlink ref="B261" r:id="rId260" xr:uid="{23519D28-63A8-2642-BA5D-C5479109D7C7}"/>
    <hyperlink ref="B262" r:id="rId261" xr:uid="{AEF46589-BA8D-8C44-8BDD-AA2ACB38FA9F}"/>
    <hyperlink ref="B263" r:id="rId262" xr:uid="{85AFB49C-1058-5449-8463-6BDA3572DDA0}"/>
    <hyperlink ref="B264" r:id="rId263" xr:uid="{EFE91A4F-0613-5D49-901A-545CB83EF046}"/>
    <hyperlink ref="B265" r:id="rId264" xr:uid="{1779A269-B03D-0240-92B4-CF6AD0A5F860}"/>
    <hyperlink ref="B266" r:id="rId265" xr:uid="{F98E6DFD-6018-C847-87EF-A15865F3040B}"/>
    <hyperlink ref="B267" r:id="rId266" xr:uid="{4162A026-4853-CA49-A587-67D6A0C023F4}"/>
    <hyperlink ref="B268" r:id="rId267" xr:uid="{9D857986-29AC-2645-A99C-9E67AF8DCB47}"/>
    <hyperlink ref="B269" r:id="rId268" xr:uid="{2A3B0E6A-F6F4-474D-B5C2-6BED74ED425B}"/>
    <hyperlink ref="B270" r:id="rId269" xr:uid="{D06943DB-D100-8D46-BCDC-B71DFB88EBAB}"/>
    <hyperlink ref="B271" r:id="rId270" xr:uid="{A6B770E3-98FD-8F4E-B5FC-9700130C68D3}"/>
    <hyperlink ref="B272" r:id="rId271" xr:uid="{73E1B5A3-4340-0F45-8ADF-F09C4F50605D}"/>
    <hyperlink ref="B273" r:id="rId272" xr:uid="{1F175F08-7D70-794F-8DBE-8FD521533E8B}"/>
    <hyperlink ref="B274" r:id="rId273" xr:uid="{715742D8-EC96-CE42-8B89-CED2E67646B6}"/>
    <hyperlink ref="B275" r:id="rId274" xr:uid="{5D2EA014-6BFB-F945-889E-91E9BFF1B364}"/>
    <hyperlink ref="B276" r:id="rId275" xr:uid="{93C48E96-3941-B641-B70D-0D3D95983137}"/>
    <hyperlink ref="B277" r:id="rId276" xr:uid="{DC372657-58C7-CD40-B17C-646ED1598598}"/>
    <hyperlink ref="B278" r:id="rId277" xr:uid="{A97666D5-F6DC-0644-8F83-1CBD30CD39B3}"/>
    <hyperlink ref="B279" r:id="rId278" xr:uid="{A269E9D5-566A-1445-AC00-17845AA5F880}"/>
    <hyperlink ref="B280" r:id="rId279" xr:uid="{5126D178-93B2-224E-8988-0079EC57E0CA}"/>
    <hyperlink ref="B281" r:id="rId280" xr:uid="{852B8609-4184-1B47-9B21-A630F7D7D3FC}"/>
    <hyperlink ref="B282" r:id="rId281" xr:uid="{647C9D7E-2953-0549-AD9B-4EE3AA6D9500}"/>
    <hyperlink ref="B283" r:id="rId282" xr:uid="{BC2C7A82-568E-2544-818E-5BB37A34D380}"/>
    <hyperlink ref="B284" r:id="rId283" xr:uid="{E2CA51FF-8A53-CA46-B683-AD759B1061B4}"/>
    <hyperlink ref="B285" r:id="rId284" xr:uid="{574B9024-5DF1-454F-A3C4-3EFDB67A609D}"/>
    <hyperlink ref="B286" r:id="rId285" xr:uid="{DA2C12DA-5327-494A-8450-55A52D1839ED}"/>
    <hyperlink ref="B287" r:id="rId286" xr:uid="{56A44A95-5FE0-D74D-8C5F-9CED8AE39583}"/>
    <hyperlink ref="B288" r:id="rId287" xr:uid="{2590CCE1-7933-0243-85BA-8C0E3B2549A7}"/>
    <hyperlink ref="B289" r:id="rId288" xr:uid="{06D064B9-8F3F-8C4A-93C3-8A5737DA429D}"/>
    <hyperlink ref="B290" r:id="rId289" xr:uid="{124F11DC-84DF-CB4C-8857-9AB41F841C2C}"/>
    <hyperlink ref="B291" r:id="rId290" xr:uid="{88C1214B-B71E-7649-93AC-F69AFEF1EE67}"/>
    <hyperlink ref="B292" r:id="rId291" xr:uid="{2F96DA0B-EE77-D640-BA1F-A90B49A8497A}"/>
    <hyperlink ref="B293" r:id="rId292" xr:uid="{37ED8438-7178-6341-A11D-C80EB1E73A66}"/>
    <hyperlink ref="B294" r:id="rId293" xr:uid="{9AC6C2C3-2429-9F4A-BD4C-D69A81072548}"/>
    <hyperlink ref="B295" r:id="rId294" xr:uid="{7014E60D-119C-7341-B7D8-F0B12CBA06A9}"/>
    <hyperlink ref="B296" r:id="rId295" xr:uid="{ACE2D12B-6CEC-CB41-AF7F-245EA998892A}"/>
    <hyperlink ref="B297" r:id="rId296" xr:uid="{3C0667D4-F310-714C-AAF4-CBA96C2EABA5}"/>
    <hyperlink ref="B298" r:id="rId297" xr:uid="{7E4012A7-A102-9B42-B947-E7301789C322}"/>
    <hyperlink ref="B299" r:id="rId298" xr:uid="{E85078FF-B456-8340-859C-6734E527DA44}"/>
    <hyperlink ref="B300" r:id="rId299" xr:uid="{86F1C34E-6CA0-CC48-A332-D61F0B4424F6}"/>
    <hyperlink ref="B301" r:id="rId300" xr:uid="{54EDCA38-0604-6D44-8857-601180100A98}"/>
    <hyperlink ref="B302" r:id="rId301" xr:uid="{1E9F1037-D2FE-EB41-B324-4AAD82817645}"/>
    <hyperlink ref="B303" r:id="rId302" xr:uid="{88CCC56E-2A32-0348-81EC-4DF841E75145}"/>
    <hyperlink ref="B304" r:id="rId303" xr:uid="{9E802CDA-1B3B-7B46-81FD-85E480D0F1C4}"/>
    <hyperlink ref="B305" r:id="rId304" xr:uid="{7CA41A6C-C2D6-D842-8E05-D2C0E670C5F8}"/>
    <hyperlink ref="B306" r:id="rId305" xr:uid="{ABB92B8D-D532-5847-8A1B-4082A0376787}"/>
    <hyperlink ref="B307" r:id="rId306" xr:uid="{015ADFC6-9CFF-4A4C-979E-98EF7020E4A6}"/>
    <hyperlink ref="B308" r:id="rId307" xr:uid="{D4BC576C-64CA-4F43-96E2-89C94863ECB9}"/>
    <hyperlink ref="B309" r:id="rId308" xr:uid="{EAF3AFB0-4FA6-FE4D-9EDE-02FCF9C61007}"/>
    <hyperlink ref="B310" r:id="rId309" xr:uid="{90455D91-3D67-8B4D-B58E-CFE16DC0150B}"/>
    <hyperlink ref="B311" r:id="rId310" xr:uid="{85CD3F98-F7E7-0F4E-8CB2-CAF6F66F72CD}"/>
    <hyperlink ref="B312" r:id="rId311" xr:uid="{9B72E035-C181-3941-8747-681DCE6B4220}"/>
    <hyperlink ref="B313" r:id="rId312" xr:uid="{3432E7D7-F2AA-A547-B34F-4047B4D0C187}"/>
    <hyperlink ref="B314" r:id="rId313" xr:uid="{AEE17667-B0E1-8743-B42E-F7A2F84B7E16}"/>
    <hyperlink ref="B315" r:id="rId314" xr:uid="{E1C99D92-F250-FD47-9087-155FF7E57077}"/>
    <hyperlink ref="B316" r:id="rId315" xr:uid="{DBA4C977-3145-B246-8895-E51C323F0BDB}"/>
    <hyperlink ref="B317" r:id="rId316" xr:uid="{07B1AAA9-46BB-624F-A1E6-14B6E8635EC1}"/>
    <hyperlink ref="B318" r:id="rId317" xr:uid="{01FF3D98-BEFA-8E48-B813-09C93D7F7306}"/>
    <hyperlink ref="B319" r:id="rId318" xr:uid="{31B8F59E-F0AF-8E40-8FE9-D542C9777A10}"/>
    <hyperlink ref="B320" r:id="rId319" xr:uid="{273BA6A4-2667-A146-81A9-D25553D1513B}"/>
    <hyperlink ref="B321" r:id="rId320" xr:uid="{7B5A8E1C-212A-8346-A473-4D388B499C56}"/>
    <hyperlink ref="B322" r:id="rId321" xr:uid="{C6DD7E2E-342E-2249-B71A-9F5ABD004098}"/>
    <hyperlink ref="B323" r:id="rId322" xr:uid="{62D5DFD3-C8DA-6648-B065-F1ADF699CCAC}"/>
    <hyperlink ref="B324" r:id="rId323" xr:uid="{E121CBB9-9759-934A-9F62-64D5E0FC7C64}"/>
    <hyperlink ref="B325" r:id="rId324" xr:uid="{7C45D78F-3C6B-B041-A605-6DEC9624A547}"/>
    <hyperlink ref="B326" r:id="rId325" xr:uid="{88A9DF29-97B1-4947-B6A4-B034F883E744}"/>
    <hyperlink ref="B327" r:id="rId326" xr:uid="{FFBEC3CF-9AD7-704F-80AB-DE3A66396838}"/>
    <hyperlink ref="B328" r:id="rId327" xr:uid="{D9D73EC3-72E4-C745-909B-9A9580DCDFEB}"/>
    <hyperlink ref="B329" r:id="rId328" xr:uid="{3F7D55FE-9D2F-D447-94BC-B8F63FA70B25}"/>
    <hyperlink ref="B330" r:id="rId329" xr:uid="{F7739137-2F42-AB4C-B865-C89B613FB104}"/>
    <hyperlink ref="B331" r:id="rId330" xr:uid="{FF72D2B0-680D-874A-944A-58945B32CED0}"/>
    <hyperlink ref="B332" r:id="rId331" xr:uid="{1DAFC2DD-2427-F44B-91F4-D454215D268C}"/>
    <hyperlink ref="B333" r:id="rId332" xr:uid="{AB9B957E-636F-834B-B8F0-F03BD4D511D7}"/>
    <hyperlink ref="B334" r:id="rId333" xr:uid="{576DCC58-DF7A-3848-8F1C-0F78B196CB82}"/>
    <hyperlink ref="B335" r:id="rId334" xr:uid="{19850482-5F8F-A948-A143-7A738E9248B6}"/>
    <hyperlink ref="B336" r:id="rId335" xr:uid="{7BC32F5E-A646-7642-A424-7325A16DAB2C}"/>
    <hyperlink ref="B337" r:id="rId336" xr:uid="{6DD88776-A20E-1440-B5E5-7B286CAF40FB}"/>
    <hyperlink ref="B338" r:id="rId337" xr:uid="{B5B66AE7-84C3-3941-9C4A-DEFE963D74FC}"/>
    <hyperlink ref="B339" r:id="rId338" xr:uid="{C6288D0B-84EC-374C-A30B-D49C8D3A169C}"/>
    <hyperlink ref="B340" r:id="rId339" xr:uid="{8407A13F-DA80-D844-8ECC-12A87D902A61}"/>
    <hyperlink ref="B341" r:id="rId340" xr:uid="{BADACD9C-CBD5-F941-886B-3B64DCF7F313}"/>
    <hyperlink ref="B342" r:id="rId341" xr:uid="{7D9B7BB9-3B0F-F74C-8CCC-BADB9928B9E3}"/>
    <hyperlink ref="B343" r:id="rId342" xr:uid="{853D417A-33A9-9741-A8A3-F7A0BD26551E}"/>
    <hyperlink ref="B344" r:id="rId343" xr:uid="{9301C45B-C257-0E4C-931F-63E2AC9678CC}"/>
    <hyperlink ref="B345" r:id="rId344" xr:uid="{39762978-5EB2-4A40-834A-41D818BE63EC}"/>
    <hyperlink ref="B346" r:id="rId345" xr:uid="{403BF24C-E381-384B-A1E1-70114B7B441F}"/>
    <hyperlink ref="B347" r:id="rId346" xr:uid="{2D2B3431-55AD-554E-B3D2-F5DE53C03D32}"/>
    <hyperlink ref="B348" r:id="rId347" xr:uid="{C91E395F-3BF0-3942-8AD6-A2D633593E5F}"/>
    <hyperlink ref="B349" r:id="rId348" xr:uid="{A0FCC7E7-7EF9-EF49-904B-05E8C6CA5D33}"/>
    <hyperlink ref="B350" r:id="rId349" xr:uid="{49174357-AC37-1D48-BC31-1BEE668096F3}"/>
    <hyperlink ref="B351" r:id="rId350" xr:uid="{787AC72E-247B-4F47-8298-E12FE645F89A}"/>
    <hyperlink ref="B352" r:id="rId351" xr:uid="{776712D6-1733-4B43-98A1-95AB88997F34}"/>
    <hyperlink ref="B353" r:id="rId352" xr:uid="{91B1419A-7E3C-1E43-ACF5-E6481FADA10A}"/>
    <hyperlink ref="B354" r:id="rId353" xr:uid="{C8D624FC-ECD3-B448-B164-68B9652AA221}"/>
    <hyperlink ref="B355" r:id="rId354" xr:uid="{87CB5691-B1C9-CE46-A782-0972431584F2}"/>
    <hyperlink ref="B356" r:id="rId355" xr:uid="{85B06878-E3B3-FA44-8EA0-CB16D18E7FD4}"/>
    <hyperlink ref="B357" r:id="rId356" xr:uid="{1D955821-A7C8-CA44-BEF6-65ECD3AB951A}"/>
    <hyperlink ref="B358" r:id="rId357" xr:uid="{224E9AB7-1CF0-4641-96F3-6605EA4E1770}"/>
    <hyperlink ref="B359" r:id="rId358" xr:uid="{C329A427-98BB-D34B-BE42-E15B0F27A639}"/>
    <hyperlink ref="B360" r:id="rId359" xr:uid="{EA62C1F3-8ABC-4F47-8891-947CDB1E0F0E}"/>
    <hyperlink ref="B361" r:id="rId360" xr:uid="{12A09F33-31F4-304D-BC74-D1C5B8E5C928}"/>
    <hyperlink ref="B362" r:id="rId361" xr:uid="{EEBD1173-F0B9-F343-8F88-CD187D5492CE}"/>
    <hyperlink ref="B363" r:id="rId362" xr:uid="{A66705DD-EF8B-0E42-902A-7C2EF039C756}"/>
    <hyperlink ref="B364" r:id="rId363" xr:uid="{00590E52-A306-6545-BF94-79B6F67BC158}"/>
    <hyperlink ref="B365" r:id="rId364" xr:uid="{3222DF3D-9778-5C4C-84D6-58BC3770ED20}"/>
    <hyperlink ref="B366" r:id="rId365" xr:uid="{39060E5F-B16F-894F-9C58-72905016D50F}"/>
    <hyperlink ref="B367" r:id="rId366" xr:uid="{24B91A76-D026-6F4F-AFFF-B3C41DB4081E}"/>
    <hyperlink ref="B368" r:id="rId367" xr:uid="{427C65D4-E8A3-024B-935C-3A46D00BB06B}"/>
    <hyperlink ref="B369" r:id="rId368" xr:uid="{1727B981-552F-6E47-B8F0-5FE6AD0B4096}"/>
    <hyperlink ref="B370" r:id="rId369" xr:uid="{345D8682-D42B-5C4B-9121-C70D81E6F07D}"/>
    <hyperlink ref="B371" r:id="rId370" xr:uid="{549FA317-D6B0-DB45-9121-FC063B2B4FBD}"/>
    <hyperlink ref="B372" r:id="rId371" xr:uid="{C42D1142-E950-8742-9899-4CDF80DCAD9D}"/>
    <hyperlink ref="B373" r:id="rId372" xr:uid="{51CF2FA2-574F-FD44-98EE-C12782BDA96C}"/>
    <hyperlink ref="B374" r:id="rId373" xr:uid="{AC890B33-B6CD-4541-B425-52340E62743D}"/>
    <hyperlink ref="B375" r:id="rId374" xr:uid="{68C459FE-A062-9F4A-AEB7-A04EA672AF80}"/>
    <hyperlink ref="B376" r:id="rId375" xr:uid="{07B4C385-233F-FF4C-9960-6DCB40D04356}"/>
    <hyperlink ref="B377" r:id="rId376" xr:uid="{3CDECB70-BD8F-BB42-B086-B201A5FBF8AE}"/>
    <hyperlink ref="B378" r:id="rId377" xr:uid="{F01FA74B-322D-2649-ACB7-F75E25FAEC2E}"/>
    <hyperlink ref="B379" r:id="rId378" xr:uid="{7DF9110C-7176-1645-A703-8620052C0E0A}"/>
    <hyperlink ref="B380" r:id="rId379" xr:uid="{1534F04B-B632-0E4E-8418-0D9BD4871CBE}"/>
    <hyperlink ref="B381" r:id="rId380" xr:uid="{E5D73CA4-B37A-A745-A803-3F122F9069F9}"/>
    <hyperlink ref="B382" r:id="rId381" xr:uid="{31BD29A4-4EFF-FF4F-ACD7-00E51DECBB0B}"/>
    <hyperlink ref="B383" r:id="rId382" xr:uid="{B011478D-DB59-3445-AE01-21C62B735D31}"/>
    <hyperlink ref="B384" r:id="rId383" xr:uid="{B2314552-DAE7-9747-A394-466163C6D70B}"/>
    <hyperlink ref="B385" r:id="rId384" xr:uid="{8B39DD48-83A1-1243-8FCC-E7A3BFFC1125}"/>
    <hyperlink ref="B386" r:id="rId385" xr:uid="{0AA7225C-6D14-0445-9A77-4902F2B81F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2000"/>
  <sheetViews>
    <sheetView workbookViewId="0">
      <selection activeCell="C8" sqref="C8"/>
    </sheetView>
  </sheetViews>
  <sheetFormatPr defaultColWidth="14.42578125" defaultRowHeight="15" customHeight="1" x14ac:dyDescent="0.15"/>
  <cols>
    <col min="1" max="1" width="6.3359375" customWidth="1"/>
    <col min="2" max="2" width="19.95703125" customWidth="1"/>
    <col min="3" max="3" width="12.5390625" customWidth="1"/>
    <col min="4" max="19" width="6.3359375" customWidth="1"/>
    <col min="20" max="20" width="6.7421875" customWidth="1"/>
    <col min="21" max="26" width="6.3359375" customWidth="1"/>
    <col min="27" max="27" width="6.60546875" customWidth="1"/>
    <col min="28" max="30" width="6.875" customWidth="1"/>
  </cols>
  <sheetData>
    <row r="1" spans="1:30" ht="16.5" customHeight="1" x14ac:dyDescent="0.15">
      <c r="A1" s="25" t="s">
        <v>2656</v>
      </c>
      <c r="B1" s="26" t="s">
        <v>2</v>
      </c>
      <c r="C1" s="26" t="s">
        <v>2681</v>
      </c>
      <c r="D1" s="26" t="s">
        <v>2657</v>
      </c>
      <c r="E1" s="26" t="s">
        <v>2682</v>
      </c>
      <c r="F1" s="27" t="s">
        <v>2658</v>
      </c>
      <c r="G1" s="27" t="s">
        <v>2659</v>
      </c>
      <c r="H1" s="27" t="s">
        <v>2660</v>
      </c>
      <c r="I1" s="27" t="s">
        <v>2661</v>
      </c>
      <c r="J1" s="27" t="s">
        <v>2662</v>
      </c>
      <c r="K1" s="27" t="s">
        <v>2663</v>
      </c>
      <c r="L1" s="27" t="s">
        <v>2664</v>
      </c>
      <c r="M1" s="26" t="s">
        <v>2665</v>
      </c>
      <c r="N1" s="26" t="s">
        <v>2666</v>
      </c>
      <c r="O1" s="26" t="s">
        <v>2667</v>
      </c>
      <c r="P1" s="26" t="s">
        <v>2668</v>
      </c>
      <c r="Q1" s="26" t="s">
        <v>2669</v>
      </c>
      <c r="R1" s="27" t="s">
        <v>2670</v>
      </c>
      <c r="S1" s="27" t="s">
        <v>2671</v>
      </c>
      <c r="T1" s="27" t="s">
        <v>2632</v>
      </c>
      <c r="U1" s="27" t="s">
        <v>2672</v>
      </c>
      <c r="V1" s="26" t="s">
        <v>2673</v>
      </c>
      <c r="W1" s="26" t="s">
        <v>2674</v>
      </c>
      <c r="X1" s="26" t="s">
        <v>2675</v>
      </c>
      <c r="Y1" s="26" t="s">
        <v>2676</v>
      </c>
      <c r="Z1" s="26" t="s">
        <v>2677</v>
      </c>
      <c r="AA1" s="26" t="s">
        <v>2678</v>
      </c>
      <c r="AB1" s="26" t="s">
        <v>2679</v>
      </c>
      <c r="AC1" s="26" t="s">
        <v>2680</v>
      </c>
      <c r="AD1" s="26"/>
    </row>
    <row r="2" spans="1:30" ht="15.75" customHeight="1" x14ac:dyDescent="0.15">
      <c r="A2" s="30">
        <v>1</v>
      </c>
      <c r="B2" s="31" t="s">
        <v>3065</v>
      </c>
      <c r="C2" s="49" t="s">
        <v>2655</v>
      </c>
      <c r="D2" s="30">
        <v>0.27100000000000002</v>
      </c>
      <c r="E2" s="30">
        <v>142</v>
      </c>
      <c r="F2" s="33">
        <v>628</v>
      </c>
      <c r="G2" s="30">
        <v>539</v>
      </c>
      <c r="H2" s="30">
        <v>88</v>
      </c>
      <c r="I2" s="30">
        <v>146</v>
      </c>
      <c r="J2" s="30">
        <v>28</v>
      </c>
      <c r="K2" s="30">
        <v>3</v>
      </c>
      <c r="L2" s="30">
        <v>40</v>
      </c>
      <c r="M2" s="30">
        <v>300</v>
      </c>
      <c r="N2" s="30">
        <v>118</v>
      </c>
      <c r="O2" s="30">
        <v>0</v>
      </c>
      <c r="P2" s="30">
        <v>0</v>
      </c>
      <c r="Q2" s="30">
        <v>1</v>
      </c>
      <c r="R2" s="30">
        <v>5</v>
      </c>
      <c r="S2" s="30">
        <v>75</v>
      </c>
      <c r="T2" s="30">
        <v>1</v>
      </c>
      <c r="U2" s="30">
        <v>8</v>
      </c>
      <c r="V2" s="30">
        <v>116</v>
      </c>
      <c r="W2" s="30">
        <v>12</v>
      </c>
      <c r="X2" s="30">
        <v>0.36499999999999999</v>
      </c>
      <c r="Y2" s="30">
        <v>0.55700000000000005</v>
      </c>
      <c r="Z2" s="22">
        <f>X2+Y2</f>
        <v>0.92200000000000004</v>
      </c>
      <c r="AA2" s="22">
        <f>(0.692*(S2+T2)+0.73*U2+0.865*(I2-(J2+K2+L2))+1.334+J2+1.725*K2+2.065*L2)/(G2+S2-T2+U2+R2)</f>
        <v>0.38405111821086269</v>
      </c>
      <c r="AB2" s="22">
        <f>((AA2-AA2000)/1.24+H2000/F2000)*F2</f>
        <v>108.29302991179563</v>
      </c>
      <c r="AC2" s="22">
        <f>(AB2/F2)/($AB$2000/$F$2000)*100</f>
        <v>165.17353494197076</v>
      </c>
      <c r="AD2" s="22">
        <f>ROUND(1 + 98 * ((((7*(H2-L2) + 7*O2 + 15*K2 + J2)/(I2+S2+T2+U2))^4 + 2*((7*(H2-L2) + 7*O2 + 15*K2 + J2)/(I2+S2+T2+U2))) / (((7*(H2-L2) + 7*O2 + 15*K2 + J2)/(I2+S2+T2+U2))^4 + 2*((7*(H2-L2) + 7*O2 + 15*K2 + J2)/(I2+S2+T2+U2)) + 3.5)), 0)</f>
        <v>79</v>
      </c>
    </row>
    <row r="3" spans="1:30" ht="15.75" customHeight="1" x14ac:dyDescent="0.15">
      <c r="A3" s="34">
        <v>2</v>
      </c>
      <c r="B3" s="35" t="s">
        <v>3066</v>
      </c>
      <c r="C3" s="58" t="s">
        <v>2645</v>
      </c>
      <c r="D3" s="34">
        <v>0.29199999999999998</v>
      </c>
      <c r="E3" s="34">
        <v>143</v>
      </c>
      <c r="F3" s="33">
        <v>616</v>
      </c>
      <c r="G3" s="34">
        <v>521</v>
      </c>
      <c r="H3" s="34">
        <v>94</v>
      </c>
      <c r="I3" s="34">
        <v>152</v>
      </c>
      <c r="J3" s="34">
        <v>31</v>
      </c>
      <c r="K3" s="34">
        <v>1</v>
      </c>
      <c r="L3" s="34">
        <v>35</v>
      </c>
      <c r="M3" s="34">
        <v>290</v>
      </c>
      <c r="N3" s="34">
        <v>84</v>
      </c>
      <c r="O3" s="34">
        <v>3</v>
      </c>
      <c r="P3" s="34">
        <v>0</v>
      </c>
      <c r="Q3" s="34">
        <v>0</v>
      </c>
      <c r="R3" s="34">
        <v>4</v>
      </c>
      <c r="S3" s="34">
        <v>71</v>
      </c>
      <c r="T3" s="34">
        <v>2</v>
      </c>
      <c r="U3" s="34">
        <v>20</v>
      </c>
      <c r="V3" s="34">
        <v>95</v>
      </c>
      <c r="W3" s="34">
        <v>23</v>
      </c>
      <c r="X3" s="34">
        <v>0.39400000000000002</v>
      </c>
      <c r="Y3" s="34">
        <v>0.55700000000000005</v>
      </c>
      <c r="Z3" s="22">
        <f>X3+Y3</f>
        <v>0.95100000000000007</v>
      </c>
      <c r="AA3" s="22">
        <f>(0.692*(S3+T3)+0.73*U3+0.865*(I3-(J3+K3+L3))+1.334+J3+1.725*K3+2.065*L3)/(G3+S3-T3+U3+R3)</f>
        <v>0.3989820846905538</v>
      </c>
      <c r="AB3" s="22">
        <f>((AA3-AA2000)/1.24+H2000/F2000)*F3</f>
        <v>113.64105517844862</v>
      </c>
      <c r="AC3" s="22">
        <f>(AB3/F3)/($AB$2000/$F$2000)*100</f>
        <v>176.70716022559066</v>
      </c>
      <c r="AD3" s="22">
        <f>ROUND(1 + 98 * ((((7*(H3-L3) + 7*O3 + 15*K3 + J3)/(I3+S3+T3+U3))^4 + 2*((7*(H3-L3) + 7*O3 + 15*K3 + J3)/(I3+S3+T3+U3))) / (((7*(H3-L3) + 7*O3 + 15*K3 + J3)/(I3+S3+T3+U3))^4 + 2*((7*(H3-L3) + 7*O3 + 15*K3 + J3)/(I3+S3+T3+U3)) + 3.5)), 0)</f>
        <v>84</v>
      </c>
    </row>
    <row r="4" spans="1:30" ht="15.75" customHeight="1" x14ac:dyDescent="0.15">
      <c r="A4" s="30">
        <v>3</v>
      </c>
      <c r="B4" s="31" t="s">
        <v>3068</v>
      </c>
      <c r="C4" s="32" t="s">
        <v>2645</v>
      </c>
      <c r="D4" s="30">
        <v>0.30599999999999999</v>
      </c>
      <c r="E4" s="30">
        <v>143</v>
      </c>
      <c r="F4" s="33">
        <v>614</v>
      </c>
      <c r="G4" s="30">
        <v>539</v>
      </c>
      <c r="H4" s="30">
        <v>100</v>
      </c>
      <c r="I4" s="30">
        <v>165</v>
      </c>
      <c r="J4" s="30">
        <v>40</v>
      </c>
      <c r="K4" s="30">
        <v>3</v>
      </c>
      <c r="L4" s="30">
        <v>39</v>
      </c>
      <c r="M4" s="30">
        <v>328</v>
      </c>
      <c r="N4" s="30">
        <v>106</v>
      </c>
      <c r="O4" s="30">
        <v>8</v>
      </c>
      <c r="P4" s="30">
        <v>3</v>
      </c>
      <c r="Q4" s="30">
        <v>0</v>
      </c>
      <c r="R4" s="30">
        <v>5</v>
      </c>
      <c r="S4" s="30">
        <v>68</v>
      </c>
      <c r="T4" s="30">
        <v>8</v>
      </c>
      <c r="U4" s="30">
        <v>2</v>
      </c>
      <c r="V4" s="30">
        <v>164</v>
      </c>
      <c r="W4" s="30">
        <v>7</v>
      </c>
      <c r="X4" s="30">
        <v>0.38300000000000001</v>
      </c>
      <c r="Y4" s="30">
        <v>0.60899999999999999</v>
      </c>
      <c r="Z4" s="22">
        <f>X4+Y4</f>
        <v>0.99199999999999999</v>
      </c>
      <c r="AA4" s="22">
        <f>(0.692*(S4+T4)+0.73*U4+0.865*(I4-(J4+K4+L4))+1.334+J4+1.725*K4+2.065*L4)/(G4+S4-T4+U4+R4)</f>
        <v>0.41731188118811885</v>
      </c>
      <c r="AB4" s="22">
        <f>((AA4-AA2000)/1.24+H2000/F2000)*F4</f>
        <v>122.34829639866817</v>
      </c>
      <c r="AC4" s="22">
        <f>(AB4/F4)/($AB$2000/$F$2000)*100</f>
        <v>190.86625733531088</v>
      </c>
      <c r="AD4" s="22">
        <f>ROUND(1 + 98 * ((((7*(H4-L4) + 7*O4 + 15*K4 + J4)/(I4+S4+T4+U4))^4 + 2*((7*(H4-L4) + 7*O4 + 15*K4 + J4)/(I4+S4+T4+U4))) / (((7*(H4-L4) + 7*O4 + 15*K4 + J4)/(I4+S4+T4+U4))^4 + 2*((7*(H4-L4) + 7*O4 + 15*K4 + J4)/(I4+S4+T4+U4)) + 3.5)), 0)</f>
        <v>90</v>
      </c>
    </row>
    <row r="5" spans="1:30" ht="15.75" customHeight="1" x14ac:dyDescent="0.15">
      <c r="A5" s="34">
        <v>4</v>
      </c>
      <c r="B5" s="35" t="s">
        <v>3067</v>
      </c>
      <c r="C5" s="38" t="s">
        <v>2648</v>
      </c>
      <c r="D5" s="34">
        <v>0.27100000000000002</v>
      </c>
      <c r="E5" s="34">
        <v>143</v>
      </c>
      <c r="F5" s="33">
        <v>612</v>
      </c>
      <c r="G5" s="34">
        <v>573</v>
      </c>
      <c r="H5" s="34">
        <v>63</v>
      </c>
      <c r="I5" s="34">
        <v>155</v>
      </c>
      <c r="J5" s="34">
        <v>31</v>
      </c>
      <c r="K5" s="34">
        <v>0</v>
      </c>
      <c r="L5" s="34">
        <v>13</v>
      </c>
      <c r="M5" s="34">
        <v>225</v>
      </c>
      <c r="N5" s="34">
        <v>54</v>
      </c>
      <c r="O5" s="34">
        <v>1</v>
      </c>
      <c r="P5" s="34">
        <v>3</v>
      </c>
      <c r="Q5" s="34">
        <v>1</v>
      </c>
      <c r="R5" s="34">
        <v>4</v>
      </c>
      <c r="S5" s="34">
        <v>33</v>
      </c>
      <c r="T5" s="34">
        <v>2</v>
      </c>
      <c r="U5" s="34">
        <v>1</v>
      </c>
      <c r="V5" s="34">
        <v>91</v>
      </c>
      <c r="W5" s="34">
        <v>21</v>
      </c>
      <c r="X5" s="34">
        <v>0.309</v>
      </c>
      <c r="Y5" s="34">
        <v>0.39300000000000002</v>
      </c>
      <c r="Z5" s="22">
        <f>X5+Y5</f>
        <v>0.70199999999999996</v>
      </c>
      <c r="AA5" s="22">
        <f>(0.692*(S5+T5)+0.73*U5+0.865*(I5-(J5+K5+L5))+1.334+J5+1.725*K5+2.065*L5)/(G5+S5-T5+U5+R5)</f>
        <v>0.29580295566502463</v>
      </c>
      <c r="AB5" s="22">
        <f>((AA5-AA2000)/1.24+H2000/F2000)*F5</f>
        <v>61.979233536118556</v>
      </c>
      <c r="AC5" s="22">
        <f>(AB5/F5)/($AB$2000/$F$2000)*100</f>
        <v>97.00505836303644</v>
      </c>
      <c r="AD5" s="22">
        <f>ROUND(1 + 98 * ((((7*(H5-L5) + 7*O5 + 15*K5 + J5)/(I5+S5+T5+U5))^4 + 2*((7*(H5-L5) + 7*O5 + 15*K5 + J5)/(I5+S5+T5+U5))) / (((7*(H5-L5) + 7*O5 + 15*K5 + J5)/(I5+S5+T5+U5))^4 + 2*((7*(H5-L5) + 7*O5 + 15*K5 + J5)/(I5+S5+T5+U5)) + 3.5)), 0)</f>
        <v>85</v>
      </c>
    </row>
    <row r="6" spans="1:30" ht="15.75" customHeight="1" x14ac:dyDescent="0.15">
      <c r="A6" s="30">
        <v>5</v>
      </c>
      <c r="B6" s="31" t="s">
        <v>3069</v>
      </c>
      <c r="C6" s="41" t="s">
        <v>2651</v>
      </c>
      <c r="D6" s="30">
        <v>0.22600000000000001</v>
      </c>
      <c r="E6" s="30">
        <v>143</v>
      </c>
      <c r="F6" s="33">
        <v>604</v>
      </c>
      <c r="G6" s="30">
        <v>499</v>
      </c>
      <c r="H6" s="30">
        <v>71</v>
      </c>
      <c r="I6" s="30">
        <v>113</v>
      </c>
      <c r="J6" s="30">
        <v>18</v>
      </c>
      <c r="K6" s="30">
        <v>1</v>
      </c>
      <c r="L6" s="30">
        <v>25</v>
      </c>
      <c r="M6" s="30">
        <v>208</v>
      </c>
      <c r="N6" s="30">
        <v>71</v>
      </c>
      <c r="O6" s="30">
        <v>3</v>
      </c>
      <c r="P6" s="30">
        <v>1</v>
      </c>
      <c r="Q6" s="30">
        <v>0</v>
      </c>
      <c r="R6" s="30">
        <v>4</v>
      </c>
      <c r="S6" s="30">
        <v>92</v>
      </c>
      <c r="T6" s="30">
        <v>7</v>
      </c>
      <c r="U6" s="30">
        <v>9</v>
      </c>
      <c r="V6" s="30">
        <v>155</v>
      </c>
      <c r="W6" s="30">
        <v>12</v>
      </c>
      <c r="X6" s="30">
        <v>0.35399999999999998</v>
      </c>
      <c r="Y6" s="30">
        <v>0.41699999999999998</v>
      </c>
      <c r="Z6" s="22">
        <f>X6+Y6</f>
        <v>0.77099999999999991</v>
      </c>
      <c r="AA6" s="22">
        <f>(0.692*(S6+T6)+0.73*U6+0.865*(I6-(J6+K6+L6))+1.334+J6+1.725*K6+2.065*L6)/(G6+S6-T6+U6+R6)</f>
        <v>0.3474824120603015</v>
      </c>
      <c r="AB6" s="22">
        <f>((AA6-AA2000)/1.24+H2000/F2000)*F6</f>
        <v>86.34194397903839</v>
      </c>
      <c r="AC6" s="22">
        <f>(AB6/F6)/($AB$2000/$F$2000)*100</f>
        <v>136.92554748442308</v>
      </c>
      <c r="AD6" s="22">
        <f>ROUND(1 + 98 * ((((7*(H6-L6) + 7*O6 + 15*K6 + J6)/(I6+S6+T6+U6))^4 + 2*((7*(H6-L6) + 7*O6 + 15*K6 + J6)/(I6+S6+T6+U6))) / (((7*(H6-L6) + 7*O6 + 15*K6 + J6)/(I6+S6+T6+U6))^4 + 2*((7*(H6-L6) + 7*O6 + 15*K6 + J6)/(I6+S6+T6+U6)) + 3.5)), 0)</f>
        <v>77</v>
      </c>
    </row>
    <row r="7" spans="1:30" ht="15.75" customHeight="1" x14ac:dyDescent="0.15">
      <c r="A7" s="34">
        <v>6</v>
      </c>
      <c r="B7" s="35" t="s">
        <v>3070</v>
      </c>
      <c r="C7" s="51" t="s">
        <v>2655</v>
      </c>
      <c r="D7" s="34">
        <v>0.309</v>
      </c>
      <c r="E7" s="34">
        <v>139</v>
      </c>
      <c r="F7" s="33">
        <v>601</v>
      </c>
      <c r="G7" s="34">
        <v>489</v>
      </c>
      <c r="H7" s="34">
        <v>95</v>
      </c>
      <c r="I7" s="34">
        <v>151</v>
      </c>
      <c r="J7" s="34">
        <v>31</v>
      </c>
      <c r="K7" s="34">
        <v>0</v>
      </c>
      <c r="L7" s="34">
        <v>32</v>
      </c>
      <c r="M7" s="34">
        <v>278</v>
      </c>
      <c r="N7" s="34">
        <v>108</v>
      </c>
      <c r="O7" s="34">
        <v>6</v>
      </c>
      <c r="P7" s="34">
        <v>1</v>
      </c>
      <c r="Q7" s="34">
        <v>0</v>
      </c>
      <c r="R7" s="34">
        <v>4</v>
      </c>
      <c r="S7" s="34">
        <v>101</v>
      </c>
      <c r="T7" s="34">
        <v>8</v>
      </c>
      <c r="U7" s="34">
        <v>7</v>
      </c>
      <c r="V7" s="34">
        <v>98</v>
      </c>
      <c r="W7" s="34">
        <v>9</v>
      </c>
      <c r="X7" s="34">
        <v>0.43099999999999999</v>
      </c>
      <c r="Y7" s="34">
        <v>0.56899999999999995</v>
      </c>
      <c r="Z7" s="22">
        <f>X7+Y7</f>
        <v>1</v>
      </c>
      <c r="AA7" s="22">
        <f>(0.692*(S7+T7)+0.73*U7+0.865*(I7-(J7+K7+L7))+1.334+J7+1.725*K7+2.065*L7)/(G7+S7-T7+U7+R7)</f>
        <v>0.43013827993254639</v>
      </c>
      <c r="AB7" s="22">
        <f>((AA7-$AA2000)/1.24+$H2000/$F2000)*F7</f>
        <v>125.9745259987649</v>
      </c>
      <c r="AC7" s="22">
        <f>(AB7/F7)/($AB$2000/$F$2000)*100</f>
        <v>200.77418104927398</v>
      </c>
      <c r="AD7" s="22">
        <f>ROUND(1 + 98 * ((((7*(H7-L7) + 7*O7 + 15*K7 + J7)/(I7+S7+T7+U7))^4 + 2*((7*(H7-L7) + 7*O7 + 15*K7 + J7)/(I7+S7+T7+U7))) / (((7*(H7-L7) + 7*O7 + 15*K7 + J7)/(I7+S7+T7+U7))^4 + 2*((7*(H7-L7) + 7*O7 + 15*K7 + J7)/(I7+S7+T7+U7)) + 3.5)), 0)</f>
        <v>83</v>
      </c>
    </row>
    <row r="8" spans="1:30" ht="15.75" customHeight="1" x14ac:dyDescent="0.15">
      <c r="A8" s="30">
        <v>7</v>
      </c>
      <c r="B8" s="31" t="s">
        <v>3071</v>
      </c>
      <c r="C8" s="32" t="s">
        <v>2645</v>
      </c>
      <c r="D8" s="30">
        <v>0.28499999999999998</v>
      </c>
      <c r="E8" s="30">
        <v>141</v>
      </c>
      <c r="F8" s="33">
        <v>591</v>
      </c>
      <c r="G8" s="30">
        <v>512</v>
      </c>
      <c r="H8" s="30">
        <v>44</v>
      </c>
      <c r="I8" s="30">
        <v>146</v>
      </c>
      <c r="J8" s="30">
        <v>25</v>
      </c>
      <c r="K8" s="30">
        <v>1</v>
      </c>
      <c r="L8" s="30">
        <v>20</v>
      </c>
      <c r="M8" s="30">
        <v>233</v>
      </c>
      <c r="N8" s="30">
        <v>85</v>
      </c>
      <c r="O8" s="30">
        <v>0</v>
      </c>
      <c r="P8" s="30">
        <v>0</v>
      </c>
      <c r="Q8" s="30">
        <v>0</v>
      </c>
      <c r="R8" s="30">
        <v>10</v>
      </c>
      <c r="S8" s="30">
        <v>61</v>
      </c>
      <c r="T8" s="30">
        <v>4</v>
      </c>
      <c r="U8" s="30">
        <v>8</v>
      </c>
      <c r="V8" s="30">
        <v>88</v>
      </c>
      <c r="W8" s="30">
        <v>20</v>
      </c>
      <c r="X8" s="30">
        <v>0.36399999999999999</v>
      </c>
      <c r="Y8" s="30">
        <v>0.45500000000000002</v>
      </c>
      <c r="Z8" s="22">
        <f>X8+Y8</f>
        <v>0.81899999999999995</v>
      </c>
      <c r="AA8" s="22">
        <f>(0.692*(S8+T8)+0.73*U8+0.865*(I8-(J8+K8+L8))+1.334+J8+1.725*K8+2.065*L8)/(G8+S8-T8+U8+R8)</f>
        <v>0.35209369676320268</v>
      </c>
      <c r="AB8" s="22">
        <f>((AA8-$AA$2000)/1.24+$H$2000/$F$2000)*F8</f>
        <v>86.681388670002292</v>
      </c>
      <c r="AC8" s="22">
        <f>(AB8/F8)/($AB$2000/$F$2000)*100</f>
        <v>140.48759619116234</v>
      </c>
      <c r="AD8" s="22"/>
    </row>
    <row r="9" spans="1:30" ht="15.75" customHeight="1" x14ac:dyDescent="0.15">
      <c r="A9" s="34">
        <v>8</v>
      </c>
      <c r="B9" s="35" t="s">
        <v>3072</v>
      </c>
      <c r="C9" s="56" t="s">
        <v>2653</v>
      </c>
      <c r="D9" s="34">
        <v>0.28999999999999998</v>
      </c>
      <c r="E9" s="34">
        <v>136</v>
      </c>
      <c r="F9" s="33">
        <v>586</v>
      </c>
      <c r="G9" s="34">
        <v>534</v>
      </c>
      <c r="H9" s="34">
        <v>61</v>
      </c>
      <c r="I9" s="34">
        <v>155</v>
      </c>
      <c r="J9" s="34">
        <v>28</v>
      </c>
      <c r="K9" s="34">
        <v>1</v>
      </c>
      <c r="L9" s="34">
        <v>8</v>
      </c>
      <c r="M9" s="34">
        <v>209</v>
      </c>
      <c r="N9" s="34">
        <v>53</v>
      </c>
      <c r="O9" s="34">
        <v>2</v>
      </c>
      <c r="P9" s="34">
        <v>2</v>
      </c>
      <c r="Q9" s="34">
        <v>0</v>
      </c>
      <c r="R9" s="34">
        <v>0</v>
      </c>
      <c r="S9" s="34">
        <v>41</v>
      </c>
      <c r="T9" s="34">
        <v>1</v>
      </c>
      <c r="U9" s="34">
        <v>11</v>
      </c>
      <c r="V9" s="34">
        <v>109</v>
      </c>
      <c r="W9" s="34">
        <v>14</v>
      </c>
      <c r="X9" s="34">
        <v>0.35299999999999998</v>
      </c>
      <c r="Y9" s="34">
        <v>0.39100000000000001</v>
      </c>
      <c r="Z9" s="22">
        <f>X9+Y9</f>
        <v>0.74399999999999999</v>
      </c>
      <c r="AA9" s="22">
        <f>(0.692*(S9+T9)+0.73*U9+0.865*(I9-(J9+K9+L9))+1.334+J9+1.725*K9+2.065*L9)/(G9+S9-T9+U9+R9)</f>
        <v>0.31921880341880343</v>
      </c>
      <c r="AB9" s="22">
        <f>((AA9-$AA$2000)/1.24+$H$2000/$F$2000)*F9</f>
        <v>70.412005281886977</v>
      </c>
      <c r="AC9" s="22">
        <f>(AB9/F9)/($AB$2000/$F$2000)*100</f>
        <v>115.09294397028916</v>
      </c>
      <c r="AD9" s="22"/>
    </row>
    <row r="10" spans="1:30" ht="15.75" customHeight="1" x14ac:dyDescent="0.15">
      <c r="A10" s="30">
        <v>9</v>
      </c>
      <c r="B10" s="31" t="s">
        <v>3073</v>
      </c>
      <c r="C10" s="32" t="s">
        <v>2645</v>
      </c>
      <c r="D10" s="30">
        <v>0.28699999999999998</v>
      </c>
      <c r="E10" s="30">
        <v>143</v>
      </c>
      <c r="F10" s="33">
        <v>581</v>
      </c>
      <c r="G10" s="30">
        <v>508</v>
      </c>
      <c r="H10" s="30">
        <v>62</v>
      </c>
      <c r="I10" s="30">
        <v>146</v>
      </c>
      <c r="J10" s="30">
        <v>15</v>
      </c>
      <c r="K10" s="30">
        <v>1</v>
      </c>
      <c r="L10" s="30">
        <v>0</v>
      </c>
      <c r="M10" s="30">
        <v>163</v>
      </c>
      <c r="N10" s="30">
        <v>23</v>
      </c>
      <c r="O10" s="30">
        <v>9</v>
      </c>
      <c r="P10" s="30">
        <v>4</v>
      </c>
      <c r="Q10" s="30">
        <v>27</v>
      </c>
      <c r="R10" s="30">
        <v>4</v>
      </c>
      <c r="S10" s="30">
        <v>39</v>
      </c>
      <c r="T10" s="30">
        <v>0</v>
      </c>
      <c r="U10" s="30">
        <v>3</v>
      </c>
      <c r="V10" s="30">
        <v>83</v>
      </c>
      <c r="W10" s="30">
        <v>6</v>
      </c>
      <c r="X10" s="30">
        <v>0.33900000000000002</v>
      </c>
      <c r="Y10" s="30">
        <v>0.32100000000000001</v>
      </c>
      <c r="Z10" s="22">
        <f>X10+Y10</f>
        <v>0.66</v>
      </c>
      <c r="AA10" s="22">
        <f>(0.692*(S10+T10)+0.73*U10+0.865*(I10-(J10+K10+L10))+1.334+J10+1.725*K10+2.065*L10)/(G10+S10-T10+U10+R10)</f>
        <v>0.28824368231046932</v>
      </c>
      <c r="AB10" s="22">
        <f>((AA10-$AA$2000)/1.24+$H$2000/$F$2000)*F10</f>
        <v>55.297877218447333</v>
      </c>
      <c r="AC10" s="22">
        <f>(AB10/F10)/($AB$2000/$F$2000)*100</f>
        <v>91.165796289380168</v>
      </c>
      <c r="AD10" s="22"/>
    </row>
    <row r="11" spans="1:30" ht="15.75" customHeight="1" x14ac:dyDescent="0.15">
      <c r="A11" s="34">
        <v>10</v>
      </c>
      <c r="B11" s="35" t="s">
        <v>3074</v>
      </c>
      <c r="C11" s="50" t="s">
        <v>198</v>
      </c>
      <c r="D11" s="34">
        <v>0.251</v>
      </c>
      <c r="E11" s="34">
        <v>140</v>
      </c>
      <c r="F11" s="33">
        <v>576</v>
      </c>
      <c r="G11" s="34">
        <v>505</v>
      </c>
      <c r="H11" s="34">
        <v>51</v>
      </c>
      <c r="I11" s="34">
        <v>127</v>
      </c>
      <c r="J11" s="34">
        <v>23</v>
      </c>
      <c r="K11" s="34">
        <v>1</v>
      </c>
      <c r="L11" s="34">
        <v>15</v>
      </c>
      <c r="M11" s="34">
        <v>197</v>
      </c>
      <c r="N11" s="34">
        <v>74</v>
      </c>
      <c r="O11" s="34">
        <v>3</v>
      </c>
      <c r="P11" s="34">
        <v>3</v>
      </c>
      <c r="Q11" s="34">
        <v>0</v>
      </c>
      <c r="R11" s="34">
        <v>5</v>
      </c>
      <c r="S11" s="34">
        <v>62</v>
      </c>
      <c r="T11" s="34">
        <v>6</v>
      </c>
      <c r="U11" s="34">
        <v>4</v>
      </c>
      <c r="V11" s="34">
        <v>117</v>
      </c>
      <c r="W11" s="34">
        <v>6</v>
      </c>
      <c r="X11" s="34">
        <v>0.33500000000000002</v>
      </c>
      <c r="Y11" s="34">
        <v>0.39</v>
      </c>
      <c r="Z11" s="22">
        <f>X11+Y11</f>
        <v>0.72500000000000009</v>
      </c>
      <c r="AA11" s="22">
        <f>(0.692*(S11+T11)+0.73*U11+0.865*(I11-(J11+K11+L11))+1.334+J11+1.725*K11+2.065*L11)/(G11+S11-T11+U11+R11)</f>
        <v>0.32128070175438594</v>
      </c>
      <c r="AB11" s="22">
        <f>((AA11-$AA$2000)/1.24+$H$2000/$F$2000)*F11</f>
        <v>70.16822025918492</v>
      </c>
      <c r="AC11" s="22">
        <f>(AB11/F11)/($AB$2000/$F$2000)*100</f>
        <v>116.68568498995957</v>
      </c>
      <c r="AD11" s="22"/>
    </row>
    <row r="12" spans="1:30" ht="15.75" customHeight="1" x14ac:dyDescent="0.15">
      <c r="A12" s="30">
        <v>11</v>
      </c>
      <c r="B12" s="31" t="s">
        <v>3075</v>
      </c>
      <c r="C12" s="55" t="s">
        <v>2652</v>
      </c>
      <c r="D12" s="30">
        <v>0.26300000000000001</v>
      </c>
      <c r="E12" s="30">
        <v>137</v>
      </c>
      <c r="F12" s="33">
        <v>568</v>
      </c>
      <c r="G12" s="30">
        <v>502</v>
      </c>
      <c r="H12" s="30">
        <v>59</v>
      </c>
      <c r="I12" s="30">
        <v>132</v>
      </c>
      <c r="J12" s="30">
        <v>19</v>
      </c>
      <c r="K12" s="30">
        <v>3</v>
      </c>
      <c r="L12" s="30">
        <v>15</v>
      </c>
      <c r="M12" s="30">
        <v>202</v>
      </c>
      <c r="N12" s="30">
        <v>52</v>
      </c>
      <c r="O12" s="30">
        <v>8</v>
      </c>
      <c r="P12" s="30">
        <v>10</v>
      </c>
      <c r="Q12" s="30">
        <v>1</v>
      </c>
      <c r="R12" s="30">
        <v>3</v>
      </c>
      <c r="S12" s="30">
        <v>55</v>
      </c>
      <c r="T12" s="30">
        <v>3</v>
      </c>
      <c r="U12" s="30">
        <v>7</v>
      </c>
      <c r="V12" s="30">
        <v>123</v>
      </c>
      <c r="W12" s="30">
        <v>15</v>
      </c>
      <c r="X12" s="30">
        <v>0.34200000000000003</v>
      </c>
      <c r="Y12" s="30">
        <v>0.40200000000000002</v>
      </c>
      <c r="Z12" s="22">
        <f>X12+Y12</f>
        <v>0.74399999999999999</v>
      </c>
      <c r="AA12" s="22">
        <f>(0.692*(S12+T12)+0.73*U12+0.865*(I12-(J12+K12+L12))+1.334+J12+1.725*K12+2.065*L12)/(G12+S12-T12+U12+R12)</f>
        <v>0.32607269503546099</v>
      </c>
      <c r="AB12" s="22">
        <f>((AA12-$AA$2000)/1.24+$H$2000/$F$2000)*F12</f>
        <v>71.388703728063234</v>
      </c>
      <c r="AC12" s="22">
        <f>(AB12/F12)/($AB$2000/$F$2000)*100</f>
        <v>120.38732446123694</v>
      </c>
      <c r="AD12" s="22"/>
    </row>
    <row r="13" spans="1:30" ht="15.75" customHeight="1" x14ac:dyDescent="0.15">
      <c r="A13" s="34">
        <v>12</v>
      </c>
      <c r="B13" s="35" t="s">
        <v>3076</v>
      </c>
      <c r="C13" s="36" t="s">
        <v>2646</v>
      </c>
      <c r="D13" s="34">
        <v>0.28899999999999998</v>
      </c>
      <c r="E13" s="34">
        <v>132</v>
      </c>
      <c r="F13" s="33">
        <v>553</v>
      </c>
      <c r="G13" s="34">
        <v>491</v>
      </c>
      <c r="H13" s="34">
        <v>73</v>
      </c>
      <c r="I13" s="34">
        <v>142</v>
      </c>
      <c r="J13" s="34">
        <v>31</v>
      </c>
      <c r="K13" s="34">
        <v>6</v>
      </c>
      <c r="L13" s="34">
        <v>11</v>
      </c>
      <c r="M13" s="34">
        <v>218</v>
      </c>
      <c r="N13" s="34">
        <v>58</v>
      </c>
      <c r="O13" s="34">
        <v>16</v>
      </c>
      <c r="P13" s="34">
        <v>4</v>
      </c>
      <c r="Q13" s="34">
        <v>16</v>
      </c>
      <c r="R13" s="34">
        <v>6</v>
      </c>
      <c r="S13" s="34">
        <v>26</v>
      </c>
      <c r="T13" s="34">
        <v>0</v>
      </c>
      <c r="U13" s="34">
        <v>14</v>
      </c>
      <c r="V13" s="34">
        <v>90</v>
      </c>
      <c r="W13" s="34">
        <v>5</v>
      </c>
      <c r="X13" s="34">
        <v>0.33900000000000002</v>
      </c>
      <c r="Y13" s="34">
        <v>0.44400000000000001</v>
      </c>
      <c r="Z13" s="22">
        <f>X13+Y13</f>
        <v>0.78300000000000003</v>
      </c>
      <c r="AA13" s="22">
        <f>(0.692*(S13+T13)+0.73*U13+0.865*(I13-(J13+K13+L13))+1.334+J13+1.725*K13+2.065*L13)/(G13+S13-T13+U13+R13)</f>
        <v>0.32573743016759776</v>
      </c>
      <c r="AB13" s="22">
        <f>((AA13-$AA$2000)/1.24+$H$2000/$F$2000)*F13</f>
        <v>69.353921348750873</v>
      </c>
      <c r="AC13" s="22">
        <f>(AB13/F13)/($AB$2000/$F$2000)*100</f>
        <v>120.12834461810647</v>
      </c>
      <c r="AD13" s="22"/>
    </row>
    <row r="14" spans="1:30" ht="15.75" customHeight="1" x14ac:dyDescent="0.15">
      <c r="A14" s="30">
        <v>13</v>
      </c>
      <c r="B14" s="31" t="s">
        <v>3077</v>
      </c>
      <c r="C14" s="49" t="s">
        <v>2655</v>
      </c>
      <c r="D14" s="30">
        <v>0.27500000000000002</v>
      </c>
      <c r="E14" s="30">
        <v>127</v>
      </c>
      <c r="F14" s="33">
        <v>550</v>
      </c>
      <c r="G14" s="30">
        <v>483</v>
      </c>
      <c r="H14" s="30">
        <v>75</v>
      </c>
      <c r="I14" s="30">
        <v>133</v>
      </c>
      <c r="J14" s="30">
        <v>20</v>
      </c>
      <c r="K14" s="30">
        <v>5</v>
      </c>
      <c r="L14" s="30">
        <v>4</v>
      </c>
      <c r="M14" s="30">
        <v>175</v>
      </c>
      <c r="N14" s="30">
        <v>39</v>
      </c>
      <c r="O14" s="30">
        <v>30</v>
      </c>
      <c r="P14" s="30">
        <v>5</v>
      </c>
      <c r="Q14" s="30">
        <v>13</v>
      </c>
      <c r="R14" s="30">
        <v>6</v>
      </c>
      <c r="S14" s="30">
        <v>42</v>
      </c>
      <c r="T14" s="30">
        <v>0</v>
      </c>
      <c r="U14" s="30">
        <v>6</v>
      </c>
      <c r="V14" s="30">
        <v>81</v>
      </c>
      <c r="W14" s="30">
        <v>6</v>
      </c>
      <c r="X14" s="30">
        <v>0.33700000000000002</v>
      </c>
      <c r="Y14" s="30">
        <v>0.36199999999999999</v>
      </c>
      <c r="Z14" s="22">
        <f>X14+Y14</f>
        <v>0.69900000000000007</v>
      </c>
      <c r="AA14" s="22">
        <f>(0.692*(S14+T14)+0.73*U14+0.865*(I14-(J14+K14+L14))+1.334+J14+1.725*K14+2.065*L14)/(G14+S14-T14+U14+R14)</f>
        <v>0.30097392923649907</v>
      </c>
      <c r="AB14" s="22">
        <f>((AA14-$AA$2000)/1.24+$H$2000/$F$2000)*F14</f>
        <v>57.993868563924671</v>
      </c>
      <c r="AC14" s="22">
        <f>(AB14/F14)/($AB$2000/$F$2000)*100</f>
        <v>100.99944624181236</v>
      </c>
      <c r="AD14" s="22"/>
    </row>
    <row r="15" spans="1:30" ht="15.75" customHeight="1" x14ac:dyDescent="0.15">
      <c r="A15" s="34">
        <v>14</v>
      </c>
      <c r="B15" s="35" t="s">
        <v>3078</v>
      </c>
      <c r="C15" s="57" t="s">
        <v>2654</v>
      </c>
      <c r="D15" s="34">
        <v>0.252</v>
      </c>
      <c r="E15" s="34">
        <v>135</v>
      </c>
      <c r="F15" s="33">
        <v>543</v>
      </c>
      <c r="G15" s="34">
        <v>492</v>
      </c>
      <c r="H15" s="34">
        <v>58</v>
      </c>
      <c r="I15" s="34">
        <v>124</v>
      </c>
      <c r="J15" s="34">
        <v>24</v>
      </c>
      <c r="K15" s="34">
        <v>1</v>
      </c>
      <c r="L15" s="34">
        <v>25</v>
      </c>
      <c r="M15" s="34">
        <v>225</v>
      </c>
      <c r="N15" s="34">
        <v>81</v>
      </c>
      <c r="O15" s="34">
        <v>0</v>
      </c>
      <c r="P15" s="34">
        <v>0</v>
      </c>
      <c r="Q15" s="34">
        <v>0</v>
      </c>
      <c r="R15" s="34">
        <v>4</v>
      </c>
      <c r="S15" s="34">
        <v>44</v>
      </c>
      <c r="T15" s="34">
        <v>2</v>
      </c>
      <c r="U15" s="34">
        <v>3</v>
      </c>
      <c r="V15" s="34">
        <v>181</v>
      </c>
      <c r="W15" s="34">
        <v>7</v>
      </c>
      <c r="X15" s="34">
        <v>0.315</v>
      </c>
      <c r="Y15" s="34">
        <v>0.45700000000000002</v>
      </c>
      <c r="Z15" s="22">
        <f>X15+Y15</f>
        <v>0.77200000000000002</v>
      </c>
      <c r="AA15" s="22">
        <f>(0.692*(S15+T15)+0.73*U15+0.865*(I15-(J15+K15+L15))+1.334+J15+1.725*K15+2.065*L15)/(G15+S15-T15+U15+R15)</f>
        <v>0.32664695009242145</v>
      </c>
      <c r="AB15" s="22">
        <f>((AA15-$AA$2000)/1.24+$H$2000/$F$2000)*F15</f>
        <v>68.498063431206717</v>
      </c>
      <c r="AC15" s="22">
        <f>(AB15/F15)/($AB$2000/$F$2000)*100</f>
        <v>120.83091548082798</v>
      </c>
      <c r="AD15" s="22"/>
    </row>
    <row r="16" spans="1:30" ht="15.75" customHeight="1" x14ac:dyDescent="0.15">
      <c r="A16" s="30">
        <v>15</v>
      </c>
      <c r="B16" s="31" t="s">
        <v>3079</v>
      </c>
      <c r="C16" s="46" t="s">
        <v>2648</v>
      </c>
      <c r="D16" s="30">
        <v>0.245</v>
      </c>
      <c r="E16" s="30">
        <v>134</v>
      </c>
      <c r="F16" s="33">
        <v>541</v>
      </c>
      <c r="G16" s="30">
        <v>465</v>
      </c>
      <c r="H16" s="30">
        <v>59</v>
      </c>
      <c r="I16" s="30">
        <v>114</v>
      </c>
      <c r="J16" s="30">
        <v>16</v>
      </c>
      <c r="K16" s="30">
        <v>4</v>
      </c>
      <c r="L16" s="30">
        <v>14</v>
      </c>
      <c r="M16" s="30">
        <v>180</v>
      </c>
      <c r="N16" s="30">
        <v>65</v>
      </c>
      <c r="O16" s="30">
        <v>6</v>
      </c>
      <c r="P16" s="30">
        <v>7</v>
      </c>
      <c r="Q16" s="30">
        <v>4</v>
      </c>
      <c r="R16" s="30">
        <v>5</v>
      </c>
      <c r="S16" s="30">
        <v>56</v>
      </c>
      <c r="T16" s="30">
        <v>0</v>
      </c>
      <c r="U16" s="30">
        <v>11</v>
      </c>
      <c r="V16" s="30">
        <v>91</v>
      </c>
      <c r="W16" s="30">
        <v>6</v>
      </c>
      <c r="X16" s="30">
        <v>0.33700000000000002</v>
      </c>
      <c r="Y16" s="30">
        <v>0.38700000000000001</v>
      </c>
      <c r="Z16" s="22">
        <f>X16+Y16</f>
        <v>0.72399999999999998</v>
      </c>
      <c r="AA16" s="22">
        <f>(0.692*(S16+T16)+0.73*U16+0.865*(I16-(J16+K16+L16))+1.334+J16+1.725*K16+2.065*L16)/(G16+S16-T16+U16+R16)</f>
        <v>0.31494599627560521</v>
      </c>
      <c r="AB16" s="22">
        <f>((AA16-$AA$2000)/1.24+$H$2000/$F$2000)*F16</f>
        <v>63.140755623034103</v>
      </c>
      <c r="AC16" s="22">
        <f>(AB16/F16)/($AB$2000/$F$2000)*100</f>
        <v>111.79235679357463</v>
      </c>
      <c r="AD16" s="22"/>
    </row>
    <row r="17" spans="1:30" ht="15.75" customHeight="1" x14ac:dyDescent="0.15">
      <c r="A17" s="34">
        <v>16</v>
      </c>
      <c r="B17" s="35" t="s">
        <v>3080</v>
      </c>
      <c r="C17" s="50" t="s">
        <v>198</v>
      </c>
      <c r="D17" s="34">
        <v>0.23400000000000001</v>
      </c>
      <c r="E17" s="34">
        <v>133</v>
      </c>
      <c r="F17" s="33">
        <v>540</v>
      </c>
      <c r="G17" s="34">
        <v>466</v>
      </c>
      <c r="H17" s="34">
        <v>44</v>
      </c>
      <c r="I17" s="34">
        <v>109</v>
      </c>
      <c r="J17" s="34">
        <v>24</v>
      </c>
      <c r="K17" s="34">
        <v>0</v>
      </c>
      <c r="L17" s="34">
        <v>7</v>
      </c>
      <c r="M17" s="34">
        <v>154</v>
      </c>
      <c r="N17" s="34">
        <v>39</v>
      </c>
      <c r="O17" s="34">
        <v>3</v>
      </c>
      <c r="P17" s="34">
        <v>3</v>
      </c>
      <c r="Q17" s="34">
        <v>20</v>
      </c>
      <c r="R17" s="34">
        <v>5</v>
      </c>
      <c r="S17" s="34">
        <v>48</v>
      </c>
      <c r="T17" s="34">
        <v>0</v>
      </c>
      <c r="U17" s="34">
        <v>1</v>
      </c>
      <c r="V17" s="34">
        <v>103</v>
      </c>
      <c r="W17" s="34">
        <v>6</v>
      </c>
      <c r="X17" s="34">
        <v>0.30399999999999999</v>
      </c>
      <c r="Y17" s="34">
        <v>0.33</v>
      </c>
      <c r="Z17" s="22">
        <f>X17+Y17</f>
        <v>0.63400000000000001</v>
      </c>
      <c r="AA17" s="22">
        <f>(0.692*(S17+T17)+0.73*U17+0.865*(I17-(J17+K17+L17))+1.334+J17+1.725*K17+2.065*L17)/(G17+S17-T17+U17+R17)</f>
        <v>0.27154807692307692</v>
      </c>
      <c r="AB17" s="22">
        <f>((AA17-$AA$2000)/1.24+$H$2000/$F$2000)*F17</f>
        <v>44.12495051806097</v>
      </c>
      <c r="AC17" s="22">
        <f>(AB17/F17)/($AB$2000/$F$2000)*100</f>
        <v>78.269052017447862</v>
      </c>
      <c r="AD17" s="22"/>
    </row>
    <row r="18" spans="1:30" ht="15.75" customHeight="1" x14ac:dyDescent="0.15">
      <c r="A18" s="30">
        <v>17</v>
      </c>
      <c r="B18" s="31" t="s">
        <v>3081</v>
      </c>
      <c r="C18" s="55" t="s">
        <v>2652</v>
      </c>
      <c r="D18" s="30">
        <v>0.26300000000000001</v>
      </c>
      <c r="E18" s="30">
        <v>137</v>
      </c>
      <c r="F18" s="33">
        <v>536</v>
      </c>
      <c r="G18" s="30">
        <v>483</v>
      </c>
      <c r="H18" s="30">
        <v>42</v>
      </c>
      <c r="I18" s="30">
        <v>127</v>
      </c>
      <c r="J18" s="30">
        <v>17</v>
      </c>
      <c r="K18" s="30">
        <v>2</v>
      </c>
      <c r="L18" s="30">
        <v>4</v>
      </c>
      <c r="M18" s="30">
        <v>160</v>
      </c>
      <c r="N18" s="30">
        <v>60</v>
      </c>
      <c r="O18" s="30">
        <v>8</v>
      </c>
      <c r="P18" s="30">
        <v>2</v>
      </c>
      <c r="Q18" s="30">
        <v>4</v>
      </c>
      <c r="R18" s="30">
        <v>6</v>
      </c>
      <c r="S18" s="30">
        <v>41</v>
      </c>
      <c r="T18" s="30">
        <v>5</v>
      </c>
      <c r="U18" s="30">
        <v>2</v>
      </c>
      <c r="V18" s="30">
        <v>86</v>
      </c>
      <c r="W18" s="30">
        <v>22</v>
      </c>
      <c r="X18" s="30">
        <v>0.32</v>
      </c>
      <c r="Y18" s="30">
        <v>0.33100000000000002</v>
      </c>
      <c r="Z18" s="22">
        <f>X18+Y18</f>
        <v>0.65100000000000002</v>
      </c>
      <c r="AA18" s="22">
        <f>(0.692*(S18+T18)+0.73*U18+0.865*(I18-(J18+K18+L18))+1.334+J18+1.725*K18+2.065*L18)/(G18+S18-T18+U18+R18)</f>
        <v>0.29088425047438321</v>
      </c>
      <c r="AB18" s="22">
        <f>((AA18-$AA$2000)/1.24+$H$2000/$F$2000)*F18</f>
        <v>52.156315987177628</v>
      </c>
      <c r="AC18" s="22">
        <f>(AB18/F18)/($AB$2000/$F$2000)*100</f>
        <v>93.205538577989827</v>
      </c>
      <c r="AD18" s="22"/>
    </row>
    <row r="19" spans="1:30" ht="15.75" customHeight="1" x14ac:dyDescent="0.15">
      <c r="A19" s="34">
        <v>18</v>
      </c>
      <c r="B19" s="35" t="s">
        <v>3085</v>
      </c>
      <c r="C19" s="43" t="s">
        <v>2649</v>
      </c>
      <c r="D19" s="34">
        <v>0.248</v>
      </c>
      <c r="E19" s="34">
        <v>126</v>
      </c>
      <c r="F19" s="33">
        <v>533</v>
      </c>
      <c r="G19" s="34">
        <v>480</v>
      </c>
      <c r="H19" s="34">
        <v>54</v>
      </c>
      <c r="I19" s="34">
        <v>119</v>
      </c>
      <c r="J19" s="34">
        <v>23</v>
      </c>
      <c r="K19" s="34">
        <v>1</v>
      </c>
      <c r="L19" s="34">
        <v>8</v>
      </c>
      <c r="M19" s="34">
        <v>168</v>
      </c>
      <c r="N19" s="34">
        <v>39</v>
      </c>
      <c r="O19" s="34">
        <v>5</v>
      </c>
      <c r="P19" s="34">
        <v>6</v>
      </c>
      <c r="Q19" s="34">
        <v>3</v>
      </c>
      <c r="R19" s="34">
        <v>2</v>
      </c>
      <c r="S19" s="34">
        <v>43</v>
      </c>
      <c r="T19" s="34">
        <v>2</v>
      </c>
      <c r="U19" s="34">
        <v>5</v>
      </c>
      <c r="V19" s="34">
        <v>72</v>
      </c>
      <c r="W19" s="34">
        <v>7</v>
      </c>
      <c r="X19" s="34">
        <v>0.315</v>
      </c>
      <c r="Y19" s="34">
        <v>0.35</v>
      </c>
      <c r="Z19" s="22">
        <f>X19+Y19</f>
        <v>0.66500000000000004</v>
      </c>
      <c r="AA19" s="22">
        <f>(0.692*(S19+T19)+0.73*U19+0.865*(I19-(J19+K19+L19))+1.334+J19+1.725*K19+2.065*L19)/(G19+S19-T19+U19+R19)</f>
        <v>0.28906060606060607</v>
      </c>
      <c r="AB19" s="22">
        <f>((AA19-$AA$2000)/1.24+$H$2000/$F$2000)*F19</f>
        <v>51.080523346416506</v>
      </c>
      <c r="AC19" s="22">
        <f>(AB19/F19)/($AB$2000/$F$2000)*100</f>
        <v>91.796839995236894</v>
      </c>
      <c r="AD19" s="22"/>
    </row>
    <row r="20" spans="1:30" ht="15.75" customHeight="1" x14ac:dyDescent="0.15">
      <c r="A20" s="30">
        <v>19</v>
      </c>
      <c r="B20" s="31" t="s">
        <v>3082</v>
      </c>
      <c r="C20" s="46" t="s">
        <v>2648</v>
      </c>
      <c r="D20" s="30">
        <v>0.26</v>
      </c>
      <c r="E20" s="30">
        <v>136</v>
      </c>
      <c r="F20" s="33">
        <v>532</v>
      </c>
      <c r="G20" s="30">
        <v>470</v>
      </c>
      <c r="H20" s="30">
        <v>50</v>
      </c>
      <c r="I20" s="30">
        <v>122</v>
      </c>
      <c r="J20" s="30">
        <v>24</v>
      </c>
      <c r="K20" s="30">
        <v>1</v>
      </c>
      <c r="L20" s="30">
        <v>18</v>
      </c>
      <c r="M20" s="30">
        <v>202</v>
      </c>
      <c r="N20" s="30">
        <v>60</v>
      </c>
      <c r="O20" s="30">
        <v>1</v>
      </c>
      <c r="P20" s="30">
        <v>0</v>
      </c>
      <c r="Q20" s="30">
        <v>5</v>
      </c>
      <c r="R20" s="30">
        <v>3</v>
      </c>
      <c r="S20" s="30">
        <v>48</v>
      </c>
      <c r="T20" s="30">
        <v>2</v>
      </c>
      <c r="U20" s="30">
        <v>6</v>
      </c>
      <c r="V20" s="30">
        <v>87</v>
      </c>
      <c r="W20" s="30">
        <v>12</v>
      </c>
      <c r="X20" s="30">
        <v>0.33400000000000002</v>
      </c>
      <c r="Y20" s="30">
        <v>0.43</v>
      </c>
      <c r="Z20" s="29">
        <f>X20+Y20</f>
        <v>0.76400000000000001</v>
      </c>
      <c r="AA20" s="22">
        <f>(0.692*(S20+T20)+0.73*U20+0.865*(I20-(J20+K20+L20))+1.334+J20+1.725*K20+2.065*L20)/(G20+S20-T20+U20+R20)</f>
        <v>0.32675047619047615</v>
      </c>
      <c r="AB20" s="22">
        <f>((AA20-$AA$2000)/1.24+$H$2000/$F$2000)*F20</f>
        <v>67.154857555694306</v>
      </c>
      <c r="AC20" s="22">
        <f>(AB20/F20)/($AB$2000/$F$2000)*100</f>
        <v>120.91088560357002</v>
      </c>
      <c r="AD20" s="22"/>
    </row>
    <row r="21" spans="1:30" ht="15.75" customHeight="1" x14ac:dyDescent="0.15">
      <c r="A21" s="34">
        <v>20</v>
      </c>
      <c r="B21" s="35" t="s">
        <v>3083</v>
      </c>
      <c r="C21" s="36" t="s">
        <v>2646</v>
      </c>
      <c r="D21" s="34">
        <v>0.313</v>
      </c>
      <c r="E21" s="34">
        <v>128</v>
      </c>
      <c r="F21" s="33">
        <v>531</v>
      </c>
      <c r="G21" s="34">
        <v>476</v>
      </c>
      <c r="H21" s="34">
        <v>58</v>
      </c>
      <c r="I21" s="34">
        <v>149</v>
      </c>
      <c r="J21" s="34">
        <v>27</v>
      </c>
      <c r="K21" s="34">
        <v>0</v>
      </c>
      <c r="L21" s="34">
        <v>32</v>
      </c>
      <c r="M21" s="34">
        <v>272</v>
      </c>
      <c r="N21" s="34">
        <v>82</v>
      </c>
      <c r="O21" s="34">
        <v>0</v>
      </c>
      <c r="P21" s="34">
        <v>0</v>
      </c>
      <c r="Q21" s="34">
        <v>0</v>
      </c>
      <c r="R21" s="34">
        <v>5</v>
      </c>
      <c r="S21" s="34">
        <v>49</v>
      </c>
      <c r="T21" s="34">
        <v>11</v>
      </c>
      <c r="U21" s="34">
        <v>1</v>
      </c>
      <c r="V21" s="34">
        <v>100</v>
      </c>
      <c r="W21" s="34">
        <v>22</v>
      </c>
      <c r="X21" s="34">
        <v>0.375</v>
      </c>
      <c r="Y21" s="34">
        <v>0.57099999999999995</v>
      </c>
      <c r="Z21" s="22">
        <f>X21+Y21</f>
        <v>0.94599999999999995</v>
      </c>
      <c r="AA21" s="22">
        <f>(0.692*(S21+T21)+0.73*U21+0.865*(I21-(J21+K21+L21))+1.334+J21+1.725*K21+2.065*L21)/(G21+S21-T21+U21+R21)</f>
        <v>0.41252692307692307</v>
      </c>
      <c r="AB21" s="22">
        <f>((AA21-$AA$2000)/1.24+$H$2000/$F$2000)*F21</f>
        <v>103.76031476294192</v>
      </c>
      <c r="AC21" s="22">
        <f>(AB21/F21)/($AB$2000/$F$2000)*100</f>
        <v>187.17005227534935</v>
      </c>
      <c r="AD21" s="22"/>
    </row>
    <row r="22" spans="1:30" ht="15.75" customHeight="1" x14ac:dyDescent="0.15">
      <c r="A22" s="30">
        <v>21</v>
      </c>
      <c r="B22" s="31" t="s">
        <v>3084</v>
      </c>
      <c r="C22" s="41" t="s">
        <v>2651</v>
      </c>
      <c r="D22" s="30">
        <v>0.25800000000000001</v>
      </c>
      <c r="E22" s="30">
        <v>126</v>
      </c>
      <c r="F22" s="33">
        <v>530</v>
      </c>
      <c r="G22" s="30">
        <v>446</v>
      </c>
      <c r="H22" s="30">
        <v>53</v>
      </c>
      <c r="I22" s="30">
        <v>115</v>
      </c>
      <c r="J22" s="30">
        <v>13</v>
      </c>
      <c r="K22" s="30">
        <v>7</v>
      </c>
      <c r="L22" s="30">
        <v>6</v>
      </c>
      <c r="M22" s="30">
        <v>160</v>
      </c>
      <c r="N22" s="30">
        <v>43</v>
      </c>
      <c r="O22" s="30">
        <v>4</v>
      </c>
      <c r="P22" s="30">
        <v>5</v>
      </c>
      <c r="Q22" s="30">
        <v>11</v>
      </c>
      <c r="R22" s="30">
        <v>6</v>
      </c>
      <c r="S22" s="30">
        <v>62</v>
      </c>
      <c r="T22" s="30">
        <v>3</v>
      </c>
      <c r="U22" s="30">
        <v>5</v>
      </c>
      <c r="V22" s="30">
        <v>85</v>
      </c>
      <c r="W22" s="30">
        <v>14</v>
      </c>
      <c r="X22" s="30">
        <v>0.35099999999999998</v>
      </c>
      <c r="Y22" s="30">
        <v>0.35899999999999999</v>
      </c>
      <c r="Z22" s="22">
        <f>X22+Y22</f>
        <v>0.71</v>
      </c>
      <c r="AA22" s="22">
        <f>(0.692*(S22+T22)+0.73*U22+0.865*(I22-(J22+K22+L22))+1.334+J22+1.725*K22+2.065*L22)/(G22+S22-T22+U22+R22)</f>
        <v>0.31863178294573641</v>
      </c>
      <c r="AB22" s="22">
        <f>((AA22-$AA$2000)/1.24+$H$2000/$F$2000)*F22</f>
        <v>63.432309056384135</v>
      </c>
      <c r="AC22" s="22">
        <f>(AB22/F22)/($AB$2000/$F$2000)*100</f>
        <v>114.63949213384055</v>
      </c>
      <c r="AD22" s="22"/>
    </row>
    <row r="23" spans="1:30" ht="15.75" customHeight="1" x14ac:dyDescent="0.15">
      <c r="A23" s="34">
        <v>22</v>
      </c>
      <c r="B23" s="35" t="s">
        <v>3086</v>
      </c>
      <c r="C23" s="48" t="s">
        <v>2647</v>
      </c>
      <c r="D23" s="34">
        <v>0.247</v>
      </c>
      <c r="E23" s="34">
        <v>133</v>
      </c>
      <c r="F23" s="33">
        <v>529</v>
      </c>
      <c r="G23" s="34">
        <v>486</v>
      </c>
      <c r="H23" s="34">
        <v>57</v>
      </c>
      <c r="I23" s="34">
        <v>120</v>
      </c>
      <c r="J23" s="34">
        <v>23</v>
      </c>
      <c r="K23" s="34">
        <v>2</v>
      </c>
      <c r="L23" s="34">
        <v>16</v>
      </c>
      <c r="M23" s="34">
        <v>195</v>
      </c>
      <c r="N23" s="34">
        <v>54</v>
      </c>
      <c r="O23" s="34">
        <v>13</v>
      </c>
      <c r="P23" s="34">
        <v>7</v>
      </c>
      <c r="Q23" s="34">
        <v>0</v>
      </c>
      <c r="R23" s="34">
        <v>2</v>
      </c>
      <c r="S23" s="34">
        <v>38</v>
      </c>
      <c r="T23" s="34">
        <v>2</v>
      </c>
      <c r="U23" s="34">
        <v>3</v>
      </c>
      <c r="V23" s="34">
        <v>137</v>
      </c>
      <c r="W23" s="34">
        <v>9</v>
      </c>
      <c r="X23" s="34">
        <v>0.30399999999999999</v>
      </c>
      <c r="Y23" s="34">
        <v>0.40100000000000002</v>
      </c>
      <c r="Z23" s="22">
        <f>X23+Y23</f>
        <v>0.70500000000000007</v>
      </c>
      <c r="AA23" s="22">
        <f>(0.692*(S23+T23)+0.73*U23+0.865*(I23-(J23+K23+L23))+1.334+J23+1.725*K23+2.065*L23)/(G23+S23-T23+U23+R23)</f>
        <v>0.30176280834914609</v>
      </c>
      <c r="AB23" s="22">
        <f>((AA23-$AA$2000)/1.24+$H$2000/$F$2000)*F23</f>
        <v>56.116103227297181</v>
      </c>
      <c r="AC23" s="22">
        <f>(AB23/F23)/($AB$2000/$F$2000)*100</f>
        <v>101.60882649135759</v>
      </c>
      <c r="AD23" s="22"/>
    </row>
    <row r="24" spans="1:30" ht="15.75" customHeight="1" x14ac:dyDescent="0.15">
      <c r="A24" s="30">
        <v>23</v>
      </c>
      <c r="B24" s="31" t="s">
        <v>3087</v>
      </c>
      <c r="C24" s="47" t="s">
        <v>2654</v>
      </c>
      <c r="D24" s="30">
        <v>0.26400000000000001</v>
      </c>
      <c r="E24" s="30">
        <v>129</v>
      </c>
      <c r="F24" s="33">
        <v>524</v>
      </c>
      <c r="G24" s="30">
        <v>454</v>
      </c>
      <c r="H24" s="30">
        <v>56</v>
      </c>
      <c r="I24" s="30">
        <v>120</v>
      </c>
      <c r="J24" s="30">
        <v>24</v>
      </c>
      <c r="K24" s="30">
        <v>3</v>
      </c>
      <c r="L24" s="30">
        <v>8</v>
      </c>
      <c r="M24" s="30">
        <v>174</v>
      </c>
      <c r="N24" s="30">
        <v>49</v>
      </c>
      <c r="O24" s="30">
        <v>9</v>
      </c>
      <c r="P24" s="30">
        <v>2</v>
      </c>
      <c r="Q24" s="30">
        <v>3</v>
      </c>
      <c r="R24" s="30">
        <v>7</v>
      </c>
      <c r="S24" s="30">
        <v>54</v>
      </c>
      <c r="T24" s="30">
        <v>0</v>
      </c>
      <c r="U24" s="30">
        <v>6</v>
      </c>
      <c r="V24" s="30">
        <v>64</v>
      </c>
      <c r="W24" s="30">
        <v>8</v>
      </c>
      <c r="X24" s="30">
        <v>0.34499999999999997</v>
      </c>
      <c r="Y24" s="30">
        <v>0.38300000000000001</v>
      </c>
      <c r="Z24" s="22">
        <f>X24+Y24</f>
        <v>0.72799999999999998</v>
      </c>
      <c r="AA24" s="22">
        <f>(0.692*(S24+T24)+0.73*U24+0.865*(I24-(J24+K24+L24))+1.334+J24+1.725*K24+2.065*L24)/(G24+S24-T24+U24+R24)</f>
        <v>0.31152015355086377</v>
      </c>
      <c r="AB24" s="22">
        <f>((AA24-$AA$2000)/1.24+$H$2000/$F$2000)*F24</f>
        <v>59.70897050659179</v>
      </c>
      <c r="AC24" s="22">
        <f>(AB24/F24)/($AB$2000/$F$2000)*100</f>
        <v>109.14601863981028</v>
      </c>
      <c r="AD24" s="22"/>
    </row>
    <row r="25" spans="1:30" ht="15.75" customHeight="1" x14ac:dyDescent="0.15">
      <c r="A25" s="34">
        <v>24</v>
      </c>
      <c r="B25" s="35" t="s">
        <v>3088</v>
      </c>
      <c r="C25" s="40" t="s">
        <v>2650</v>
      </c>
      <c r="D25" s="34">
        <v>0.26200000000000001</v>
      </c>
      <c r="E25" s="34">
        <v>129</v>
      </c>
      <c r="F25" s="33">
        <v>522</v>
      </c>
      <c r="G25" s="34">
        <v>469</v>
      </c>
      <c r="H25" s="34">
        <v>49</v>
      </c>
      <c r="I25" s="34">
        <v>123</v>
      </c>
      <c r="J25" s="34">
        <v>32</v>
      </c>
      <c r="K25" s="34">
        <v>0</v>
      </c>
      <c r="L25" s="34">
        <v>8</v>
      </c>
      <c r="M25" s="34">
        <v>179</v>
      </c>
      <c r="N25" s="34">
        <v>55</v>
      </c>
      <c r="O25" s="34">
        <v>0</v>
      </c>
      <c r="P25" s="34">
        <v>1</v>
      </c>
      <c r="Q25" s="34">
        <v>0</v>
      </c>
      <c r="R25" s="34">
        <v>0</v>
      </c>
      <c r="S25" s="34">
        <v>52</v>
      </c>
      <c r="T25" s="34">
        <v>0</v>
      </c>
      <c r="U25" s="34">
        <v>1</v>
      </c>
      <c r="V25" s="34">
        <v>74</v>
      </c>
      <c r="W25" s="34">
        <v>12</v>
      </c>
      <c r="X25" s="34">
        <v>0.33700000000000002</v>
      </c>
      <c r="Y25" s="34">
        <v>0.38200000000000001</v>
      </c>
      <c r="Z25" s="22">
        <f>X25+Y25</f>
        <v>0.71900000000000008</v>
      </c>
      <c r="AA25" s="22">
        <f>(0.692*(S25+T25)+0.73*U25+0.865*(I25-(J25+K25+L25))+1.334+J25+1.725*K25+2.065*L25)/(G25+S25-T25+U25+R25)</f>
        <v>0.30337739463601532</v>
      </c>
      <c r="AB25" s="22">
        <f>((AA25-$AA$2000)/1.24+$H$2000/$F$2000)*F25</f>
        <v>56.053234839088375</v>
      </c>
      <c r="AC25" s="22">
        <f>(AB25/F25)/($AB$2000/$F$2000)*100</f>
        <v>102.85603532048128</v>
      </c>
      <c r="AD25" s="22"/>
    </row>
    <row r="26" spans="1:30" ht="15.75" customHeight="1" x14ac:dyDescent="0.15">
      <c r="A26" s="30">
        <v>25</v>
      </c>
      <c r="B26" s="31" t="s">
        <v>3089</v>
      </c>
      <c r="C26" s="54" t="s">
        <v>2650</v>
      </c>
      <c r="D26" s="30">
        <v>0.27400000000000002</v>
      </c>
      <c r="E26" s="30">
        <v>134</v>
      </c>
      <c r="F26" s="33">
        <v>516</v>
      </c>
      <c r="G26" s="30">
        <v>471</v>
      </c>
      <c r="H26" s="30">
        <v>65</v>
      </c>
      <c r="I26" s="30">
        <v>129</v>
      </c>
      <c r="J26" s="30">
        <v>21</v>
      </c>
      <c r="K26" s="30">
        <v>1</v>
      </c>
      <c r="L26" s="30">
        <v>9</v>
      </c>
      <c r="M26" s="30">
        <v>179</v>
      </c>
      <c r="N26" s="30">
        <v>51</v>
      </c>
      <c r="O26" s="30">
        <v>6</v>
      </c>
      <c r="P26" s="30">
        <v>6</v>
      </c>
      <c r="Q26" s="30">
        <v>1</v>
      </c>
      <c r="R26" s="30">
        <v>1</v>
      </c>
      <c r="S26" s="30">
        <v>34</v>
      </c>
      <c r="T26" s="30">
        <v>1</v>
      </c>
      <c r="U26" s="30">
        <v>9</v>
      </c>
      <c r="V26" s="30">
        <v>73</v>
      </c>
      <c r="W26" s="30">
        <v>8</v>
      </c>
      <c r="X26" s="30">
        <v>0.33400000000000002</v>
      </c>
      <c r="Y26" s="30">
        <v>0.38</v>
      </c>
      <c r="Z26" s="29">
        <f>X26+Y26</f>
        <v>0.71399999999999997</v>
      </c>
      <c r="AA26" s="22">
        <f>(0.692*(S26+T26)+0.73*U26+0.865*(I26-(J26+K26+L26))+1.334+J26+1.725*K26+2.065*L26)/(G26+S26-T26+U26+R26)</f>
        <v>0.3077898832684825</v>
      </c>
      <c r="AB26" s="22">
        <f>((AA26-$AA$2000)/1.24+$H$2000/$F$2000)*F26</f>
        <v>57.245109407944952</v>
      </c>
      <c r="AC26" s="22">
        <f>(AB26/F26)/($AB$2000/$F$2000)*100</f>
        <v>106.26452133673024</v>
      </c>
      <c r="AD26" s="22"/>
    </row>
    <row r="27" spans="1:30" ht="15.75" customHeight="1" x14ac:dyDescent="0.15">
      <c r="A27" s="34">
        <v>26</v>
      </c>
      <c r="B27" s="35" t="s">
        <v>3090</v>
      </c>
      <c r="C27" s="48" t="s">
        <v>2647</v>
      </c>
      <c r="D27" s="34">
        <v>0.255</v>
      </c>
      <c r="E27" s="34">
        <v>129</v>
      </c>
      <c r="F27" s="33">
        <v>515</v>
      </c>
      <c r="G27" s="34">
        <v>482</v>
      </c>
      <c r="H27" s="34">
        <v>45</v>
      </c>
      <c r="I27" s="34">
        <v>123</v>
      </c>
      <c r="J27" s="34">
        <v>22</v>
      </c>
      <c r="K27" s="34">
        <v>1</v>
      </c>
      <c r="L27" s="34">
        <v>12</v>
      </c>
      <c r="M27" s="34">
        <v>183</v>
      </c>
      <c r="N27" s="34">
        <v>48</v>
      </c>
      <c r="O27" s="34">
        <v>3</v>
      </c>
      <c r="P27" s="34">
        <v>0</v>
      </c>
      <c r="Q27" s="34">
        <v>1</v>
      </c>
      <c r="R27" s="34">
        <v>3</v>
      </c>
      <c r="S27" s="34">
        <v>23</v>
      </c>
      <c r="T27" s="34">
        <v>0</v>
      </c>
      <c r="U27" s="34">
        <v>6</v>
      </c>
      <c r="V27" s="34">
        <v>92</v>
      </c>
      <c r="W27" s="34">
        <v>13</v>
      </c>
      <c r="X27" s="34">
        <v>0.29599999999999999</v>
      </c>
      <c r="Y27" s="34">
        <v>0.38</v>
      </c>
      <c r="Z27" s="22">
        <f>X27+Y27</f>
        <v>0.67599999999999993</v>
      </c>
      <c r="AA27" s="22">
        <f>(0.692*(S27+T27)+0.73*U27+0.865*(I27-(J27+K27+L27))+1.334+J27+1.725*K27+2.065*L27)/(G27+S27-T27+U27+R27)</f>
        <v>0.2845428015564202</v>
      </c>
      <c r="AB27" s="22">
        <f>((AA27-$AA$2000)/1.24+$H$2000/$F$2000)*F27</f>
        <v>47.479131304310783</v>
      </c>
      <c r="AC27" s="22">
        <f>(AB27/F27)/($AB$2000/$F$2000)*100</f>
        <v>88.307001321578042</v>
      </c>
      <c r="AD27" s="22"/>
    </row>
    <row r="28" spans="1:30" ht="15.75" customHeight="1" x14ac:dyDescent="0.15">
      <c r="A28" s="30">
        <v>26</v>
      </c>
      <c r="B28" s="31" t="s">
        <v>3091</v>
      </c>
      <c r="C28" s="46" t="s">
        <v>2648</v>
      </c>
      <c r="D28" s="30">
        <v>0.28000000000000003</v>
      </c>
      <c r="E28" s="30">
        <v>125</v>
      </c>
      <c r="F28" s="33">
        <v>515</v>
      </c>
      <c r="G28" s="30">
        <v>464</v>
      </c>
      <c r="H28" s="30">
        <v>49</v>
      </c>
      <c r="I28" s="30">
        <v>130</v>
      </c>
      <c r="J28" s="30">
        <v>27</v>
      </c>
      <c r="K28" s="30">
        <v>1</v>
      </c>
      <c r="L28" s="30">
        <v>9</v>
      </c>
      <c r="M28" s="30">
        <v>186</v>
      </c>
      <c r="N28" s="30">
        <v>50</v>
      </c>
      <c r="O28" s="30">
        <v>0</v>
      </c>
      <c r="P28" s="30">
        <v>2</v>
      </c>
      <c r="Q28" s="30">
        <v>0</v>
      </c>
      <c r="R28" s="30">
        <v>1</v>
      </c>
      <c r="S28" s="30">
        <v>47</v>
      </c>
      <c r="T28" s="30">
        <v>1</v>
      </c>
      <c r="U28" s="30">
        <v>3</v>
      </c>
      <c r="V28" s="30">
        <v>101</v>
      </c>
      <c r="W28" s="30">
        <v>17</v>
      </c>
      <c r="X28" s="30">
        <v>0.35</v>
      </c>
      <c r="Y28" s="30">
        <v>0.40100000000000002</v>
      </c>
      <c r="Z28" s="22">
        <f>X28+Y28</f>
        <v>0.751</v>
      </c>
      <c r="AA28" s="22">
        <f>(0.692*(S28+T28)+0.73*U28+0.865*(I28-(J28+K28+L28))+1.334+J28+1.725*K28+2.065*L28)/(G28+S28-T28+U28+R28)</f>
        <v>0.32002918287937743</v>
      </c>
      <c r="AB28" s="22">
        <f>((AA28-$AA$2000)/1.24+$H$2000/$F$2000)*F28</f>
        <v>62.217426773119627</v>
      </c>
      <c r="AC28" s="22">
        <f>(AB28/F28)/($AB$2000/$F$2000)*100</f>
        <v>115.71893245191328</v>
      </c>
      <c r="AD28" s="22"/>
    </row>
    <row r="29" spans="1:30" ht="15.75" customHeight="1" x14ac:dyDescent="0.15">
      <c r="A29" s="34">
        <v>28</v>
      </c>
      <c r="B29" s="35" t="s">
        <v>3092</v>
      </c>
      <c r="C29" s="36" t="s">
        <v>2646</v>
      </c>
      <c r="D29" s="34">
        <v>0.23699999999999999</v>
      </c>
      <c r="E29" s="34">
        <v>135</v>
      </c>
      <c r="F29" s="33">
        <v>513</v>
      </c>
      <c r="G29" s="34">
        <v>447</v>
      </c>
      <c r="H29" s="34">
        <v>61</v>
      </c>
      <c r="I29" s="34">
        <v>106</v>
      </c>
      <c r="J29" s="34">
        <v>13</v>
      </c>
      <c r="K29" s="34">
        <v>2</v>
      </c>
      <c r="L29" s="34">
        <v>23</v>
      </c>
      <c r="M29" s="34">
        <v>192</v>
      </c>
      <c r="N29" s="34">
        <v>65</v>
      </c>
      <c r="O29" s="34">
        <v>2</v>
      </c>
      <c r="P29" s="34">
        <v>1</v>
      </c>
      <c r="Q29" s="34">
        <v>1</v>
      </c>
      <c r="R29" s="34">
        <v>3</v>
      </c>
      <c r="S29" s="34">
        <v>49</v>
      </c>
      <c r="T29" s="34">
        <v>2</v>
      </c>
      <c r="U29" s="34">
        <v>13</v>
      </c>
      <c r="V29" s="34">
        <v>100</v>
      </c>
      <c r="W29" s="34">
        <v>6</v>
      </c>
      <c r="X29" s="34">
        <v>0.32800000000000001</v>
      </c>
      <c r="Y29" s="34">
        <v>0.43</v>
      </c>
      <c r="Z29" s="22">
        <f>X29+Y29</f>
        <v>0.75800000000000001</v>
      </c>
      <c r="AA29" s="22">
        <f>(0.692*(S29+T29)+0.73*U29+0.865*(I29-(J29+K29+L29))+1.334+J29+1.725*K29+2.065*L29)/(G29+S29-T29+U29+R29)</f>
        <v>0.33113921568627452</v>
      </c>
      <c r="AB29" s="22">
        <f>((AA29-$AA$2000)/1.24+$H$2000/$F$2000)*F29</f>
        <v>66.572133786932412</v>
      </c>
      <c r="AC29" s="22">
        <f>(AB29/F29)/($AB$2000/$F$2000)*100</f>
        <v>124.30102628071984</v>
      </c>
      <c r="AD29" s="22"/>
    </row>
    <row r="30" spans="1:30" ht="15.75" customHeight="1" x14ac:dyDescent="0.15">
      <c r="A30" s="30">
        <v>29</v>
      </c>
      <c r="B30" s="31" t="s">
        <v>3093</v>
      </c>
      <c r="C30" s="49" t="s">
        <v>2655</v>
      </c>
      <c r="D30" s="30">
        <v>0.3</v>
      </c>
      <c r="E30" s="30">
        <v>135</v>
      </c>
      <c r="F30" s="33">
        <v>511</v>
      </c>
      <c r="G30" s="30">
        <v>467</v>
      </c>
      <c r="H30" s="30">
        <v>55</v>
      </c>
      <c r="I30" s="30">
        <v>140</v>
      </c>
      <c r="J30" s="30">
        <v>23</v>
      </c>
      <c r="K30" s="30">
        <v>1</v>
      </c>
      <c r="L30" s="30">
        <v>5</v>
      </c>
      <c r="M30" s="30">
        <v>180</v>
      </c>
      <c r="N30" s="30">
        <v>48</v>
      </c>
      <c r="O30" s="30">
        <v>11</v>
      </c>
      <c r="P30" s="30">
        <v>4</v>
      </c>
      <c r="Q30" s="30">
        <v>8</v>
      </c>
      <c r="R30" s="30">
        <v>4</v>
      </c>
      <c r="S30" s="30">
        <v>24</v>
      </c>
      <c r="T30" s="30">
        <v>3</v>
      </c>
      <c r="U30" s="30">
        <v>8</v>
      </c>
      <c r="V30" s="30">
        <v>89</v>
      </c>
      <c r="W30" s="30">
        <v>6</v>
      </c>
      <c r="X30" s="30">
        <v>0.34200000000000003</v>
      </c>
      <c r="Y30" s="30">
        <v>0.38500000000000001</v>
      </c>
      <c r="Z30" s="22">
        <f>X30+Y30</f>
        <v>0.72700000000000009</v>
      </c>
      <c r="AA30" s="22">
        <f>(0.692*(S30+T30)+0.73*U30+0.865*(I30-(J30+K30+L30))+1.334+J30+1.725*K30+2.065*L30)/(G30+S30-T30+U30+R30)</f>
        <v>0.31384599999999996</v>
      </c>
      <c r="AB30" s="22">
        <f>((AA30-$AA$2000)/1.24+$H$2000/$F$2000)*F30</f>
        <v>59.186114904585267</v>
      </c>
      <c r="AC30" s="22">
        <f>(AB30/F30)/($AB$2000/$F$2000)*100</f>
        <v>110.94264991937696</v>
      </c>
      <c r="AD30" s="22"/>
    </row>
    <row r="31" spans="1:30" ht="15.75" customHeight="1" x14ac:dyDescent="0.15">
      <c r="A31" s="34">
        <v>30</v>
      </c>
      <c r="B31" s="35" t="s">
        <v>3094</v>
      </c>
      <c r="C31" s="56" t="s">
        <v>2653</v>
      </c>
      <c r="D31" s="34">
        <v>0.25600000000000001</v>
      </c>
      <c r="E31" s="34">
        <v>140</v>
      </c>
      <c r="F31" s="33">
        <v>509</v>
      </c>
      <c r="G31" s="34">
        <v>469</v>
      </c>
      <c r="H31" s="34">
        <v>43</v>
      </c>
      <c r="I31" s="34">
        <v>120</v>
      </c>
      <c r="J31" s="34">
        <v>11</v>
      </c>
      <c r="K31" s="34">
        <v>4</v>
      </c>
      <c r="L31" s="34">
        <v>2</v>
      </c>
      <c r="M31" s="34">
        <v>145</v>
      </c>
      <c r="N31" s="34">
        <v>23</v>
      </c>
      <c r="O31" s="34">
        <v>8</v>
      </c>
      <c r="P31" s="34">
        <v>6</v>
      </c>
      <c r="Q31" s="34">
        <v>13</v>
      </c>
      <c r="R31" s="34">
        <v>1</v>
      </c>
      <c r="S31" s="34">
        <v>21</v>
      </c>
      <c r="T31" s="34">
        <v>1</v>
      </c>
      <c r="U31" s="34">
        <v>4</v>
      </c>
      <c r="V31" s="34">
        <v>77</v>
      </c>
      <c r="W31" s="34">
        <v>5</v>
      </c>
      <c r="X31" s="34">
        <v>0.29299999999999998</v>
      </c>
      <c r="Y31" s="34">
        <v>0.309</v>
      </c>
      <c r="Z31" s="22">
        <f>X31+Y31</f>
        <v>0.60199999999999998</v>
      </c>
      <c r="AA31" s="22">
        <f>(0.692*(S31+T31)+0.73*U31+0.865*(I31-(J31+K31+L31))+1.334+J31+1.725*K31+2.065*L31)/(G31+S31-T31+U31+R31)</f>
        <v>0.26437854251012149</v>
      </c>
      <c r="AB31" s="22">
        <f>((AA31-$AA$2000)/1.24+$H$2000/$F$2000)*F31</f>
        <v>38.648873267972569</v>
      </c>
      <c r="AC31" s="22">
        <f>(AB31/F31)/($AB$2000/$F$2000)*100</f>
        <v>72.730849015685024</v>
      </c>
      <c r="AD31" s="22"/>
    </row>
    <row r="32" spans="1:30" ht="15.75" customHeight="1" x14ac:dyDescent="0.15">
      <c r="A32" s="30">
        <v>31</v>
      </c>
      <c r="B32" s="31" t="s">
        <v>3095</v>
      </c>
      <c r="C32" s="49" t="s">
        <v>2655</v>
      </c>
      <c r="D32" s="30">
        <v>0.30199999999999999</v>
      </c>
      <c r="E32" s="30">
        <v>128</v>
      </c>
      <c r="F32" s="33">
        <v>495</v>
      </c>
      <c r="G32" s="30">
        <v>460</v>
      </c>
      <c r="H32" s="30">
        <v>57</v>
      </c>
      <c r="I32" s="30">
        <v>139</v>
      </c>
      <c r="J32" s="30">
        <v>25</v>
      </c>
      <c r="K32" s="30">
        <v>0</v>
      </c>
      <c r="L32" s="30">
        <v>19</v>
      </c>
      <c r="M32" s="30">
        <v>221</v>
      </c>
      <c r="N32" s="30">
        <v>70</v>
      </c>
      <c r="O32" s="30">
        <v>0</v>
      </c>
      <c r="P32" s="30">
        <v>0</v>
      </c>
      <c r="Q32" s="30">
        <v>0</v>
      </c>
      <c r="R32" s="30">
        <v>2</v>
      </c>
      <c r="S32" s="30">
        <v>26</v>
      </c>
      <c r="T32" s="30">
        <v>2</v>
      </c>
      <c r="U32" s="30">
        <v>7</v>
      </c>
      <c r="V32" s="30">
        <v>88</v>
      </c>
      <c r="W32" s="30">
        <v>10</v>
      </c>
      <c r="X32" s="30">
        <v>0.34699999999999998</v>
      </c>
      <c r="Y32" s="30">
        <v>0.48</v>
      </c>
      <c r="Z32" s="22">
        <f>X32+Y32</f>
        <v>0.82699999999999996</v>
      </c>
      <c r="AA32" s="22">
        <f>(0.692*(S32+T32)+0.73*U32+0.865*(I32-(J32+K32+L32))+1.334+J32+1.725*K32+2.065*L32)/(G32+S32-T32+U32+R32)</f>
        <v>0.34935091277890468</v>
      </c>
      <c r="AB32" s="22">
        <f>((AA32-$AA$2000)/1.24+$H$2000/$F$2000)*F32</f>
        <v>71.506261428089275</v>
      </c>
      <c r="AC32" s="22">
        <f>(AB32/F32)/($AB$2000/$F$2000)*100</f>
        <v>138.36889592136831</v>
      </c>
      <c r="AD32" s="22"/>
    </row>
    <row r="33" spans="1:30" ht="15.75" customHeight="1" x14ac:dyDescent="0.15">
      <c r="A33" s="34">
        <v>32</v>
      </c>
      <c r="B33" s="35" t="s">
        <v>3096</v>
      </c>
      <c r="C33" s="42" t="s">
        <v>2652</v>
      </c>
      <c r="D33" s="34">
        <v>0.245</v>
      </c>
      <c r="E33" s="34">
        <v>129</v>
      </c>
      <c r="F33" s="33">
        <v>491</v>
      </c>
      <c r="G33" s="34">
        <v>436</v>
      </c>
      <c r="H33" s="34">
        <v>38</v>
      </c>
      <c r="I33" s="34">
        <v>107</v>
      </c>
      <c r="J33" s="34">
        <v>13</v>
      </c>
      <c r="K33" s="34">
        <v>1</v>
      </c>
      <c r="L33" s="34">
        <v>5</v>
      </c>
      <c r="M33" s="34">
        <v>137</v>
      </c>
      <c r="N33" s="34">
        <v>27</v>
      </c>
      <c r="O33" s="34">
        <v>2</v>
      </c>
      <c r="P33" s="34">
        <v>1</v>
      </c>
      <c r="Q33" s="34">
        <v>7</v>
      </c>
      <c r="R33" s="34">
        <v>2</v>
      </c>
      <c r="S33" s="34">
        <v>45</v>
      </c>
      <c r="T33" s="34">
        <v>0</v>
      </c>
      <c r="U33" s="34">
        <v>1</v>
      </c>
      <c r="V33" s="34">
        <v>65</v>
      </c>
      <c r="W33" s="34">
        <v>5</v>
      </c>
      <c r="X33" s="34">
        <v>0.316</v>
      </c>
      <c r="Y33" s="34">
        <v>0.314</v>
      </c>
      <c r="Z33" s="22">
        <f>X33+Y33</f>
        <v>0.63</v>
      </c>
      <c r="AA33" s="22">
        <f>(0.692*(S33+T33)+0.73*U33+0.865*(I33-(J33+K33+L33))+1.334+J33+1.725*K33+2.065*L33)/(G33+S33-T33+U33+R33)</f>
        <v>0.27763223140495868</v>
      </c>
      <c r="AB33" s="22">
        <f>((AA33-$AA$2000)/1.24+$H$2000/$F$2000)*F33</f>
        <v>42.530148734680964</v>
      </c>
      <c r="AC33" s="22">
        <f>(AB33/F33)/($AB$2000/$F$2000)*100</f>
        <v>82.968838736353717</v>
      </c>
      <c r="AD33" s="22"/>
    </row>
    <row r="34" spans="1:30" ht="15.75" customHeight="1" x14ac:dyDescent="0.15">
      <c r="A34" s="30">
        <v>33</v>
      </c>
      <c r="B34" s="31" t="s">
        <v>3097</v>
      </c>
      <c r="C34" s="49" t="s">
        <v>2655</v>
      </c>
      <c r="D34" s="30">
        <v>0.27400000000000002</v>
      </c>
      <c r="E34" s="30">
        <v>101</v>
      </c>
      <c r="F34" s="33">
        <v>478</v>
      </c>
      <c r="G34" s="30">
        <v>409</v>
      </c>
      <c r="H34" s="30">
        <v>76</v>
      </c>
      <c r="I34" s="30">
        <v>112</v>
      </c>
      <c r="J34" s="30">
        <v>13</v>
      </c>
      <c r="K34" s="30">
        <v>1</v>
      </c>
      <c r="L34" s="30">
        <v>28</v>
      </c>
      <c r="M34" s="30">
        <v>211</v>
      </c>
      <c r="N34" s="30">
        <v>59</v>
      </c>
      <c r="O34" s="30">
        <v>0</v>
      </c>
      <c r="P34" s="30">
        <v>0</v>
      </c>
      <c r="Q34" s="30">
        <v>0</v>
      </c>
      <c r="R34" s="30">
        <v>3</v>
      </c>
      <c r="S34" s="30">
        <v>60</v>
      </c>
      <c r="T34" s="30">
        <v>3</v>
      </c>
      <c r="U34" s="30">
        <v>6</v>
      </c>
      <c r="V34" s="30">
        <v>89</v>
      </c>
      <c r="W34" s="30">
        <v>6</v>
      </c>
      <c r="X34" s="30">
        <v>0.372</v>
      </c>
      <c r="Y34" s="30">
        <v>0.51600000000000001</v>
      </c>
      <c r="Z34" s="22">
        <f>X34+Y34</f>
        <v>0.88800000000000001</v>
      </c>
      <c r="AA34" s="22">
        <f>(0.692*(S34+T34)+0.73*U34+0.865*(I34-(J34+K34+L34))+1.334+J34+1.725*K34+2.065*L34)/(G34+S34-T34+U34+R34)</f>
        <v>0.38401052631578947</v>
      </c>
      <c r="AB34" s="22">
        <f>((AA34-$AA$2000)/1.24+$H$2000/$F$2000)*F34</f>
        <v>82.411212826033548</v>
      </c>
      <c r="AC34" s="22">
        <f>(AB34/F34)/($AB$2000/$F$2000)*100</f>
        <v>165.14217918827836</v>
      </c>
      <c r="AD34" s="22"/>
    </row>
    <row r="35" spans="1:30" ht="15.75" customHeight="1" x14ac:dyDescent="0.15">
      <c r="A35" s="34">
        <v>34</v>
      </c>
      <c r="B35" s="35" t="s">
        <v>3098</v>
      </c>
      <c r="C35" s="57" t="s">
        <v>2654</v>
      </c>
      <c r="D35" s="34">
        <v>0.27100000000000002</v>
      </c>
      <c r="E35" s="34">
        <v>118</v>
      </c>
      <c r="F35" s="33">
        <v>474</v>
      </c>
      <c r="G35" s="34">
        <v>420</v>
      </c>
      <c r="H35" s="34">
        <v>47</v>
      </c>
      <c r="I35" s="34">
        <v>114</v>
      </c>
      <c r="J35" s="34">
        <v>12</v>
      </c>
      <c r="K35" s="34">
        <v>2</v>
      </c>
      <c r="L35" s="34">
        <v>0</v>
      </c>
      <c r="M35" s="34">
        <v>130</v>
      </c>
      <c r="N35" s="34">
        <v>27</v>
      </c>
      <c r="O35" s="34">
        <v>36</v>
      </c>
      <c r="P35" s="34">
        <v>12</v>
      </c>
      <c r="Q35" s="34">
        <v>10</v>
      </c>
      <c r="R35" s="34">
        <v>4</v>
      </c>
      <c r="S35" s="34">
        <v>32</v>
      </c>
      <c r="T35" s="34">
        <v>1</v>
      </c>
      <c r="U35" s="34">
        <v>8</v>
      </c>
      <c r="V35" s="34">
        <v>59</v>
      </c>
      <c r="W35" s="34">
        <v>4</v>
      </c>
      <c r="X35" s="34">
        <v>0.33200000000000002</v>
      </c>
      <c r="Y35" s="34">
        <v>0.31</v>
      </c>
      <c r="Z35" s="29">
        <f>X35+Y35</f>
        <v>0.64200000000000002</v>
      </c>
      <c r="AA35" s="22">
        <f>(0.692*(S35+T35)+0.73*U35+0.865*(I35-(J35+K35+L35))+1.334+J35+1.725*K35+2.065*L35)/(G35+S35-T35+U35+R35)</f>
        <v>0.28501079913606908</v>
      </c>
      <c r="AB35" s="22">
        <f>((AA35-$AA$2000)/1.24+$H$2000/$F$2000)*F35</f>
        <v>43.878135146554648</v>
      </c>
      <c r="AC35" s="22">
        <f>(AB35/F35)/($AB$2000/$F$2000)*100</f>
        <v>88.668512327891875</v>
      </c>
      <c r="AD35" s="22"/>
    </row>
    <row r="36" spans="1:30" ht="15.75" customHeight="1" x14ac:dyDescent="0.15">
      <c r="A36" s="30">
        <v>34</v>
      </c>
      <c r="B36" s="31" t="s">
        <v>3099</v>
      </c>
      <c r="C36" s="54" t="s">
        <v>2650</v>
      </c>
      <c r="D36" s="30">
        <v>0.28299999999999997</v>
      </c>
      <c r="E36" s="30">
        <v>108</v>
      </c>
      <c r="F36" s="33">
        <v>474</v>
      </c>
      <c r="G36" s="30">
        <v>420</v>
      </c>
      <c r="H36" s="30">
        <v>76</v>
      </c>
      <c r="I36" s="30">
        <v>119</v>
      </c>
      <c r="J36" s="30">
        <v>28</v>
      </c>
      <c r="K36" s="30">
        <v>0</v>
      </c>
      <c r="L36" s="30">
        <v>30</v>
      </c>
      <c r="M36" s="30">
        <v>237</v>
      </c>
      <c r="N36" s="30">
        <v>75</v>
      </c>
      <c r="O36" s="30">
        <v>2</v>
      </c>
      <c r="P36" s="30">
        <v>2</v>
      </c>
      <c r="Q36" s="30">
        <v>0</v>
      </c>
      <c r="R36" s="30">
        <v>1</v>
      </c>
      <c r="S36" s="30">
        <v>41</v>
      </c>
      <c r="T36" s="30">
        <v>3</v>
      </c>
      <c r="U36" s="30">
        <v>12</v>
      </c>
      <c r="V36" s="30">
        <v>85</v>
      </c>
      <c r="W36" s="30">
        <v>12</v>
      </c>
      <c r="X36" s="30">
        <v>0.36299999999999999</v>
      </c>
      <c r="Y36" s="30">
        <v>0.56399999999999995</v>
      </c>
      <c r="Z36" s="29">
        <f>X36+Y36</f>
        <v>0.92699999999999994</v>
      </c>
      <c r="AA36" s="22">
        <f>(0.692*(S36+T36)+0.73*U36+0.865*(I36-(J36+K36+L36))+1.334+J36+1.725*K36+2.065*L36)/(G36+S36-T36+U36+R36)</f>
        <v>0.38908067940552016</v>
      </c>
      <c r="AB36" s="22">
        <f>((AA36-$AA$2000)/1.24+$H$2000/$F$2000)*F36</f>
        <v>83.659686152780296</v>
      </c>
      <c r="AC36" s="22">
        <f>(AB36/F36)/($AB$2000/$F$2000)*100</f>
        <v>169.05868693391434</v>
      </c>
      <c r="AD36" s="22"/>
    </row>
    <row r="37" spans="1:30" ht="15.75" customHeight="1" x14ac:dyDescent="0.15">
      <c r="A37" s="34">
        <v>36</v>
      </c>
      <c r="B37" s="35" t="s">
        <v>3100</v>
      </c>
      <c r="C37" s="48" t="s">
        <v>2647</v>
      </c>
      <c r="D37" s="34">
        <v>0.27600000000000002</v>
      </c>
      <c r="E37" s="34">
        <v>123</v>
      </c>
      <c r="F37" s="33">
        <v>470</v>
      </c>
      <c r="G37" s="34">
        <v>398</v>
      </c>
      <c r="H37" s="34">
        <v>44</v>
      </c>
      <c r="I37" s="34">
        <v>110</v>
      </c>
      <c r="J37" s="34">
        <v>5</v>
      </c>
      <c r="K37" s="34">
        <v>3</v>
      </c>
      <c r="L37" s="34">
        <v>1</v>
      </c>
      <c r="M37" s="34">
        <v>124</v>
      </c>
      <c r="N37" s="34">
        <v>31</v>
      </c>
      <c r="O37" s="34">
        <v>13</v>
      </c>
      <c r="P37" s="34">
        <v>9</v>
      </c>
      <c r="Q37" s="34">
        <v>27</v>
      </c>
      <c r="R37" s="34">
        <v>0</v>
      </c>
      <c r="S37" s="34">
        <v>41</v>
      </c>
      <c r="T37" s="34">
        <v>0</v>
      </c>
      <c r="U37" s="34">
        <v>4</v>
      </c>
      <c r="V37" s="34">
        <v>55</v>
      </c>
      <c r="W37" s="34">
        <v>7</v>
      </c>
      <c r="X37" s="34">
        <v>0.35</v>
      </c>
      <c r="Y37" s="34">
        <v>0.312</v>
      </c>
      <c r="Z37" s="22">
        <f>X37+Y37</f>
        <v>0.66199999999999992</v>
      </c>
      <c r="AA37" s="22">
        <f>(0.692*(S37+T37)+0.73*U37+0.865*(I37-(J37+K37+L37))+1.334+J37+1.725*K37+2.065*L37)/(G37+S37-T37+U37+R37)</f>
        <v>0.29848984198645595</v>
      </c>
      <c r="AB37" s="22">
        <f>((AA37-$AA$2000)/1.24+$H$2000/$F$2000)*F37</f>
        <v>48.616847573195237</v>
      </c>
      <c r="AC37" s="22">
        <f>(AB37/F37)/($AB$2000/$F$2000)*100</f>
        <v>99.080579733553492</v>
      </c>
      <c r="AD37" s="22"/>
    </row>
    <row r="38" spans="1:30" ht="15.75" customHeight="1" x14ac:dyDescent="0.15">
      <c r="A38" s="30">
        <v>37</v>
      </c>
      <c r="B38" s="31" t="s">
        <v>3101</v>
      </c>
      <c r="C38" s="55" t="s">
        <v>2652</v>
      </c>
      <c r="D38" s="30">
        <v>0.27400000000000002</v>
      </c>
      <c r="E38" s="30">
        <v>125</v>
      </c>
      <c r="F38" s="33">
        <v>468</v>
      </c>
      <c r="G38" s="30">
        <v>416</v>
      </c>
      <c r="H38" s="30">
        <v>59</v>
      </c>
      <c r="I38" s="30">
        <v>114</v>
      </c>
      <c r="J38" s="30">
        <v>24</v>
      </c>
      <c r="K38" s="30">
        <v>3</v>
      </c>
      <c r="L38" s="30">
        <v>5</v>
      </c>
      <c r="M38" s="30">
        <v>159</v>
      </c>
      <c r="N38" s="30">
        <v>27</v>
      </c>
      <c r="O38" s="30">
        <v>11</v>
      </c>
      <c r="P38" s="30">
        <v>3</v>
      </c>
      <c r="Q38" s="30">
        <v>11</v>
      </c>
      <c r="R38" s="30">
        <v>3</v>
      </c>
      <c r="S38" s="30">
        <v>35</v>
      </c>
      <c r="T38" s="30">
        <v>0</v>
      </c>
      <c r="U38" s="30">
        <v>3</v>
      </c>
      <c r="V38" s="30">
        <v>54</v>
      </c>
      <c r="W38" s="30">
        <v>7</v>
      </c>
      <c r="X38" s="30">
        <v>0.33300000000000002</v>
      </c>
      <c r="Y38" s="30">
        <v>0.38200000000000001</v>
      </c>
      <c r="Z38" s="22">
        <f>X38+Y38</f>
        <v>0.71500000000000008</v>
      </c>
      <c r="AA38" s="22">
        <f>(0.692*(S38+T38)+0.73*U38+0.865*(I38-(J38+K38+L38))+1.334+J38+1.725*K38+2.065*L38)/(G38+S38-T38+U38+R38)</f>
        <v>0.30235010940919033</v>
      </c>
      <c r="AB38" s="22">
        <f>((AA38-$AA$2000)/1.24+$H$2000/$F$2000)*F38</f>
        <v>49.866907010949404</v>
      </c>
      <c r="AC38" s="22">
        <f>(AB38/F38)/($AB$2000/$F$2000)*100</f>
        <v>102.06249507097944</v>
      </c>
      <c r="AD38" s="22"/>
    </row>
    <row r="39" spans="1:30" ht="15.75" customHeight="1" x14ac:dyDescent="0.15">
      <c r="A39" s="34">
        <v>38</v>
      </c>
      <c r="B39" s="35" t="s">
        <v>3102</v>
      </c>
      <c r="C39" s="56" t="s">
        <v>2653</v>
      </c>
      <c r="D39" s="34">
        <v>0.253</v>
      </c>
      <c r="E39" s="34">
        <v>108</v>
      </c>
      <c r="F39" s="33">
        <v>467</v>
      </c>
      <c r="G39" s="34">
        <v>407</v>
      </c>
      <c r="H39" s="34">
        <v>58</v>
      </c>
      <c r="I39" s="34">
        <v>103</v>
      </c>
      <c r="J39" s="34">
        <v>13</v>
      </c>
      <c r="K39" s="34">
        <v>2</v>
      </c>
      <c r="L39" s="34">
        <v>8</v>
      </c>
      <c r="M39" s="34">
        <v>144</v>
      </c>
      <c r="N39" s="34">
        <v>40</v>
      </c>
      <c r="O39" s="34">
        <v>12</v>
      </c>
      <c r="P39" s="34">
        <v>4</v>
      </c>
      <c r="Q39" s="34">
        <v>0</v>
      </c>
      <c r="R39" s="34">
        <v>1</v>
      </c>
      <c r="S39" s="34">
        <v>46</v>
      </c>
      <c r="T39" s="34">
        <v>1</v>
      </c>
      <c r="U39" s="34">
        <v>13</v>
      </c>
      <c r="V39" s="34">
        <v>91</v>
      </c>
      <c r="W39" s="34">
        <v>8</v>
      </c>
      <c r="X39" s="34">
        <v>0.34699999999999998</v>
      </c>
      <c r="Y39" s="34">
        <v>0.35399999999999998</v>
      </c>
      <c r="Z39" s="22">
        <f>X39+Y39</f>
        <v>0.70099999999999996</v>
      </c>
      <c r="AA39" s="22">
        <f>(0.692*(S39+T39)+0.73*U39+0.865*(I39-(J39+K39+L39))+1.334+J39+1.725*K39+2.065*L39)/(G39+S39-T39+U39+R39)</f>
        <v>0.31227038626609444</v>
      </c>
      <c r="AB39" s="22">
        <f>((AA39-$AA$2000)/1.24+$H$2000/$F$2000)*F39</f>
        <v>53.496458058722972</v>
      </c>
      <c r="AC39" s="22">
        <f>(AB39/F39)/($AB$2000/$F$2000)*100</f>
        <v>109.72554596141755</v>
      </c>
      <c r="AD39" s="22"/>
    </row>
    <row r="40" spans="1:30" ht="15.75" customHeight="1" x14ac:dyDescent="0.15">
      <c r="A40" s="30">
        <v>39</v>
      </c>
      <c r="B40" s="31" t="s">
        <v>3103</v>
      </c>
      <c r="C40" s="52" t="s">
        <v>2646</v>
      </c>
      <c r="D40" s="30">
        <v>0.25700000000000001</v>
      </c>
      <c r="E40" s="30">
        <v>119</v>
      </c>
      <c r="F40" s="33">
        <v>466</v>
      </c>
      <c r="G40" s="30">
        <v>421</v>
      </c>
      <c r="H40" s="30">
        <v>58</v>
      </c>
      <c r="I40" s="30">
        <v>108</v>
      </c>
      <c r="J40" s="30">
        <v>18</v>
      </c>
      <c r="K40" s="30">
        <v>1</v>
      </c>
      <c r="L40" s="30">
        <v>21</v>
      </c>
      <c r="M40" s="30">
        <v>191</v>
      </c>
      <c r="N40" s="30">
        <v>55</v>
      </c>
      <c r="O40" s="30">
        <v>0</v>
      </c>
      <c r="P40" s="30">
        <v>1</v>
      </c>
      <c r="Q40" s="30">
        <v>0</v>
      </c>
      <c r="R40" s="30">
        <v>4</v>
      </c>
      <c r="S40" s="30">
        <v>37</v>
      </c>
      <c r="T40" s="30">
        <v>2</v>
      </c>
      <c r="U40" s="30">
        <v>3</v>
      </c>
      <c r="V40" s="30">
        <v>114</v>
      </c>
      <c r="W40" s="30">
        <v>15</v>
      </c>
      <c r="X40" s="30">
        <v>0.318</v>
      </c>
      <c r="Y40" s="30">
        <v>0.45400000000000001</v>
      </c>
      <c r="Z40" s="22">
        <f>X40+Y40</f>
        <v>0.77200000000000002</v>
      </c>
      <c r="AA40" s="22">
        <f>(0.692*(S40+T40)+0.73*U40+0.865*(I40-(J40+K40+L40))+1.334+J40+1.725*K40+2.065*L40)/(G40+S40-T40+U40+R40)</f>
        <v>0.32920518358531314</v>
      </c>
      <c r="AB40" s="22">
        <f>((AA40-$AA$2000)/1.24+$H$2000/$F$2000)*F40</f>
        <v>59.746110704661703</v>
      </c>
      <c r="AC40" s="22">
        <f>(AB40/F40)/($AB$2000/$F$2000)*100</f>
        <v>122.8070572486869</v>
      </c>
      <c r="AD40" s="22"/>
    </row>
    <row r="41" spans="1:30" ht="15.75" customHeight="1" x14ac:dyDescent="0.15">
      <c r="A41" s="34">
        <v>40</v>
      </c>
      <c r="B41" s="35" t="s">
        <v>3104</v>
      </c>
      <c r="C41" s="57" t="s">
        <v>2654</v>
      </c>
      <c r="D41" s="34">
        <v>0.27400000000000002</v>
      </c>
      <c r="E41" s="34">
        <v>130</v>
      </c>
      <c r="F41" s="33">
        <v>464</v>
      </c>
      <c r="G41" s="34">
        <v>419</v>
      </c>
      <c r="H41" s="34">
        <v>43</v>
      </c>
      <c r="I41" s="34">
        <v>115</v>
      </c>
      <c r="J41" s="34">
        <v>17</v>
      </c>
      <c r="K41" s="34">
        <v>0</v>
      </c>
      <c r="L41" s="34">
        <v>3</v>
      </c>
      <c r="M41" s="34">
        <v>141</v>
      </c>
      <c r="N41" s="34">
        <v>25</v>
      </c>
      <c r="O41" s="34">
        <v>17</v>
      </c>
      <c r="P41" s="34">
        <v>9</v>
      </c>
      <c r="Q41" s="34">
        <v>14</v>
      </c>
      <c r="R41" s="34">
        <v>0</v>
      </c>
      <c r="S41" s="34">
        <v>26</v>
      </c>
      <c r="T41" s="34">
        <v>0</v>
      </c>
      <c r="U41" s="34">
        <v>5</v>
      </c>
      <c r="V41" s="34">
        <v>60</v>
      </c>
      <c r="W41" s="34">
        <v>7</v>
      </c>
      <c r="X41" s="34">
        <v>0.32400000000000001</v>
      </c>
      <c r="Y41" s="34">
        <v>0.33700000000000002</v>
      </c>
      <c r="Z41" s="22">
        <f>X41+Y41</f>
        <v>0.66100000000000003</v>
      </c>
      <c r="AA41" s="22">
        <f>(0.692*(S41+T41)+0.73*U41+0.865*(I41-(J41+K41+L41))+1.334+J41+1.725*K41+2.065*L41)/(G41+S41-T41+U41+R41)</f>
        <v>0.28521333333333332</v>
      </c>
      <c r="AB41" s="22">
        <f>((AA41-$AA$2000)/1.24+$H$2000/$F$2000)*F41</f>
        <v>43.028223082773899</v>
      </c>
      <c r="AC41" s="22">
        <f>(AB41/F41)/($AB$2000/$F$2000)*100</f>
        <v>88.824962584581002</v>
      </c>
      <c r="AD41" s="22"/>
    </row>
    <row r="42" spans="1:30" ht="15.75" customHeight="1" x14ac:dyDescent="0.15">
      <c r="A42" s="30">
        <v>41</v>
      </c>
      <c r="B42" s="31" t="s">
        <v>3105</v>
      </c>
      <c r="C42" s="44" t="s">
        <v>2653</v>
      </c>
      <c r="D42" s="30">
        <v>0.22500000000000001</v>
      </c>
      <c r="E42" s="30">
        <v>132</v>
      </c>
      <c r="F42" s="33">
        <v>462</v>
      </c>
      <c r="G42" s="30">
        <v>405</v>
      </c>
      <c r="H42" s="30">
        <v>42</v>
      </c>
      <c r="I42" s="30">
        <v>91</v>
      </c>
      <c r="J42" s="30">
        <v>16</v>
      </c>
      <c r="K42" s="30">
        <v>0</v>
      </c>
      <c r="L42" s="30">
        <v>18</v>
      </c>
      <c r="M42" s="30">
        <v>161</v>
      </c>
      <c r="N42" s="30">
        <v>57</v>
      </c>
      <c r="O42" s="30">
        <v>1</v>
      </c>
      <c r="P42" s="30">
        <v>0</v>
      </c>
      <c r="Q42" s="30">
        <v>1</v>
      </c>
      <c r="R42" s="30">
        <v>3</v>
      </c>
      <c r="S42" s="30">
        <v>48</v>
      </c>
      <c r="T42" s="30">
        <v>1</v>
      </c>
      <c r="U42" s="30">
        <v>5</v>
      </c>
      <c r="V42" s="30">
        <v>95</v>
      </c>
      <c r="W42" s="30">
        <v>3</v>
      </c>
      <c r="X42" s="30">
        <v>0.312</v>
      </c>
      <c r="Y42" s="30">
        <v>0.39800000000000002</v>
      </c>
      <c r="Z42" s="22">
        <f>X42+Y42</f>
        <v>0.71</v>
      </c>
      <c r="AA42" s="22">
        <f>(0.692*(S42+T42)+0.73*U42+0.865*(I42-(J42+K42+L42))+1.334+J42+1.725*K42+2.065*L42)/(G42+S42-T42+U42+R42)</f>
        <v>0.30731956521739134</v>
      </c>
      <c r="AB42" s="22">
        <f>((AA42-$AA$2000)/1.24+$H$2000/$F$2000)*F42</f>
        <v>51.079110741416265</v>
      </c>
      <c r="AC42" s="22">
        <f>(AB42/F42)/($AB$2000/$F$2000)*100</f>
        <v>105.90121785113296</v>
      </c>
      <c r="AD42" s="22"/>
    </row>
    <row r="43" spans="1:30" ht="15.75" customHeight="1" x14ac:dyDescent="0.15">
      <c r="A43" s="34">
        <v>42</v>
      </c>
      <c r="B43" s="35" t="s">
        <v>3106</v>
      </c>
      <c r="C43" s="43" t="s">
        <v>2649</v>
      </c>
      <c r="D43" s="34">
        <v>0.25600000000000001</v>
      </c>
      <c r="E43" s="34">
        <v>127</v>
      </c>
      <c r="F43" s="33">
        <v>456</v>
      </c>
      <c r="G43" s="34">
        <v>422</v>
      </c>
      <c r="H43" s="34">
        <v>49</v>
      </c>
      <c r="I43" s="34">
        <v>108</v>
      </c>
      <c r="J43" s="34">
        <v>10</v>
      </c>
      <c r="K43" s="34">
        <v>1</v>
      </c>
      <c r="L43" s="34">
        <v>1</v>
      </c>
      <c r="M43" s="34">
        <v>123</v>
      </c>
      <c r="N43" s="34">
        <v>26</v>
      </c>
      <c r="O43" s="34">
        <v>39</v>
      </c>
      <c r="P43" s="34">
        <v>8</v>
      </c>
      <c r="Q43" s="34">
        <v>6</v>
      </c>
      <c r="R43" s="34">
        <v>1</v>
      </c>
      <c r="S43" s="34">
        <v>23</v>
      </c>
      <c r="T43" s="34">
        <v>1</v>
      </c>
      <c r="U43" s="34">
        <v>4</v>
      </c>
      <c r="V43" s="34">
        <v>81</v>
      </c>
      <c r="W43" s="34">
        <v>3</v>
      </c>
      <c r="X43" s="34">
        <v>0.3</v>
      </c>
      <c r="Y43" s="34">
        <v>0.29099999999999998</v>
      </c>
      <c r="Z43" s="22">
        <f>X43+Y43</f>
        <v>0.59099999999999997</v>
      </c>
      <c r="AA43" s="22">
        <f>(0.692*(S43+T43)+0.73*U43+0.865*(I43-(J43+K43+L43))+1.334+J43+1.725*K43+2.065*L43)/(G43+S43-T43+U43+R43)</f>
        <v>0.26212026726057902</v>
      </c>
      <c r="AB43" s="22">
        <f>((AA43-$AA$2000)/1.24+$H$2000/$F$2000)*F43</f>
        <v>33.79406835370208</v>
      </c>
      <c r="AC43" s="22">
        <f>(AB43/F43)/($AB$2000/$F$2000)*100</f>
        <v>70.9864140153839</v>
      </c>
      <c r="AD43" s="22"/>
    </row>
    <row r="44" spans="1:30" ht="15.75" customHeight="1" x14ac:dyDescent="0.15">
      <c r="A44" s="30">
        <v>43</v>
      </c>
      <c r="B44" s="31" t="s">
        <v>3107</v>
      </c>
      <c r="C44" s="39" t="s">
        <v>2649</v>
      </c>
      <c r="D44" s="30">
        <v>0.251</v>
      </c>
      <c r="E44" s="30">
        <v>126</v>
      </c>
      <c r="F44" s="33">
        <v>447</v>
      </c>
      <c r="G44" s="30">
        <v>378</v>
      </c>
      <c r="H44" s="30">
        <v>43</v>
      </c>
      <c r="I44" s="30">
        <v>95</v>
      </c>
      <c r="J44" s="30">
        <v>26</v>
      </c>
      <c r="K44" s="30">
        <v>0</v>
      </c>
      <c r="L44" s="30">
        <v>17</v>
      </c>
      <c r="M44" s="30">
        <v>172</v>
      </c>
      <c r="N44" s="30">
        <v>45</v>
      </c>
      <c r="O44" s="30">
        <v>0</v>
      </c>
      <c r="P44" s="30">
        <v>0</v>
      </c>
      <c r="Q44" s="30">
        <v>0</v>
      </c>
      <c r="R44" s="30">
        <v>3</v>
      </c>
      <c r="S44" s="30">
        <v>63</v>
      </c>
      <c r="T44" s="30">
        <v>5</v>
      </c>
      <c r="U44" s="30">
        <v>3</v>
      </c>
      <c r="V44" s="30">
        <v>119</v>
      </c>
      <c r="W44" s="30">
        <v>9</v>
      </c>
      <c r="X44" s="30">
        <v>0.36</v>
      </c>
      <c r="Y44" s="30">
        <v>0.45500000000000002</v>
      </c>
      <c r="Z44" s="22">
        <f>X44+Y44</f>
        <v>0.81499999999999995</v>
      </c>
      <c r="AA44" s="22">
        <f>(0.692*(S44+T44)+0.73*U44+0.865*(I44-(J44+K44+L44))+1.334+J44+1.725*K44+2.065*L44)/(G44+S44-T44+U44+R44)</f>
        <v>0.35444570135746606</v>
      </c>
      <c r="AB44" s="22">
        <f>((AA44-$AA$2000)/1.24+$H$2000/$F$2000)*F44</f>
        <v>66.408910034533577</v>
      </c>
      <c r="AC44" s="22">
        <f>(AB44/F44)/($AB$2000/$F$2000)*100</f>
        <v>142.30443368071695</v>
      </c>
      <c r="AD44" s="22"/>
    </row>
    <row r="45" spans="1:30" ht="15.75" customHeight="1" x14ac:dyDescent="0.15">
      <c r="A45" s="34">
        <v>43</v>
      </c>
      <c r="B45" s="35" t="s">
        <v>3108</v>
      </c>
      <c r="C45" s="56" t="s">
        <v>2653</v>
      </c>
      <c r="D45" s="34">
        <v>0.27700000000000002</v>
      </c>
      <c r="E45" s="34">
        <v>113</v>
      </c>
      <c r="F45" s="33">
        <v>447</v>
      </c>
      <c r="G45" s="34">
        <v>412</v>
      </c>
      <c r="H45" s="34">
        <v>62</v>
      </c>
      <c r="I45" s="34">
        <v>114</v>
      </c>
      <c r="J45" s="34">
        <v>18</v>
      </c>
      <c r="K45" s="34">
        <v>1</v>
      </c>
      <c r="L45" s="34">
        <v>38</v>
      </c>
      <c r="M45" s="34">
        <v>248</v>
      </c>
      <c r="N45" s="34">
        <v>81</v>
      </c>
      <c r="O45" s="34">
        <v>0</v>
      </c>
      <c r="P45" s="34">
        <v>1</v>
      </c>
      <c r="Q45" s="34">
        <v>0</v>
      </c>
      <c r="R45" s="34">
        <v>2</v>
      </c>
      <c r="S45" s="34">
        <v>27</v>
      </c>
      <c r="T45" s="34">
        <v>0</v>
      </c>
      <c r="U45" s="34">
        <v>6</v>
      </c>
      <c r="V45" s="34">
        <v>107</v>
      </c>
      <c r="W45" s="34">
        <v>8</v>
      </c>
      <c r="X45" s="34">
        <v>0.32900000000000001</v>
      </c>
      <c r="Y45" s="34">
        <v>0.60199999999999998</v>
      </c>
      <c r="Z45" s="22">
        <f>X45+Y45</f>
        <v>0.93100000000000005</v>
      </c>
      <c r="AA45" s="22">
        <f>(0.692*(S45+T45)+0.73*U45+0.865*(I45-(J45+K45+L45))+1.334+J45+1.725*K45+2.065*L45)/(G45+S45-T45+U45+R45)</f>
        <v>0.38455928411633111</v>
      </c>
      <c r="AB45" s="22">
        <f>((AA45-$AA$2000)/1.24+$H$2000/$F$2000)*F45</f>
        <v>77.264370916156707</v>
      </c>
      <c r="AC45" s="22">
        <f>(AB45/F45)/($AB$2000/$F$2000)*100</f>
        <v>165.56607451022685</v>
      </c>
      <c r="AD45" s="22"/>
    </row>
    <row r="46" spans="1:30" ht="15.75" customHeight="1" x14ac:dyDescent="0.15">
      <c r="A46" s="30">
        <v>45</v>
      </c>
      <c r="B46" s="31" t="s">
        <v>3109</v>
      </c>
      <c r="C46" s="39" t="s">
        <v>2649</v>
      </c>
      <c r="D46" s="30">
        <v>0.29299999999999998</v>
      </c>
      <c r="E46" s="30">
        <v>123</v>
      </c>
      <c r="F46" s="33">
        <v>445</v>
      </c>
      <c r="G46" s="30">
        <v>403</v>
      </c>
      <c r="H46" s="30">
        <v>37</v>
      </c>
      <c r="I46" s="30">
        <v>118</v>
      </c>
      <c r="J46" s="30">
        <v>13</v>
      </c>
      <c r="K46" s="30">
        <v>0</v>
      </c>
      <c r="L46" s="30">
        <v>9</v>
      </c>
      <c r="M46" s="30">
        <v>158</v>
      </c>
      <c r="N46" s="30">
        <v>40</v>
      </c>
      <c r="O46" s="30">
        <v>4</v>
      </c>
      <c r="P46" s="30">
        <v>1</v>
      </c>
      <c r="Q46" s="30">
        <v>0</v>
      </c>
      <c r="R46" s="30">
        <v>5</v>
      </c>
      <c r="S46" s="30">
        <v>33</v>
      </c>
      <c r="T46" s="30">
        <v>0</v>
      </c>
      <c r="U46" s="30">
        <v>4</v>
      </c>
      <c r="V46" s="30">
        <v>74</v>
      </c>
      <c r="W46" s="30">
        <v>12</v>
      </c>
      <c r="X46" s="30">
        <v>0.34799999999999998</v>
      </c>
      <c r="Y46" s="30">
        <v>0.39200000000000002</v>
      </c>
      <c r="Z46" s="22">
        <f>X46+Y46</f>
        <v>0.74</v>
      </c>
      <c r="AA46" s="22">
        <f>(0.692*(S46+T46)+0.73*U46+0.865*(I46-(J46+K46+L46))+1.334+J46+1.725*K46+2.065*L46)/(G46+S46-T46+U46+R46)</f>
        <v>0.31846067415730339</v>
      </c>
      <c r="AB46" s="22">
        <f>((AA46-$AA$2000)/1.24+$H$2000/$F$2000)*F46</f>
        <v>53.197796910469926</v>
      </c>
      <c r="AC46" s="22">
        <f>(AB46/F46)/($AB$2000/$F$2000)*100</f>
        <v>114.50731685562229</v>
      </c>
      <c r="AD46" s="22"/>
    </row>
    <row r="47" spans="1:30" ht="15.75" customHeight="1" x14ac:dyDescent="0.15">
      <c r="A47" s="34">
        <v>46</v>
      </c>
      <c r="B47" s="35" t="s">
        <v>3110</v>
      </c>
      <c r="C47" s="45" t="s">
        <v>2651</v>
      </c>
      <c r="D47" s="34">
        <v>0.28000000000000003</v>
      </c>
      <c r="E47" s="34">
        <v>114</v>
      </c>
      <c r="F47" s="33">
        <v>442</v>
      </c>
      <c r="G47" s="34">
        <v>400</v>
      </c>
      <c r="H47" s="34">
        <v>46</v>
      </c>
      <c r="I47" s="34">
        <v>112</v>
      </c>
      <c r="J47" s="34">
        <v>17</v>
      </c>
      <c r="K47" s="34">
        <v>1</v>
      </c>
      <c r="L47" s="34">
        <v>10</v>
      </c>
      <c r="M47" s="34">
        <v>161</v>
      </c>
      <c r="N47" s="34">
        <v>34</v>
      </c>
      <c r="O47" s="34">
        <v>15</v>
      </c>
      <c r="P47" s="34">
        <v>4</v>
      </c>
      <c r="Q47" s="34">
        <v>1</v>
      </c>
      <c r="R47" s="34">
        <v>0</v>
      </c>
      <c r="S47" s="34">
        <v>33</v>
      </c>
      <c r="T47" s="34">
        <v>1</v>
      </c>
      <c r="U47" s="34">
        <v>8</v>
      </c>
      <c r="V47" s="34">
        <v>76</v>
      </c>
      <c r="W47" s="34">
        <v>4</v>
      </c>
      <c r="X47" s="34">
        <v>0.34699999999999998</v>
      </c>
      <c r="Y47" s="34">
        <v>0.40300000000000002</v>
      </c>
      <c r="Z47" s="22">
        <f>X47+Y47</f>
        <v>0.75</v>
      </c>
      <c r="AA47" s="22">
        <f>(0.692*(S47+T47)+0.73*U47+0.865*(I47-(J47+K47+L47))+1.334+J47+1.725*K47+2.065*L47)/(G47+S47-T47+U47+R47)</f>
        <v>0.32440227272727273</v>
      </c>
      <c r="AB47" s="22">
        <f>((AA47-$AA$2000)/1.24+$H$2000/$F$2000)*F47</f>
        <v>54.957052470854705</v>
      </c>
      <c r="AC47" s="22">
        <f>(AB47/F47)/($AB$2000/$F$2000)*100</f>
        <v>119.09698434867634</v>
      </c>
      <c r="AD47" s="22"/>
    </row>
    <row r="48" spans="1:30" ht="15.75" customHeight="1" x14ac:dyDescent="0.15">
      <c r="A48" s="30">
        <v>47</v>
      </c>
      <c r="B48" s="31" t="s">
        <v>3111</v>
      </c>
      <c r="C48" s="46" t="s">
        <v>2648</v>
      </c>
      <c r="D48" s="30">
        <v>0.252</v>
      </c>
      <c r="E48" s="30">
        <v>113</v>
      </c>
      <c r="F48" s="33">
        <v>438</v>
      </c>
      <c r="G48" s="30">
        <v>393</v>
      </c>
      <c r="H48" s="30">
        <v>44</v>
      </c>
      <c r="I48" s="30">
        <v>99</v>
      </c>
      <c r="J48" s="30">
        <v>14</v>
      </c>
      <c r="K48" s="30">
        <v>1</v>
      </c>
      <c r="L48" s="30">
        <v>6</v>
      </c>
      <c r="M48" s="30">
        <v>133</v>
      </c>
      <c r="N48" s="30">
        <v>33</v>
      </c>
      <c r="O48" s="30">
        <v>3</v>
      </c>
      <c r="P48" s="30">
        <v>3</v>
      </c>
      <c r="Q48" s="30">
        <v>2</v>
      </c>
      <c r="R48" s="30">
        <v>5</v>
      </c>
      <c r="S48" s="30">
        <v>33</v>
      </c>
      <c r="T48" s="30">
        <v>1</v>
      </c>
      <c r="U48" s="30">
        <v>5</v>
      </c>
      <c r="V48" s="30">
        <v>46</v>
      </c>
      <c r="W48" s="30">
        <v>3</v>
      </c>
      <c r="X48" s="30">
        <v>0.314</v>
      </c>
      <c r="Y48" s="30">
        <v>0.33800000000000002</v>
      </c>
      <c r="Z48" s="22">
        <f>X48+Y48</f>
        <v>0.65200000000000002</v>
      </c>
      <c r="AA48" s="22">
        <f>(0.692*(S48+T48)+0.73*U48+0.865*(I48-(J48+K48+L48))+1.334+J48+1.725*K48+2.065*L48)/(G48+S48-T48+U48+R48)</f>
        <v>0.2852804597701149</v>
      </c>
      <c r="AB48" s="22">
        <f>((AA48-$AA$2000)/1.24+$H$2000/$F$2000)*F48</f>
        <v>40.640869648074521</v>
      </c>
      <c r="AC48" s="22">
        <f>(AB48/F48)/($AB$2000/$F$2000)*100</f>
        <v>88.876815300847994</v>
      </c>
      <c r="AD48" s="22"/>
    </row>
    <row r="49" spans="1:30" ht="15.75" customHeight="1" x14ac:dyDescent="0.15">
      <c r="A49" s="34">
        <v>48</v>
      </c>
      <c r="B49" s="35" t="s">
        <v>3112</v>
      </c>
      <c r="C49" s="36" t="s">
        <v>2646</v>
      </c>
      <c r="D49" s="34">
        <v>0.25700000000000001</v>
      </c>
      <c r="E49" s="34">
        <v>118</v>
      </c>
      <c r="F49" s="33">
        <v>429</v>
      </c>
      <c r="G49" s="34">
        <v>401</v>
      </c>
      <c r="H49" s="34">
        <v>41</v>
      </c>
      <c r="I49" s="34">
        <v>103</v>
      </c>
      <c r="J49" s="34">
        <v>15</v>
      </c>
      <c r="K49" s="34">
        <v>0</v>
      </c>
      <c r="L49" s="34">
        <v>17</v>
      </c>
      <c r="M49" s="34">
        <v>169</v>
      </c>
      <c r="N49" s="34">
        <v>61</v>
      </c>
      <c r="O49" s="34">
        <v>4</v>
      </c>
      <c r="P49" s="34">
        <v>1</v>
      </c>
      <c r="Q49" s="34">
        <v>0</v>
      </c>
      <c r="R49" s="34">
        <v>4</v>
      </c>
      <c r="S49" s="34">
        <v>22</v>
      </c>
      <c r="T49" s="34">
        <v>1</v>
      </c>
      <c r="U49" s="34">
        <v>2</v>
      </c>
      <c r="V49" s="34">
        <v>92</v>
      </c>
      <c r="W49" s="34">
        <v>9</v>
      </c>
      <c r="X49" s="34">
        <v>0.29599999999999999</v>
      </c>
      <c r="Y49" s="34">
        <v>0.42099999999999999</v>
      </c>
      <c r="Z49" s="22">
        <f>X49+Y49</f>
        <v>0.71699999999999997</v>
      </c>
      <c r="AA49" s="22">
        <f>(0.692*(S49+T49)+0.73*U49+0.865*(I49-(J49+K49+L49))+1.334+J49+1.725*K49+2.065*L49)/(G49+S49-T49+U49+R49)</f>
        <v>0.3042757009345794</v>
      </c>
      <c r="AB49" s="22">
        <f>((AA49-$AA$2000)/1.24+$H$2000/$F$2000)*F49</f>
        <v>46.377523978632581</v>
      </c>
      <c r="AC49" s="22">
        <f>(AB49/F49)/($AB$2000/$F$2000)*100</f>
        <v>103.54994406722224</v>
      </c>
      <c r="AD49" s="22"/>
    </row>
    <row r="50" spans="1:30" ht="15.75" customHeight="1" x14ac:dyDescent="0.15">
      <c r="A50" s="30">
        <v>49</v>
      </c>
      <c r="B50" s="31" t="s">
        <v>3113</v>
      </c>
      <c r="C50" s="37" t="s">
        <v>2647</v>
      </c>
      <c r="D50" s="30">
        <v>0.26500000000000001</v>
      </c>
      <c r="E50" s="30">
        <v>103</v>
      </c>
      <c r="F50" s="33">
        <v>428</v>
      </c>
      <c r="G50" s="30">
        <v>374</v>
      </c>
      <c r="H50" s="30">
        <v>41</v>
      </c>
      <c r="I50" s="30">
        <v>99</v>
      </c>
      <c r="J50" s="30">
        <v>21</v>
      </c>
      <c r="K50" s="30">
        <v>0</v>
      </c>
      <c r="L50" s="30">
        <v>21</v>
      </c>
      <c r="M50" s="30">
        <v>183</v>
      </c>
      <c r="N50" s="30">
        <v>48</v>
      </c>
      <c r="O50" s="30">
        <v>0</v>
      </c>
      <c r="P50" s="30">
        <v>2</v>
      </c>
      <c r="Q50" s="30">
        <v>0</v>
      </c>
      <c r="R50" s="30">
        <v>9</v>
      </c>
      <c r="S50" s="30">
        <v>39</v>
      </c>
      <c r="T50" s="30">
        <v>0</v>
      </c>
      <c r="U50" s="30">
        <v>6</v>
      </c>
      <c r="V50" s="30">
        <v>65</v>
      </c>
      <c r="W50" s="30">
        <v>7</v>
      </c>
      <c r="X50" s="30">
        <v>0.33600000000000002</v>
      </c>
      <c r="Y50" s="30">
        <v>0.48899999999999999</v>
      </c>
      <c r="Z50" s="22">
        <f>X50+Y50</f>
        <v>0.82499999999999996</v>
      </c>
      <c r="AA50" s="22">
        <f>(0.692*(S50+T50)+0.73*U50+0.865*(I50-(J50+K50+L50))+1.334+J50+1.725*K50+2.065*L50)/(G50+S50-T50+U50+R50)</f>
        <v>0.34199065420560754</v>
      </c>
      <c r="AB50" s="22">
        <f>((AA50-$AA$2000)/1.24+$H$2000/$F$2000)*F50</f>
        <v>59.287159797616177</v>
      </c>
      <c r="AC50" s="22">
        <f>(AB50/F50)/($AB$2000/$F$2000)*100</f>
        <v>132.68336548431139</v>
      </c>
      <c r="AD50" s="22"/>
    </row>
    <row r="51" spans="1:30" ht="15.75" customHeight="1" x14ac:dyDescent="0.15">
      <c r="A51" s="34">
        <v>50</v>
      </c>
      <c r="B51" s="35" t="s">
        <v>3114</v>
      </c>
      <c r="C51" s="50" t="s">
        <v>198</v>
      </c>
      <c r="D51" s="34">
        <v>0.254</v>
      </c>
      <c r="E51" s="34">
        <v>121</v>
      </c>
      <c r="F51" s="33">
        <v>421</v>
      </c>
      <c r="G51" s="34">
        <v>389</v>
      </c>
      <c r="H51" s="34">
        <v>29</v>
      </c>
      <c r="I51" s="34">
        <v>99</v>
      </c>
      <c r="J51" s="34">
        <v>12</v>
      </c>
      <c r="K51" s="34">
        <v>1</v>
      </c>
      <c r="L51" s="34">
        <v>6</v>
      </c>
      <c r="M51" s="34">
        <v>131</v>
      </c>
      <c r="N51" s="34">
        <v>26</v>
      </c>
      <c r="O51" s="34">
        <v>3</v>
      </c>
      <c r="P51" s="34">
        <v>3</v>
      </c>
      <c r="Q51" s="34">
        <v>1</v>
      </c>
      <c r="R51" s="34">
        <v>1</v>
      </c>
      <c r="S51" s="34">
        <v>27</v>
      </c>
      <c r="T51" s="34">
        <v>1</v>
      </c>
      <c r="U51" s="34">
        <v>3</v>
      </c>
      <c r="V51" s="34">
        <v>55</v>
      </c>
      <c r="W51" s="34">
        <v>6</v>
      </c>
      <c r="X51" s="34">
        <v>0.307</v>
      </c>
      <c r="Y51" s="34">
        <v>0.33700000000000002</v>
      </c>
      <c r="Z51" s="22">
        <f>X51+Y51</f>
        <v>0.64400000000000002</v>
      </c>
      <c r="AA51" s="22">
        <f>(0.692*(S51+T51)+0.73*U51+0.865*(I51-(J51+K51+L51))+1.334+J51+1.725*K51+2.065*L51)/(G51+S51-T51+U51+R51)</f>
        <v>0.28213603818615751</v>
      </c>
      <c r="AB51" s="22">
        <f>((AA51-$AA$2000)/1.24+$H$2000/$F$2000)*F51</f>
        <v>37.995902452206231</v>
      </c>
      <c r="AC51" s="22">
        <f>(AB51/F51)/($AB$2000/$F$2000)*100</f>
        <v>86.44786468117978</v>
      </c>
      <c r="AD51" s="22"/>
    </row>
    <row r="52" spans="1:30" ht="15.75" customHeight="1" x14ac:dyDescent="0.15">
      <c r="A52" s="30">
        <v>51</v>
      </c>
      <c r="B52" s="31" t="s">
        <v>3115</v>
      </c>
      <c r="C52" s="32" t="s">
        <v>2645</v>
      </c>
      <c r="D52" s="30">
        <v>0.30599999999999999</v>
      </c>
      <c r="E52" s="30">
        <v>90</v>
      </c>
      <c r="F52" s="33">
        <v>414</v>
      </c>
      <c r="G52" s="30">
        <v>372</v>
      </c>
      <c r="H52" s="30">
        <v>51</v>
      </c>
      <c r="I52" s="30">
        <v>114</v>
      </c>
      <c r="J52" s="30">
        <v>15</v>
      </c>
      <c r="K52" s="30">
        <v>1</v>
      </c>
      <c r="L52" s="30">
        <v>5</v>
      </c>
      <c r="M52" s="30">
        <v>146</v>
      </c>
      <c r="N52" s="30">
        <v>17</v>
      </c>
      <c r="O52" s="30">
        <v>12</v>
      </c>
      <c r="P52" s="30">
        <v>6</v>
      </c>
      <c r="Q52" s="30">
        <v>0</v>
      </c>
      <c r="R52" s="30">
        <v>1</v>
      </c>
      <c r="S52" s="30">
        <v>40</v>
      </c>
      <c r="T52" s="30">
        <v>2</v>
      </c>
      <c r="U52" s="30">
        <v>1</v>
      </c>
      <c r="V52" s="30">
        <v>53</v>
      </c>
      <c r="W52" s="30">
        <v>4</v>
      </c>
      <c r="X52" s="30">
        <v>0.374</v>
      </c>
      <c r="Y52" s="30">
        <v>0.39200000000000002</v>
      </c>
      <c r="Z52" s="22">
        <f>X52+Y52</f>
        <v>0.76600000000000001</v>
      </c>
      <c r="AA52" s="22">
        <f>(0.692*(S52+T52)+0.73*U52+0.865*(I52-(J52+K52+L52))+1.334+J52+1.725*K52+2.065*L52)/(G52+S52-T52+U52+R52)</f>
        <v>0.3364635922330097</v>
      </c>
      <c r="AB52" s="22">
        <f>((AA52-$AA$2000)/1.24+$H$2000/$F$2000)*F52</f>
        <v>55.502534648507094</v>
      </c>
      <c r="AC52" s="22">
        <f>(AB52/F52)/($AB$2000/$F$2000)*100</f>
        <v>128.4139123448916</v>
      </c>
      <c r="AD52" s="22"/>
    </row>
    <row r="53" spans="1:30" ht="15.75" customHeight="1" x14ac:dyDescent="0.15">
      <c r="A53" s="34">
        <v>52</v>
      </c>
      <c r="B53" s="35" t="s">
        <v>3116</v>
      </c>
      <c r="C53" s="42" t="s">
        <v>2652</v>
      </c>
      <c r="D53" s="34">
        <v>0.246</v>
      </c>
      <c r="E53" s="34">
        <v>102</v>
      </c>
      <c r="F53" s="33">
        <v>406</v>
      </c>
      <c r="G53" s="34">
        <v>362</v>
      </c>
      <c r="H53" s="34">
        <v>45</v>
      </c>
      <c r="I53" s="34">
        <v>89</v>
      </c>
      <c r="J53" s="34">
        <v>14</v>
      </c>
      <c r="K53" s="34">
        <v>2</v>
      </c>
      <c r="L53" s="34">
        <v>24</v>
      </c>
      <c r="M53" s="34">
        <v>179</v>
      </c>
      <c r="N53" s="34">
        <v>70</v>
      </c>
      <c r="O53" s="34">
        <v>0</v>
      </c>
      <c r="P53" s="34">
        <v>0</v>
      </c>
      <c r="Q53" s="34">
        <v>0</v>
      </c>
      <c r="R53" s="34">
        <v>3</v>
      </c>
      <c r="S53" s="34">
        <v>38</v>
      </c>
      <c r="T53" s="34">
        <v>1</v>
      </c>
      <c r="U53" s="34">
        <v>3</v>
      </c>
      <c r="V53" s="34">
        <v>142</v>
      </c>
      <c r="W53" s="34">
        <v>9</v>
      </c>
      <c r="X53" s="34">
        <v>0.32</v>
      </c>
      <c r="Y53" s="34">
        <v>0.49399999999999999</v>
      </c>
      <c r="Z53" s="22">
        <f>X53+Y53</f>
        <v>0.81400000000000006</v>
      </c>
      <c r="AA53" s="22">
        <f>(0.692*(S53+T53)+0.73*U53+0.865*(I53-(J53+K53+L53))+1.334+J53+1.725*K53+2.065*L53)/(G53+S53-T53+U53+R53)</f>
        <v>0.34544938271604941</v>
      </c>
      <c r="AB53" s="22">
        <f>((AA53-$AA$2000)/1.24+$H$2000/$F$2000)*F53</f>
        <v>57.372143624348723</v>
      </c>
      <c r="AC53" s="22">
        <f>(AB53/F53)/($AB$2000/$F$2000)*100</f>
        <v>135.3551067042431</v>
      </c>
      <c r="AD53" s="22"/>
    </row>
    <row r="54" spans="1:30" ht="15.75" customHeight="1" x14ac:dyDescent="0.15">
      <c r="A54" s="30">
        <v>53</v>
      </c>
      <c r="B54" s="31" t="s">
        <v>3117</v>
      </c>
      <c r="C54" s="53" t="s">
        <v>198</v>
      </c>
      <c r="D54" s="30">
        <v>0.25700000000000001</v>
      </c>
      <c r="E54" s="30">
        <v>101</v>
      </c>
      <c r="F54" s="33">
        <v>401</v>
      </c>
      <c r="G54" s="30">
        <v>369</v>
      </c>
      <c r="H54" s="30">
        <v>28</v>
      </c>
      <c r="I54" s="30">
        <v>95</v>
      </c>
      <c r="J54" s="30">
        <v>12</v>
      </c>
      <c r="K54" s="30">
        <v>4</v>
      </c>
      <c r="L54" s="30">
        <v>1</v>
      </c>
      <c r="M54" s="30">
        <v>118</v>
      </c>
      <c r="N54" s="30">
        <v>23</v>
      </c>
      <c r="O54" s="30">
        <v>4</v>
      </c>
      <c r="P54" s="30">
        <v>2</v>
      </c>
      <c r="Q54" s="30">
        <v>2</v>
      </c>
      <c r="R54" s="30">
        <v>1</v>
      </c>
      <c r="S54" s="30">
        <v>25</v>
      </c>
      <c r="T54" s="30">
        <v>1</v>
      </c>
      <c r="U54" s="30">
        <v>4</v>
      </c>
      <c r="V54" s="30">
        <v>50</v>
      </c>
      <c r="W54" s="30">
        <v>5</v>
      </c>
      <c r="X54" s="30">
        <v>0.311</v>
      </c>
      <c r="Y54" s="30">
        <v>0.32</v>
      </c>
      <c r="Z54" s="22">
        <f>X54+Y54</f>
        <v>0.63100000000000001</v>
      </c>
      <c r="AA54" s="22">
        <f>(0.692*(S54+T54)+0.73*U54+0.865*(I54-(J54+K54+L54))+1.334+J54+1.725*K54+2.065*L54)/(G54+S54-T54+U54+R54)</f>
        <v>0.27809296482412066</v>
      </c>
      <c r="AB54" s="22">
        <f>((AA54-$AA$2000)/1.24+$H$2000/$F$2000)*F54</f>
        <v>34.883393700257834</v>
      </c>
      <c r="AC54" s="22">
        <f>(AB54/F54)/($AB$2000/$F$2000)*100</f>
        <v>83.324738444486016</v>
      </c>
      <c r="AD54" s="22"/>
    </row>
    <row r="55" spans="1:30" ht="15.75" customHeight="1" x14ac:dyDescent="0.15">
      <c r="A55" s="34">
        <v>54</v>
      </c>
      <c r="B55" s="35" t="s">
        <v>3118</v>
      </c>
      <c r="C55" s="40" t="s">
        <v>2650</v>
      </c>
      <c r="D55" s="34">
        <v>0.26</v>
      </c>
      <c r="E55" s="34">
        <v>99</v>
      </c>
      <c r="F55" s="33">
        <v>398</v>
      </c>
      <c r="G55" s="34">
        <v>339</v>
      </c>
      <c r="H55" s="34">
        <v>49</v>
      </c>
      <c r="I55" s="34">
        <v>88</v>
      </c>
      <c r="J55" s="34">
        <v>16</v>
      </c>
      <c r="K55" s="34">
        <v>0</v>
      </c>
      <c r="L55" s="34">
        <v>20</v>
      </c>
      <c r="M55" s="34">
        <v>164</v>
      </c>
      <c r="N55" s="34">
        <v>49</v>
      </c>
      <c r="O55" s="34">
        <v>0</v>
      </c>
      <c r="P55" s="34">
        <v>0</v>
      </c>
      <c r="Q55" s="34">
        <v>0</v>
      </c>
      <c r="R55" s="34">
        <v>2</v>
      </c>
      <c r="S55" s="34">
        <v>55</v>
      </c>
      <c r="T55" s="34">
        <v>3</v>
      </c>
      <c r="U55" s="34">
        <v>2</v>
      </c>
      <c r="V55" s="34">
        <v>103</v>
      </c>
      <c r="W55" s="34">
        <v>4</v>
      </c>
      <c r="X55" s="34">
        <v>0.36399999999999999</v>
      </c>
      <c r="Y55" s="34">
        <v>0.48399999999999999</v>
      </c>
      <c r="Z55" s="22">
        <f>X55+Y55</f>
        <v>0.84799999999999998</v>
      </c>
      <c r="AA55" s="22">
        <f>(0.692*(S55+T55)+0.73*U55+0.865*(I55-(J55+K55+L55))+1.334+J55+1.725*K55+2.065*L55)/(G55+S55-T55+U55+R55)</f>
        <v>0.36762025316455693</v>
      </c>
      <c r="AB55" s="22">
        <f>((AA55-$AA$2000)/1.24+$H$2000/$F$2000)*F55</f>
        <v>63.357792260293202</v>
      </c>
      <c r="AC55" s="22">
        <f>(AB55/F55)/($AB$2000/$F$2000)*100</f>
        <v>152.48129289671638</v>
      </c>
      <c r="AD55" s="22"/>
    </row>
    <row r="56" spans="1:30" ht="15.75" customHeight="1" x14ac:dyDescent="0.15">
      <c r="A56" s="30">
        <v>55</v>
      </c>
      <c r="B56" s="31" t="s">
        <v>3119</v>
      </c>
      <c r="C56" s="41" t="s">
        <v>2651</v>
      </c>
      <c r="D56" s="30">
        <v>0.26400000000000001</v>
      </c>
      <c r="E56" s="30">
        <v>112</v>
      </c>
      <c r="F56" s="33">
        <v>397</v>
      </c>
      <c r="G56" s="30">
        <v>360</v>
      </c>
      <c r="H56" s="30">
        <v>30</v>
      </c>
      <c r="I56" s="30">
        <v>95</v>
      </c>
      <c r="J56" s="30">
        <v>20</v>
      </c>
      <c r="K56" s="30">
        <v>1</v>
      </c>
      <c r="L56" s="30">
        <v>7</v>
      </c>
      <c r="M56" s="30">
        <v>138</v>
      </c>
      <c r="N56" s="30">
        <v>31</v>
      </c>
      <c r="O56" s="30">
        <v>0</v>
      </c>
      <c r="P56" s="30">
        <v>1</v>
      </c>
      <c r="Q56" s="30">
        <v>8</v>
      </c>
      <c r="R56" s="30">
        <v>2</v>
      </c>
      <c r="S56" s="30">
        <v>19</v>
      </c>
      <c r="T56" s="30">
        <v>1</v>
      </c>
      <c r="U56" s="30">
        <v>8</v>
      </c>
      <c r="V56" s="30">
        <v>91</v>
      </c>
      <c r="W56" s="30">
        <v>6</v>
      </c>
      <c r="X56" s="30">
        <v>0.314</v>
      </c>
      <c r="Y56" s="30">
        <v>0.38300000000000001</v>
      </c>
      <c r="Z56" s="22">
        <f>X56+Y56</f>
        <v>0.69700000000000006</v>
      </c>
      <c r="AA56" s="22">
        <f>(0.692*(S56+T56)+0.73*U56+0.865*(I56-(J56+K56+L56))+1.334+J56+1.725*K56+2.065*L56)/(G56+S56-T56+U56+R56)</f>
        <v>0.29677577319587628</v>
      </c>
      <c r="AB56" s="22">
        <f>((AA56-$AA$2000)/1.24+$H$2000/$F$2000)*F56</f>
        <v>40.516941708473389</v>
      </c>
      <c r="AC56" s="22">
        <f>(AB56/F56)/($AB$2000/$F$2000)*100</f>
        <v>97.756524310364142</v>
      </c>
      <c r="AD56" s="22"/>
    </row>
    <row r="57" spans="1:30" ht="15.75" customHeight="1" x14ac:dyDescent="0.15">
      <c r="A57" s="34">
        <v>56</v>
      </c>
      <c r="B57" s="35" t="s">
        <v>3120</v>
      </c>
      <c r="C57" s="56" t="s">
        <v>2653</v>
      </c>
      <c r="D57" s="34">
        <v>0.224</v>
      </c>
      <c r="E57" s="34">
        <v>105</v>
      </c>
      <c r="F57" s="33">
        <v>391</v>
      </c>
      <c r="G57" s="34">
        <v>352</v>
      </c>
      <c r="H57" s="34">
        <v>19</v>
      </c>
      <c r="I57" s="34">
        <v>79</v>
      </c>
      <c r="J57" s="34">
        <v>12</v>
      </c>
      <c r="K57" s="34">
        <v>0</v>
      </c>
      <c r="L57" s="34">
        <v>5</v>
      </c>
      <c r="M57" s="34">
        <v>106</v>
      </c>
      <c r="N57" s="34">
        <v>30</v>
      </c>
      <c r="O57" s="34">
        <v>0</v>
      </c>
      <c r="P57" s="34">
        <v>0</v>
      </c>
      <c r="Q57" s="34">
        <v>1</v>
      </c>
      <c r="R57" s="34">
        <v>3</v>
      </c>
      <c r="S57" s="34">
        <v>33</v>
      </c>
      <c r="T57" s="34">
        <v>2</v>
      </c>
      <c r="U57" s="34">
        <v>2</v>
      </c>
      <c r="V57" s="34">
        <v>68</v>
      </c>
      <c r="W57" s="34">
        <v>3</v>
      </c>
      <c r="X57" s="34">
        <v>0.29199999999999998</v>
      </c>
      <c r="Y57" s="34">
        <v>0.30099999999999999</v>
      </c>
      <c r="Z57" s="22">
        <f>X57+Y57</f>
        <v>0.59299999999999997</v>
      </c>
      <c r="AA57" s="22">
        <f>(0.692*(S57+T57)+0.73*U57+0.865*(I57-(J57+K57+L57))+1.334+J57+1.725*K57+2.065*L57)/(G57+S57-T57+U57+R57)</f>
        <v>0.2653840206185567</v>
      </c>
      <c r="AB57" s="22">
        <f>((AA57-$AA$2000)/1.24+$H$2000/$F$2000)*F57</f>
        <v>30.006066548745942</v>
      </c>
      <c r="AC57" s="22">
        <f>(AB57/F57)/($AB$2000/$F$2000)*100</f>
        <v>73.507544064150139</v>
      </c>
      <c r="AD57" s="22"/>
    </row>
    <row r="58" spans="1:30" ht="15.75" customHeight="1" x14ac:dyDescent="0.15">
      <c r="A58" s="30">
        <v>57</v>
      </c>
      <c r="B58" s="31" t="s">
        <v>3121</v>
      </c>
      <c r="C58" s="41" t="s">
        <v>2651</v>
      </c>
      <c r="D58" s="30">
        <v>0.249</v>
      </c>
      <c r="E58" s="30">
        <v>103</v>
      </c>
      <c r="F58" s="33">
        <v>389</v>
      </c>
      <c r="G58" s="30">
        <v>354</v>
      </c>
      <c r="H58" s="30">
        <v>37</v>
      </c>
      <c r="I58" s="30">
        <v>88</v>
      </c>
      <c r="J58" s="30">
        <v>20</v>
      </c>
      <c r="K58" s="30">
        <v>0</v>
      </c>
      <c r="L58" s="30">
        <v>11</v>
      </c>
      <c r="M58" s="30">
        <v>141</v>
      </c>
      <c r="N58" s="30">
        <v>42</v>
      </c>
      <c r="O58" s="30">
        <v>1</v>
      </c>
      <c r="P58" s="30">
        <v>2</v>
      </c>
      <c r="Q58" s="30">
        <v>0</v>
      </c>
      <c r="R58" s="30">
        <v>1</v>
      </c>
      <c r="S58" s="30">
        <v>30</v>
      </c>
      <c r="T58" s="30">
        <v>1</v>
      </c>
      <c r="U58" s="30">
        <v>4</v>
      </c>
      <c r="V58" s="30">
        <v>68</v>
      </c>
      <c r="W58" s="30">
        <v>9</v>
      </c>
      <c r="X58" s="30">
        <v>0.314</v>
      </c>
      <c r="Y58" s="30">
        <v>0.39800000000000002</v>
      </c>
      <c r="Z58" s="22">
        <f>X58+Y58</f>
        <v>0.71199999999999997</v>
      </c>
      <c r="AA58" s="22">
        <f>(0.692*(S58+T58)+0.73*U58+0.865*(I58-(J58+K58+L58))+1.334+J58+1.725*K58+2.065*L58)/(G58+S58-T58+U58+R58)</f>
        <v>0.30341752577319586</v>
      </c>
      <c r="AB58" s="22">
        <f>((AA58-$AA$2000)/1.24+$H$2000/$F$2000)*F58</f>
        <v>41.784061465573288</v>
      </c>
      <c r="AC58" s="22">
        <f>(AB58/F58)/($AB$2000/$F$2000)*100</f>
        <v>102.88703515556065</v>
      </c>
      <c r="AD58" s="22"/>
    </row>
    <row r="59" spans="1:30" ht="15.75" customHeight="1" x14ac:dyDescent="0.15">
      <c r="A59" s="34">
        <v>58</v>
      </c>
      <c r="B59" s="35" t="s">
        <v>3125</v>
      </c>
      <c r="C59" s="58" t="s">
        <v>2645</v>
      </c>
      <c r="D59" s="34">
        <v>0.219</v>
      </c>
      <c r="E59" s="34">
        <v>128</v>
      </c>
      <c r="F59" s="33">
        <v>385</v>
      </c>
      <c r="G59" s="34">
        <v>334</v>
      </c>
      <c r="H59" s="34">
        <v>33</v>
      </c>
      <c r="I59" s="34">
        <v>73</v>
      </c>
      <c r="J59" s="34">
        <v>10</v>
      </c>
      <c r="K59" s="34">
        <v>1</v>
      </c>
      <c r="L59" s="34">
        <v>3</v>
      </c>
      <c r="M59" s="34">
        <v>94</v>
      </c>
      <c r="N59" s="34">
        <v>24</v>
      </c>
      <c r="O59" s="34">
        <v>12</v>
      </c>
      <c r="P59" s="34">
        <v>3</v>
      </c>
      <c r="Q59" s="34">
        <v>5</v>
      </c>
      <c r="R59" s="34">
        <v>1</v>
      </c>
      <c r="S59" s="34">
        <v>40</v>
      </c>
      <c r="T59" s="34">
        <v>5</v>
      </c>
      <c r="U59" s="34">
        <v>5</v>
      </c>
      <c r="V59" s="34">
        <v>79</v>
      </c>
      <c r="W59" s="34">
        <v>2</v>
      </c>
      <c r="X59" s="34">
        <v>0.311</v>
      </c>
      <c r="Y59" s="34">
        <v>0.28100000000000003</v>
      </c>
      <c r="Z59" s="22">
        <f>X59+Y59</f>
        <v>0.59200000000000008</v>
      </c>
      <c r="AA59" s="22">
        <f>(0.692*(S59+T59)+0.73*U59+0.865*(I59-(J59+K59+L59))+1.334+J59+1.725*K59+2.065*L59)/(G59+S59-T59+U59+R59)</f>
        <v>0.28021066666666661</v>
      </c>
      <c r="AB59" s="22">
        <f>((AA59-$AA$2000)/1.24+$H$2000/$F$2000)*F59</f>
        <v>34.149049858146064</v>
      </c>
      <c r="AC59" s="22">
        <f>(AB59/F59)/($AB$2000/$F$2000)*100</f>
        <v>84.960585631443337</v>
      </c>
      <c r="AD59" s="22"/>
    </row>
    <row r="60" spans="1:30" ht="15.75" customHeight="1" x14ac:dyDescent="0.15">
      <c r="A60" s="30">
        <v>58</v>
      </c>
      <c r="B60" s="31" t="s">
        <v>3122</v>
      </c>
      <c r="C60" s="47" t="s">
        <v>2654</v>
      </c>
      <c r="D60" s="30">
        <v>0.253</v>
      </c>
      <c r="E60" s="30">
        <v>123</v>
      </c>
      <c r="F60" s="33">
        <v>385</v>
      </c>
      <c r="G60" s="30">
        <v>348</v>
      </c>
      <c r="H60" s="30">
        <v>45</v>
      </c>
      <c r="I60" s="30">
        <v>88</v>
      </c>
      <c r="J60" s="30">
        <v>21</v>
      </c>
      <c r="K60" s="30">
        <v>0</v>
      </c>
      <c r="L60" s="30">
        <v>10</v>
      </c>
      <c r="M60" s="30">
        <v>139</v>
      </c>
      <c r="N60" s="30">
        <v>39</v>
      </c>
      <c r="O60" s="30">
        <v>9</v>
      </c>
      <c r="P60" s="30">
        <v>8</v>
      </c>
      <c r="Q60" s="30">
        <v>4</v>
      </c>
      <c r="R60" s="30">
        <v>0</v>
      </c>
      <c r="S60" s="30">
        <v>29</v>
      </c>
      <c r="T60" s="30">
        <v>4</v>
      </c>
      <c r="U60" s="30">
        <v>4</v>
      </c>
      <c r="V60" s="30">
        <v>85</v>
      </c>
      <c r="W60" s="30">
        <v>4</v>
      </c>
      <c r="X60" s="30">
        <v>0.318</v>
      </c>
      <c r="Y60" s="30">
        <v>0.39900000000000002</v>
      </c>
      <c r="Z60" s="22">
        <f>X60+Y60</f>
        <v>0.71700000000000008</v>
      </c>
      <c r="AA60" s="22">
        <f>(0.692*(S60+T60)+0.73*U60+0.865*(I60-(J60+K60+L60))+1.334+J60+1.725*K60+2.065*L60)/(G60+S60-T60+U60+R60)</f>
        <v>0.31311671087533161</v>
      </c>
      <c r="AB60" s="22">
        <f>((AA60-$AA$2000)/1.24+$H$2000/$F$2000)*F60</f>
        <v>44.365845842288017</v>
      </c>
      <c r="AC60" s="22">
        <f>(AB60/F60)/($AB$2000/$F$2000)*100</f>
        <v>110.37930075515609</v>
      </c>
      <c r="AD60" s="22"/>
    </row>
    <row r="61" spans="1:30" ht="15.75" customHeight="1" x14ac:dyDescent="0.15">
      <c r="A61" s="34">
        <v>58</v>
      </c>
      <c r="B61" s="35" t="s">
        <v>3123</v>
      </c>
      <c r="C61" s="40" t="s">
        <v>2650</v>
      </c>
      <c r="D61" s="34">
        <v>0.24</v>
      </c>
      <c r="E61" s="34">
        <v>104</v>
      </c>
      <c r="F61" s="33">
        <v>385</v>
      </c>
      <c r="G61" s="34">
        <v>346</v>
      </c>
      <c r="H61" s="34">
        <v>44</v>
      </c>
      <c r="I61" s="34">
        <v>83</v>
      </c>
      <c r="J61" s="34">
        <v>14</v>
      </c>
      <c r="K61" s="34">
        <v>3</v>
      </c>
      <c r="L61" s="34">
        <v>5</v>
      </c>
      <c r="M61" s="34">
        <v>118</v>
      </c>
      <c r="N61" s="34">
        <v>27</v>
      </c>
      <c r="O61" s="34">
        <v>6</v>
      </c>
      <c r="P61" s="34">
        <v>4</v>
      </c>
      <c r="Q61" s="34">
        <v>2</v>
      </c>
      <c r="R61" s="34">
        <v>1</v>
      </c>
      <c r="S61" s="34">
        <v>20</v>
      </c>
      <c r="T61" s="34">
        <v>1</v>
      </c>
      <c r="U61" s="34">
        <v>16</v>
      </c>
      <c r="V61" s="34">
        <v>88</v>
      </c>
      <c r="W61" s="34">
        <v>6</v>
      </c>
      <c r="X61" s="34">
        <v>0.311</v>
      </c>
      <c r="Y61" s="34">
        <v>0.34100000000000003</v>
      </c>
      <c r="Z61" s="22">
        <f>X61+Y61</f>
        <v>0.65200000000000002</v>
      </c>
      <c r="AA61" s="22">
        <f>(0.692*(S61+T61)+0.73*U61+0.865*(I61-(J61+K61+L61))+1.334+J61+1.725*K61+2.065*L61)/(G61+S61-T61+U61+R61)</f>
        <v>0.28746335078534035</v>
      </c>
      <c r="AB61" s="22">
        <f>((AA61-$AA$2000)/1.24+$H$2000/$F$2000)*F61</f>
        <v>36.400891298218149</v>
      </c>
      <c r="AC61" s="22">
        <f>(AB61/F61)/($AB$2000/$F$2000)*100</f>
        <v>90.563018738437634</v>
      </c>
      <c r="AD61" s="22"/>
    </row>
    <row r="62" spans="1:30" ht="15.75" customHeight="1" x14ac:dyDescent="0.15">
      <c r="A62" s="30">
        <v>61</v>
      </c>
      <c r="B62" s="31" t="s">
        <v>3124</v>
      </c>
      <c r="C62" s="47" t="s">
        <v>2654</v>
      </c>
      <c r="D62" s="30">
        <v>0.26</v>
      </c>
      <c r="E62" s="30">
        <v>112</v>
      </c>
      <c r="F62" s="33">
        <v>384</v>
      </c>
      <c r="G62" s="30">
        <v>342</v>
      </c>
      <c r="H62" s="30">
        <v>29</v>
      </c>
      <c r="I62" s="30">
        <v>89</v>
      </c>
      <c r="J62" s="30">
        <v>22</v>
      </c>
      <c r="K62" s="30">
        <v>2</v>
      </c>
      <c r="L62" s="30">
        <v>10</v>
      </c>
      <c r="M62" s="30">
        <v>145</v>
      </c>
      <c r="N62" s="30">
        <v>43</v>
      </c>
      <c r="O62" s="30">
        <v>0</v>
      </c>
      <c r="P62" s="30">
        <v>0</v>
      </c>
      <c r="Q62" s="30">
        <v>1</v>
      </c>
      <c r="R62" s="30">
        <v>2</v>
      </c>
      <c r="S62" s="30">
        <v>34</v>
      </c>
      <c r="T62" s="30">
        <v>2</v>
      </c>
      <c r="U62" s="30">
        <v>5</v>
      </c>
      <c r="V62" s="30">
        <v>108</v>
      </c>
      <c r="W62" s="30">
        <v>6</v>
      </c>
      <c r="X62" s="30">
        <v>0.33400000000000002</v>
      </c>
      <c r="Y62" s="30">
        <v>0.42399999999999999</v>
      </c>
      <c r="Z62" s="22">
        <f>X62+Y62</f>
        <v>0.75800000000000001</v>
      </c>
      <c r="AA62" s="22">
        <f>(0.692*(S62+T62)+0.73*U62+0.865*(I62-(J62+K62+L62))+1.334+J62+1.725*K62+2.065*L62)/(G62+S62-T62+U62+R62)</f>
        <v>0.32433333333333331</v>
      </c>
      <c r="AB62" s="22">
        <f>((AA62-$AA$2000)/1.24+$H$2000/$F$2000)*F62</f>
        <v>47.724144575732787</v>
      </c>
      <c r="AC62" s="22">
        <f>(AB62/F62)/($AB$2000/$F$2000)*100</f>
        <v>119.04373118934078</v>
      </c>
      <c r="AD62" s="22"/>
    </row>
    <row r="63" spans="1:30" ht="15.75" customHeight="1" x14ac:dyDescent="0.15">
      <c r="A63" s="34">
        <v>62</v>
      </c>
      <c r="B63" s="35" t="s">
        <v>3126</v>
      </c>
      <c r="C63" s="40" t="s">
        <v>2650</v>
      </c>
      <c r="D63" s="34">
        <v>0.254</v>
      </c>
      <c r="E63" s="34">
        <v>111</v>
      </c>
      <c r="F63" s="33">
        <v>381</v>
      </c>
      <c r="G63" s="34">
        <v>335</v>
      </c>
      <c r="H63" s="34">
        <v>25</v>
      </c>
      <c r="I63" s="34">
        <v>85</v>
      </c>
      <c r="J63" s="34">
        <v>13</v>
      </c>
      <c r="K63" s="34">
        <v>0</v>
      </c>
      <c r="L63" s="34">
        <v>11</v>
      </c>
      <c r="M63" s="34">
        <v>131</v>
      </c>
      <c r="N63" s="34">
        <v>44</v>
      </c>
      <c r="O63" s="34">
        <v>0</v>
      </c>
      <c r="P63" s="34">
        <v>1</v>
      </c>
      <c r="Q63" s="34">
        <v>0</v>
      </c>
      <c r="R63" s="34">
        <v>4</v>
      </c>
      <c r="S63" s="34">
        <v>36</v>
      </c>
      <c r="T63" s="34">
        <v>1</v>
      </c>
      <c r="U63" s="34">
        <v>6</v>
      </c>
      <c r="V63" s="34">
        <v>47</v>
      </c>
      <c r="W63" s="34">
        <v>13</v>
      </c>
      <c r="X63" s="34">
        <v>0.33300000000000002</v>
      </c>
      <c r="Y63" s="34">
        <v>0.39100000000000001</v>
      </c>
      <c r="Z63" s="22">
        <f>X63+Y63</f>
        <v>0.72399999999999998</v>
      </c>
      <c r="AA63" s="22">
        <f>(0.692*(S63+T63)+0.73*U63+0.865*(I63-(J63+K63+L63))+1.334+J63+1.725*K63+2.065*L63)/(G63+S63-T63+U63+R63)</f>
        <v>0.31525789473684213</v>
      </c>
      <c r="AB63" s="22">
        <f>((AA63-$AA$2000)/1.24+$H$2000/$F$2000)*F63</f>
        <v>44.562797998442022</v>
      </c>
      <c r="AC63" s="22">
        <f>(AB63/F63)/($AB$2000/$F$2000)*100</f>
        <v>112.03328694255978</v>
      </c>
      <c r="AD63" s="22"/>
    </row>
    <row r="64" spans="1:30" ht="15.75" customHeight="1" x14ac:dyDescent="0.15">
      <c r="A64" s="30">
        <v>62</v>
      </c>
      <c r="B64" s="31" t="s">
        <v>3127</v>
      </c>
      <c r="C64" s="52" t="s">
        <v>2646</v>
      </c>
      <c r="D64" s="30">
        <v>0.251</v>
      </c>
      <c r="E64" s="30">
        <v>110</v>
      </c>
      <c r="F64" s="33">
        <v>381</v>
      </c>
      <c r="G64" s="30">
        <v>323</v>
      </c>
      <c r="H64" s="30">
        <v>35</v>
      </c>
      <c r="I64" s="30">
        <v>81</v>
      </c>
      <c r="J64" s="30">
        <v>15</v>
      </c>
      <c r="K64" s="30">
        <v>0</v>
      </c>
      <c r="L64" s="30">
        <v>7</v>
      </c>
      <c r="M64" s="30">
        <v>117</v>
      </c>
      <c r="N64" s="30">
        <v>28</v>
      </c>
      <c r="O64" s="30">
        <v>0</v>
      </c>
      <c r="P64" s="30">
        <v>1</v>
      </c>
      <c r="Q64" s="30">
        <v>2</v>
      </c>
      <c r="R64" s="30">
        <v>2</v>
      </c>
      <c r="S64" s="30">
        <v>50</v>
      </c>
      <c r="T64" s="30">
        <v>0</v>
      </c>
      <c r="U64" s="30">
        <v>4</v>
      </c>
      <c r="V64" s="30">
        <v>58</v>
      </c>
      <c r="W64" s="30">
        <v>8</v>
      </c>
      <c r="X64" s="30">
        <v>0.35599999999999998</v>
      </c>
      <c r="Y64" s="30">
        <v>0.36199999999999999</v>
      </c>
      <c r="Z64" s="22">
        <f>X64+Y64</f>
        <v>0.71799999999999997</v>
      </c>
      <c r="AA64" s="22">
        <f>(0.692*(S64+T64)+0.73*U64+0.865*(I64-(J64+K64+L64))+1.334+J64+1.725*K64+2.065*L64)/(G64+S64-T64+U64+R64)</f>
        <v>0.31489182058047493</v>
      </c>
      <c r="AB64" s="22">
        <f>((AA64-$AA$2000)/1.24+$H$2000/$F$2000)*F64</f>
        <v>44.450318761687264</v>
      </c>
      <c r="AC64" s="22">
        <f>(AB64/F64)/($AB$2000/$F$2000)*100</f>
        <v>111.75050805136748</v>
      </c>
      <c r="AD64" s="22"/>
    </row>
    <row r="65" spans="1:30" ht="15.75" customHeight="1" x14ac:dyDescent="0.15">
      <c r="A65" s="34">
        <v>64</v>
      </c>
      <c r="B65" s="35" t="s">
        <v>3128</v>
      </c>
      <c r="C65" s="56" t="s">
        <v>2653</v>
      </c>
      <c r="D65" s="34">
        <v>0.221</v>
      </c>
      <c r="E65" s="34">
        <v>115</v>
      </c>
      <c r="F65" s="33">
        <v>372</v>
      </c>
      <c r="G65" s="34">
        <v>339</v>
      </c>
      <c r="H65" s="34">
        <v>30</v>
      </c>
      <c r="I65" s="34">
        <v>75</v>
      </c>
      <c r="J65" s="34">
        <v>14</v>
      </c>
      <c r="K65" s="34">
        <v>0</v>
      </c>
      <c r="L65" s="34">
        <v>17</v>
      </c>
      <c r="M65" s="34">
        <v>140</v>
      </c>
      <c r="N65" s="34">
        <v>47</v>
      </c>
      <c r="O65" s="34">
        <v>0</v>
      </c>
      <c r="P65" s="34">
        <v>0</v>
      </c>
      <c r="Q65" s="34">
        <v>0</v>
      </c>
      <c r="R65" s="34">
        <v>2</v>
      </c>
      <c r="S65" s="34">
        <v>24</v>
      </c>
      <c r="T65" s="34">
        <v>1</v>
      </c>
      <c r="U65" s="34">
        <v>7</v>
      </c>
      <c r="V65" s="34">
        <v>96</v>
      </c>
      <c r="W65" s="34">
        <v>9</v>
      </c>
      <c r="X65" s="34">
        <v>0.28499999999999998</v>
      </c>
      <c r="Y65" s="34">
        <v>0.41299999999999998</v>
      </c>
      <c r="Z65" s="29">
        <f>X65+Y65</f>
        <v>0.69799999999999995</v>
      </c>
      <c r="AA65" s="22">
        <f>(0.692*(S65+T65)+0.73*U65+0.865*(I65-(J65+K65+L65))+1.334+J65+1.725*K65+2.065*L65)/(G65+S65-T65+U65+R65)</f>
        <v>0.29894609164420483</v>
      </c>
      <c r="AB65" s="22">
        <f>((AA65-$AA$2000)/1.24+$H$2000/$F$2000)*F65</f>
        <v>38.616592551002597</v>
      </c>
      <c r="AC65" s="22">
        <f>(AB65/F65)/($AB$2000/$F$2000)*100</f>
        <v>99.433015900054372</v>
      </c>
      <c r="AD65" s="22"/>
    </row>
    <row r="66" spans="1:30" ht="15.75" customHeight="1" x14ac:dyDescent="0.15">
      <c r="A66" s="30">
        <v>65</v>
      </c>
      <c r="B66" s="31" t="s">
        <v>3129</v>
      </c>
      <c r="C66" s="47" t="s">
        <v>2654</v>
      </c>
      <c r="D66" s="30">
        <v>0.23499999999999999</v>
      </c>
      <c r="E66" s="30">
        <v>103</v>
      </c>
      <c r="F66" s="33">
        <v>370</v>
      </c>
      <c r="G66" s="30">
        <v>345</v>
      </c>
      <c r="H66" s="30">
        <v>37</v>
      </c>
      <c r="I66" s="30">
        <v>81</v>
      </c>
      <c r="J66" s="30">
        <v>16</v>
      </c>
      <c r="K66" s="30">
        <v>0</v>
      </c>
      <c r="L66" s="30">
        <v>13</v>
      </c>
      <c r="M66" s="30">
        <v>136</v>
      </c>
      <c r="N66" s="30">
        <v>29</v>
      </c>
      <c r="O66" s="30">
        <v>4</v>
      </c>
      <c r="P66" s="30">
        <v>4</v>
      </c>
      <c r="Q66" s="30">
        <v>0</v>
      </c>
      <c r="R66" s="30">
        <v>0</v>
      </c>
      <c r="S66" s="30">
        <v>21</v>
      </c>
      <c r="T66" s="30">
        <v>2</v>
      </c>
      <c r="U66" s="30">
        <v>4</v>
      </c>
      <c r="V66" s="30">
        <v>119</v>
      </c>
      <c r="W66" s="30">
        <v>8</v>
      </c>
      <c r="X66" s="30">
        <v>0.28599999999999998</v>
      </c>
      <c r="Y66" s="30">
        <v>0.39400000000000002</v>
      </c>
      <c r="Z66" s="22">
        <f>X66+Y66</f>
        <v>0.67999999999999994</v>
      </c>
      <c r="AA66" s="22">
        <f>(0.692*(S66+T66)+0.73*U66+0.865*(I66-(J66+K66+L66))+1.334+J66+1.725*K66+2.065*L66)/(G66+S66-T66+U66+R66)</f>
        <v>0.29346467391304343</v>
      </c>
      <c r="AB66" s="22">
        <f>((AA66-$AA$2000)/1.24+$H$2000/$F$2000)*F66</f>
        <v>36.773392139010873</v>
      </c>
      <c r="AC66" s="22">
        <f>(AB66/F66)/($AB$2000/$F$2000)*100</f>
        <v>95.198821267027938</v>
      </c>
      <c r="AD66" s="22"/>
    </row>
    <row r="67" spans="1:30" ht="15.75" customHeight="1" x14ac:dyDescent="0.15">
      <c r="A67" s="34">
        <v>66</v>
      </c>
      <c r="B67" s="35" t="s">
        <v>3130</v>
      </c>
      <c r="C67" s="48" t="s">
        <v>2647</v>
      </c>
      <c r="D67" s="34">
        <v>0.26700000000000002</v>
      </c>
      <c r="E67" s="34">
        <v>99</v>
      </c>
      <c r="F67" s="33">
        <v>367</v>
      </c>
      <c r="G67" s="34">
        <v>341</v>
      </c>
      <c r="H67" s="34">
        <v>32</v>
      </c>
      <c r="I67" s="34">
        <v>91</v>
      </c>
      <c r="J67" s="34">
        <v>10</v>
      </c>
      <c r="K67" s="34">
        <v>0</v>
      </c>
      <c r="L67" s="34">
        <v>9</v>
      </c>
      <c r="M67" s="34">
        <v>128</v>
      </c>
      <c r="N67" s="34">
        <v>40</v>
      </c>
      <c r="O67" s="34">
        <v>0</v>
      </c>
      <c r="P67" s="34">
        <v>0</v>
      </c>
      <c r="Q67" s="34">
        <v>1</v>
      </c>
      <c r="R67" s="34">
        <v>2</v>
      </c>
      <c r="S67" s="34">
        <v>22</v>
      </c>
      <c r="T67" s="34">
        <v>1</v>
      </c>
      <c r="U67" s="34">
        <v>1</v>
      </c>
      <c r="V67" s="34">
        <v>36</v>
      </c>
      <c r="W67" s="34">
        <v>3</v>
      </c>
      <c r="X67" s="34">
        <v>0.311</v>
      </c>
      <c r="Y67" s="34">
        <v>0.375</v>
      </c>
      <c r="Z67" s="29">
        <f>X67+Y67</f>
        <v>0.68599999999999994</v>
      </c>
      <c r="AA67" s="22">
        <f>(0.692*(S67+T67)+0.73*U67+0.865*(I67-(J67+K67+L67))+1.334+J67+1.725*K67+2.065*L67)/(G67+S67-T67+U67+R67)</f>
        <v>0.29820547945205478</v>
      </c>
      <c r="AB67" s="22">
        <f>((AA67-$AA$2000)/1.24+$H$2000/$F$2000)*F67</f>
        <v>37.878355010382343</v>
      </c>
      <c r="AC67" s="22">
        <f>(AB67/F67)/($AB$2000/$F$2000)*100</f>
        <v>98.86092008051331</v>
      </c>
      <c r="AD67" s="22"/>
    </row>
    <row r="68" spans="1:30" ht="15.75" customHeight="1" x14ac:dyDescent="0.15">
      <c r="A68" s="30">
        <v>67</v>
      </c>
      <c r="B68" s="31" t="s">
        <v>3131</v>
      </c>
      <c r="C68" s="53" t="s">
        <v>198</v>
      </c>
      <c r="D68" s="30">
        <v>0.223</v>
      </c>
      <c r="E68" s="30">
        <v>102</v>
      </c>
      <c r="F68" s="33">
        <v>364</v>
      </c>
      <c r="G68" s="30">
        <v>327</v>
      </c>
      <c r="H68" s="30">
        <v>31</v>
      </c>
      <c r="I68" s="30">
        <v>73</v>
      </c>
      <c r="J68" s="30">
        <v>10</v>
      </c>
      <c r="K68" s="30">
        <v>1</v>
      </c>
      <c r="L68" s="30">
        <v>16</v>
      </c>
      <c r="M68" s="30">
        <v>133</v>
      </c>
      <c r="N68" s="30">
        <v>37</v>
      </c>
      <c r="O68" s="30">
        <v>0</v>
      </c>
      <c r="P68" s="30">
        <v>0</v>
      </c>
      <c r="Q68" s="30">
        <v>0</v>
      </c>
      <c r="R68" s="30">
        <v>5</v>
      </c>
      <c r="S68" s="30">
        <v>23</v>
      </c>
      <c r="T68" s="30">
        <v>0</v>
      </c>
      <c r="U68" s="30">
        <v>9</v>
      </c>
      <c r="V68" s="30">
        <v>68</v>
      </c>
      <c r="W68" s="30">
        <v>5</v>
      </c>
      <c r="X68" s="30">
        <v>0.28799999999999998</v>
      </c>
      <c r="Y68" s="30">
        <v>0.40699999999999997</v>
      </c>
      <c r="Z68" s="22">
        <f>X68+Y68</f>
        <v>0.69499999999999995</v>
      </c>
      <c r="AA68" s="22">
        <f>(0.692*(S68+T68)+0.73*U68+0.865*(I68-(J68+K68+L68))+1.334+J68+1.725*K68+2.065*L68)/(G68+S68-T68+U68+R68)</f>
        <v>0.29773351648351648</v>
      </c>
      <c r="AB68" s="22">
        <f>((AA68-$AA$2000)/1.24+$H$2000/$F$2000)*F68</f>
        <v>37.43017871241338</v>
      </c>
      <c r="AC68" s="22">
        <f>(AB68/F68)/($AB$2000/$F$2000)*100</f>
        <v>98.496345956375421</v>
      </c>
      <c r="AD68" s="22"/>
    </row>
    <row r="69" spans="1:30" ht="15.75" customHeight="1" x14ac:dyDescent="0.15">
      <c r="A69" s="34">
        <v>68</v>
      </c>
      <c r="B69" s="35" t="s">
        <v>3132</v>
      </c>
      <c r="C69" s="45" t="s">
        <v>2651</v>
      </c>
      <c r="D69" s="34">
        <v>0.22</v>
      </c>
      <c r="E69" s="34">
        <v>95</v>
      </c>
      <c r="F69" s="33">
        <v>358</v>
      </c>
      <c r="G69" s="34">
        <v>318</v>
      </c>
      <c r="H69" s="34">
        <v>35</v>
      </c>
      <c r="I69" s="34">
        <v>70</v>
      </c>
      <c r="J69" s="34">
        <v>8</v>
      </c>
      <c r="K69" s="34">
        <v>0</v>
      </c>
      <c r="L69" s="34">
        <v>23</v>
      </c>
      <c r="M69" s="34">
        <v>147</v>
      </c>
      <c r="N69" s="34">
        <v>52</v>
      </c>
      <c r="O69" s="34">
        <v>0</v>
      </c>
      <c r="P69" s="34">
        <v>0</v>
      </c>
      <c r="Q69" s="34">
        <v>0</v>
      </c>
      <c r="R69" s="34">
        <v>5</v>
      </c>
      <c r="S69" s="34">
        <v>33</v>
      </c>
      <c r="T69" s="34">
        <v>2</v>
      </c>
      <c r="U69" s="34">
        <v>2</v>
      </c>
      <c r="V69" s="34">
        <v>97</v>
      </c>
      <c r="W69" s="34">
        <v>8</v>
      </c>
      <c r="X69" s="34">
        <v>0.29299999999999998</v>
      </c>
      <c r="Y69" s="34">
        <v>0.46200000000000002</v>
      </c>
      <c r="Z69" s="22">
        <f>X69+Y69</f>
        <v>0.755</v>
      </c>
      <c r="AA69" s="22">
        <f>(0.692*(S69+T69)+0.73*U69+0.865*(I69-(J69+K69+L69))+1.334+J69+1.725*K69+2.065*L69)/(G69+S69-T69+U69+R69)</f>
        <v>0.32652808988764043</v>
      </c>
      <c r="AB69" s="22">
        <f>((AA69-$AA$2000)/1.24+$H$2000/$F$2000)*F69</f>
        <v>45.1264697435589</v>
      </c>
      <c r="AC69" s="22">
        <f>(AB69/F69)/($AB$2000/$F$2000)*100</f>
        <v>120.73910032171264</v>
      </c>
      <c r="AD69" s="22"/>
    </row>
    <row r="70" spans="1:30" ht="15.75" customHeight="1" x14ac:dyDescent="0.15">
      <c r="A70" s="30">
        <v>69</v>
      </c>
      <c r="B70" s="31" t="s">
        <v>3133</v>
      </c>
      <c r="C70" s="54" t="s">
        <v>2650</v>
      </c>
      <c r="D70" s="30">
        <v>0.28299999999999997</v>
      </c>
      <c r="E70" s="30">
        <v>106</v>
      </c>
      <c r="F70" s="33">
        <v>357</v>
      </c>
      <c r="G70" s="30">
        <v>336</v>
      </c>
      <c r="H70" s="30">
        <v>38</v>
      </c>
      <c r="I70" s="30">
        <v>95</v>
      </c>
      <c r="J70" s="30">
        <v>11</v>
      </c>
      <c r="K70" s="30">
        <v>0</v>
      </c>
      <c r="L70" s="30">
        <v>4</v>
      </c>
      <c r="M70" s="30">
        <v>118</v>
      </c>
      <c r="N70" s="30">
        <v>33</v>
      </c>
      <c r="O70" s="30">
        <v>3</v>
      </c>
      <c r="P70" s="30">
        <v>2</v>
      </c>
      <c r="Q70" s="30">
        <v>2</v>
      </c>
      <c r="R70" s="30">
        <v>1</v>
      </c>
      <c r="S70" s="30">
        <v>13</v>
      </c>
      <c r="T70" s="30">
        <v>1</v>
      </c>
      <c r="U70" s="30">
        <v>5</v>
      </c>
      <c r="V70" s="30">
        <v>59</v>
      </c>
      <c r="W70" s="30">
        <v>2</v>
      </c>
      <c r="X70" s="30">
        <v>0.318</v>
      </c>
      <c r="Y70" s="30">
        <v>0.35099999999999998</v>
      </c>
      <c r="Z70" s="22">
        <f>X70+Y70</f>
        <v>0.66900000000000004</v>
      </c>
      <c r="AA70" s="22">
        <f>(0.692*(S70+T70)+0.73*U70+0.865*(I70-(J70+K70+L70))+1.334+J70+1.725*K70+2.065*L70)/(G70+S70-T70+U70+R70)</f>
        <v>0.29133333333333333</v>
      </c>
      <c r="AB70" s="22">
        <f>((AA70-$AA$2000)/1.24+$H$2000/$F$2000)*F70</f>
        <v>34.86773420863868</v>
      </c>
      <c r="AC70" s="22">
        <f>(AB70/F70)/($AB$2000/$F$2000)*100</f>
        <v>93.5524386546508</v>
      </c>
      <c r="AD70" s="22"/>
    </row>
    <row r="71" spans="1:30" ht="15.75" customHeight="1" x14ac:dyDescent="0.15">
      <c r="A71" s="34">
        <v>70</v>
      </c>
      <c r="B71" s="35" t="s">
        <v>3134</v>
      </c>
      <c r="C71" s="38" t="s">
        <v>2648</v>
      </c>
      <c r="D71" s="34">
        <v>0.26</v>
      </c>
      <c r="E71" s="34">
        <v>103</v>
      </c>
      <c r="F71" s="33">
        <v>356</v>
      </c>
      <c r="G71" s="34">
        <v>331</v>
      </c>
      <c r="H71" s="34">
        <v>32</v>
      </c>
      <c r="I71" s="34">
        <v>86</v>
      </c>
      <c r="J71" s="34">
        <v>18</v>
      </c>
      <c r="K71" s="34">
        <v>3</v>
      </c>
      <c r="L71" s="34">
        <v>9</v>
      </c>
      <c r="M71" s="34">
        <v>137</v>
      </c>
      <c r="N71" s="34">
        <v>43</v>
      </c>
      <c r="O71" s="34">
        <v>4</v>
      </c>
      <c r="P71" s="34">
        <v>2</v>
      </c>
      <c r="Q71" s="34">
        <v>5</v>
      </c>
      <c r="R71" s="34">
        <v>2</v>
      </c>
      <c r="S71" s="34">
        <v>15</v>
      </c>
      <c r="T71" s="34">
        <v>0</v>
      </c>
      <c r="U71" s="34">
        <v>3</v>
      </c>
      <c r="V71" s="34">
        <v>68</v>
      </c>
      <c r="W71" s="34">
        <v>7</v>
      </c>
      <c r="X71" s="34">
        <v>0.29599999999999999</v>
      </c>
      <c r="Y71" s="34">
        <v>0.41399999999999998</v>
      </c>
      <c r="Z71" s="22">
        <f>X71+Y71</f>
        <v>0.71</v>
      </c>
      <c r="AA71" s="22">
        <f>(0.692*(S71+T71)+0.73*U71+0.865*(I71-(J71+K71+L71))+1.334+J71+1.725*K71+2.065*L71)/(G71+S71-T71+U71+R71)</f>
        <v>0.29659259259259257</v>
      </c>
      <c r="AB71" s="22">
        <f>((AA71-$AA$2000)/1.24+$H$2000/$F$2000)*F71</f>
        <v>36.279981853346065</v>
      </c>
      <c r="AC71" s="22">
        <f>(AB71/F71)/($AB$2000/$F$2000)*100</f>
        <v>97.615023996879728</v>
      </c>
      <c r="AD71" s="22"/>
    </row>
    <row r="72" spans="1:30" ht="15.75" customHeight="1" x14ac:dyDescent="0.15">
      <c r="A72" s="30">
        <v>71</v>
      </c>
      <c r="B72" s="31" t="s">
        <v>3135</v>
      </c>
      <c r="C72" s="46" t="s">
        <v>2648</v>
      </c>
      <c r="D72" s="30">
        <v>0.25900000000000001</v>
      </c>
      <c r="E72" s="30">
        <v>92</v>
      </c>
      <c r="F72" s="33">
        <v>353</v>
      </c>
      <c r="G72" s="30">
        <v>316</v>
      </c>
      <c r="H72" s="30">
        <v>36</v>
      </c>
      <c r="I72" s="30">
        <v>82</v>
      </c>
      <c r="J72" s="30">
        <v>16</v>
      </c>
      <c r="K72" s="30">
        <v>2</v>
      </c>
      <c r="L72" s="30">
        <v>2</v>
      </c>
      <c r="M72" s="30">
        <v>108</v>
      </c>
      <c r="N72" s="30">
        <v>26</v>
      </c>
      <c r="O72" s="30">
        <v>2</v>
      </c>
      <c r="P72" s="30">
        <v>2</v>
      </c>
      <c r="Q72" s="30">
        <v>1</v>
      </c>
      <c r="R72" s="30">
        <v>3</v>
      </c>
      <c r="S72" s="30">
        <v>30</v>
      </c>
      <c r="T72" s="30">
        <v>0</v>
      </c>
      <c r="U72" s="30">
        <v>3</v>
      </c>
      <c r="V72" s="30">
        <v>51</v>
      </c>
      <c r="W72" s="30">
        <v>8</v>
      </c>
      <c r="X72" s="30">
        <v>0.32700000000000001</v>
      </c>
      <c r="Y72" s="30">
        <v>0.34200000000000003</v>
      </c>
      <c r="Z72" s="22">
        <f>X72+Y72</f>
        <v>0.66900000000000004</v>
      </c>
      <c r="AA72" s="22">
        <f>(0.692*(S72+T72)+0.73*U72+0.865*(I72-(J72+K72+L72))+1.334+J72+1.725*K72+2.065*L72)/(G72+S72-T72+U72+R72)</f>
        <v>0.28833522727272726</v>
      </c>
      <c r="AB72" s="22">
        <f>((AA72-$AA$2000)/1.24+$H$2000/$F$2000)*F72</f>
        <v>33.623566219259246</v>
      </c>
      <c r="AC72" s="22">
        <f>(AB72/F72)/($AB$2000/$F$2000)*100</f>
        <v>91.236511423107245</v>
      </c>
      <c r="AD72" s="22"/>
    </row>
    <row r="73" spans="1:30" ht="15.75" customHeight="1" x14ac:dyDescent="0.15">
      <c r="A73" s="34">
        <v>72</v>
      </c>
      <c r="B73" s="35" t="s">
        <v>3136</v>
      </c>
      <c r="C73" s="50" t="s">
        <v>198</v>
      </c>
      <c r="D73" s="34">
        <v>0.222</v>
      </c>
      <c r="E73" s="34">
        <v>120</v>
      </c>
      <c r="F73" s="33">
        <v>348</v>
      </c>
      <c r="G73" s="34">
        <v>324</v>
      </c>
      <c r="H73" s="34">
        <v>40</v>
      </c>
      <c r="I73" s="34">
        <v>72</v>
      </c>
      <c r="J73" s="34">
        <v>8</v>
      </c>
      <c r="K73" s="34">
        <v>4</v>
      </c>
      <c r="L73" s="34">
        <v>6</v>
      </c>
      <c r="M73" s="34">
        <v>106</v>
      </c>
      <c r="N73" s="34">
        <v>23</v>
      </c>
      <c r="O73" s="34">
        <v>12</v>
      </c>
      <c r="P73" s="34">
        <v>8</v>
      </c>
      <c r="Q73" s="34">
        <v>7</v>
      </c>
      <c r="R73" s="34">
        <v>1</v>
      </c>
      <c r="S73" s="34">
        <v>14</v>
      </c>
      <c r="T73" s="34">
        <v>2</v>
      </c>
      <c r="U73" s="34">
        <v>2</v>
      </c>
      <c r="V73" s="34">
        <v>92</v>
      </c>
      <c r="W73" s="34">
        <v>3</v>
      </c>
      <c r="X73" s="34">
        <v>0.25800000000000001</v>
      </c>
      <c r="Y73" s="34">
        <v>0.32700000000000001</v>
      </c>
      <c r="Z73" s="22">
        <f>X73+Y73</f>
        <v>0.58499999999999996</v>
      </c>
      <c r="AA73" s="22">
        <f>(0.692*(S73+T73)+0.73*U73+0.865*(I73-(J73+K73+L73))+1.334+J73+1.725*K73+2.065*L73)/(G73+S73-T73+U73+R73)</f>
        <v>0.25919174041297938</v>
      </c>
      <c r="AB73" s="22">
        <f>((AA73-$AA$2000)/1.24+$H$2000/$F$2000)*F73</f>
        <v>24.968333169916576</v>
      </c>
      <c r="AC73" s="22">
        <f>(AB73/F73)/($AB$2000/$F$2000)*100</f>
        <v>68.724234179994312</v>
      </c>
      <c r="AD73" s="22"/>
    </row>
    <row r="74" spans="1:30" ht="15.75" customHeight="1" x14ac:dyDescent="0.15">
      <c r="A74" s="30">
        <v>72</v>
      </c>
      <c r="B74" s="31" t="s">
        <v>3137</v>
      </c>
      <c r="C74" s="39" t="s">
        <v>2649</v>
      </c>
      <c r="D74" s="30">
        <v>0.23100000000000001</v>
      </c>
      <c r="E74" s="30">
        <v>94</v>
      </c>
      <c r="F74" s="33">
        <v>348</v>
      </c>
      <c r="G74" s="30">
        <v>307</v>
      </c>
      <c r="H74" s="30">
        <v>33</v>
      </c>
      <c r="I74" s="30">
        <v>71</v>
      </c>
      <c r="J74" s="30">
        <v>16</v>
      </c>
      <c r="K74" s="30">
        <v>0</v>
      </c>
      <c r="L74" s="30">
        <v>5</v>
      </c>
      <c r="M74" s="30">
        <v>102</v>
      </c>
      <c r="N74" s="30">
        <v>26</v>
      </c>
      <c r="O74" s="30">
        <v>3</v>
      </c>
      <c r="P74" s="30">
        <v>1</v>
      </c>
      <c r="Q74" s="30">
        <v>0</v>
      </c>
      <c r="R74" s="30">
        <v>1</v>
      </c>
      <c r="S74" s="30">
        <v>38</v>
      </c>
      <c r="T74" s="30">
        <v>5</v>
      </c>
      <c r="U74" s="30">
        <v>2</v>
      </c>
      <c r="V74" s="30">
        <v>65</v>
      </c>
      <c r="W74" s="30">
        <v>11</v>
      </c>
      <c r="X74" s="30">
        <v>0.31900000000000001</v>
      </c>
      <c r="Y74" s="30">
        <v>0.33200000000000002</v>
      </c>
      <c r="Z74" s="29">
        <f>X74+Y74</f>
        <v>0.65100000000000002</v>
      </c>
      <c r="AA74" s="22">
        <f>(0.692*(S74+T74)+0.73*U74+0.865*(I74-(J74+K74+L74))+1.334+J74+1.725*K74+2.065*L74)/(G74+S74-T74+U74+R74)</f>
        <v>0.29774052478134111</v>
      </c>
      <c r="AB74" s="22">
        <f>((AA74-$AA$2000)/1.24+$H$2000/$F$2000)*F74</f>
        <v>35.78686297652132</v>
      </c>
      <c r="AC74" s="22">
        <f>(AB74/F74)/($AB$2000/$F$2000)*100</f>
        <v>98.501759610012314</v>
      </c>
      <c r="AD74" s="22"/>
    </row>
    <row r="75" spans="1:30" ht="15.75" customHeight="1" x14ac:dyDescent="0.15">
      <c r="A75" s="34">
        <v>74</v>
      </c>
      <c r="B75" s="35" t="s">
        <v>3138</v>
      </c>
      <c r="C75" s="45" t="s">
        <v>2651</v>
      </c>
      <c r="D75" s="34">
        <v>0.23100000000000001</v>
      </c>
      <c r="E75" s="34">
        <v>90</v>
      </c>
      <c r="F75" s="33">
        <v>345</v>
      </c>
      <c r="G75" s="34">
        <v>308</v>
      </c>
      <c r="H75" s="34">
        <v>20</v>
      </c>
      <c r="I75" s="34">
        <v>71</v>
      </c>
      <c r="J75" s="34">
        <v>12</v>
      </c>
      <c r="K75" s="34">
        <v>0</v>
      </c>
      <c r="L75" s="34">
        <v>3</v>
      </c>
      <c r="M75" s="34">
        <v>92</v>
      </c>
      <c r="N75" s="34">
        <v>19</v>
      </c>
      <c r="O75" s="34">
        <v>2</v>
      </c>
      <c r="P75" s="34">
        <v>1</v>
      </c>
      <c r="Q75" s="34">
        <v>4</v>
      </c>
      <c r="R75" s="34">
        <v>4</v>
      </c>
      <c r="S75" s="34">
        <v>27</v>
      </c>
      <c r="T75" s="34">
        <v>3</v>
      </c>
      <c r="U75" s="34">
        <v>2</v>
      </c>
      <c r="V75" s="34">
        <v>40</v>
      </c>
      <c r="W75" s="34">
        <v>2</v>
      </c>
      <c r="X75" s="34">
        <v>0.29299999999999998</v>
      </c>
      <c r="Y75" s="34">
        <v>0.29899999999999999</v>
      </c>
      <c r="Z75" s="22">
        <f>X75+Y75</f>
        <v>0.59199999999999997</v>
      </c>
      <c r="AA75" s="22">
        <f>(0.692*(S75+T75)+0.73*U75+0.865*(I75-(J75+K75+L75))+1.334+J75+1.725*K75+2.065*L75)/(G75+S75-T75+U75+R75)</f>
        <v>0.26683136094674553</v>
      </c>
      <c r="AB75" s="22">
        <f>((AA75-$AA$2000)/1.24+$H$2000/$F$2000)*F75</f>
        <v>26.878628502443167</v>
      </c>
      <c r="AC75" s="22">
        <f>(AB75/F75)/($AB$2000/$F$2000)*100</f>
        <v>74.625561509699097</v>
      </c>
      <c r="AD75" s="22"/>
    </row>
    <row r="76" spans="1:30" ht="15.75" customHeight="1" x14ac:dyDescent="0.15">
      <c r="A76" s="30">
        <v>75</v>
      </c>
      <c r="B76" s="31" t="s">
        <v>3139</v>
      </c>
      <c r="C76" s="46" t="s">
        <v>2648</v>
      </c>
      <c r="D76" s="30">
        <v>0.221</v>
      </c>
      <c r="E76" s="30">
        <v>114</v>
      </c>
      <c r="F76" s="33">
        <v>342</v>
      </c>
      <c r="G76" s="30">
        <v>298</v>
      </c>
      <c r="H76" s="30">
        <v>21</v>
      </c>
      <c r="I76" s="30">
        <v>66</v>
      </c>
      <c r="J76" s="30">
        <v>15</v>
      </c>
      <c r="K76" s="30">
        <v>1</v>
      </c>
      <c r="L76" s="30">
        <v>2</v>
      </c>
      <c r="M76" s="30">
        <v>89</v>
      </c>
      <c r="N76" s="30">
        <v>19</v>
      </c>
      <c r="O76" s="30">
        <v>0</v>
      </c>
      <c r="P76" s="30">
        <v>0</v>
      </c>
      <c r="Q76" s="30">
        <v>19</v>
      </c>
      <c r="R76" s="30">
        <v>1</v>
      </c>
      <c r="S76" s="30">
        <v>23</v>
      </c>
      <c r="T76" s="30">
        <v>2</v>
      </c>
      <c r="U76" s="30">
        <v>1</v>
      </c>
      <c r="V76" s="30">
        <v>64</v>
      </c>
      <c r="W76" s="30">
        <v>8</v>
      </c>
      <c r="X76" s="30">
        <v>0.27900000000000003</v>
      </c>
      <c r="Y76" s="30">
        <v>0.29899999999999999</v>
      </c>
      <c r="Z76" s="22">
        <f>X76+Y76</f>
        <v>0.57800000000000007</v>
      </c>
      <c r="AA76" s="22">
        <f>(0.692*(S76+T76)+0.73*U76+0.865*(I76-(J76+K76+L76))+1.334+J76+1.725*K76+2.065*L76)/(G76+S76-T76+U76+R76)</f>
        <v>0.25463862928348907</v>
      </c>
      <c r="AB76" s="22">
        <f>((AA76-$AA$2000)/1.24+$H$2000/$F$2000)*F76</f>
        <v>23.282067242563041</v>
      </c>
      <c r="AC76" s="22">
        <f>(AB76/F76)/($AB$2000/$F$2000)*100</f>
        <v>65.207122430152182</v>
      </c>
      <c r="AD76" s="22"/>
    </row>
    <row r="77" spans="1:30" ht="15.75" customHeight="1" x14ac:dyDescent="0.15">
      <c r="A77" s="34">
        <v>76</v>
      </c>
      <c r="B77" s="35" t="s">
        <v>3140</v>
      </c>
      <c r="C77" s="43" t="s">
        <v>2649</v>
      </c>
      <c r="D77" s="34">
        <v>0.25900000000000001</v>
      </c>
      <c r="E77" s="34">
        <v>91</v>
      </c>
      <c r="F77" s="33">
        <v>337</v>
      </c>
      <c r="G77" s="34">
        <v>313</v>
      </c>
      <c r="H77" s="34">
        <v>18</v>
      </c>
      <c r="I77" s="34">
        <v>81</v>
      </c>
      <c r="J77" s="34">
        <v>9</v>
      </c>
      <c r="K77" s="34">
        <v>2</v>
      </c>
      <c r="L77" s="34">
        <v>1</v>
      </c>
      <c r="M77" s="34">
        <v>97</v>
      </c>
      <c r="N77" s="34">
        <v>33</v>
      </c>
      <c r="O77" s="34">
        <v>2</v>
      </c>
      <c r="P77" s="34">
        <v>0</v>
      </c>
      <c r="Q77" s="34">
        <v>5</v>
      </c>
      <c r="R77" s="34">
        <v>3</v>
      </c>
      <c r="S77" s="34">
        <v>9</v>
      </c>
      <c r="T77" s="34">
        <v>1</v>
      </c>
      <c r="U77" s="34">
        <v>7</v>
      </c>
      <c r="V77" s="34">
        <v>28</v>
      </c>
      <c r="W77" s="34">
        <v>12</v>
      </c>
      <c r="X77" s="34">
        <v>0.29199999999999998</v>
      </c>
      <c r="Y77" s="34">
        <v>0.31</v>
      </c>
      <c r="Z77" s="22">
        <f>X77+Y77</f>
        <v>0.60199999999999998</v>
      </c>
      <c r="AA77" s="22">
        <f>(0.692*(S77+T77)+0.73*U77+0.865*(I77-(J77+K77+L77))+1.334+J77+1.725*K77+2.065*L77)/(G77+S77-T77+U77+R77)</f>
        <v>0.26454380664652571</v>
      </c>
      <c r="AB77" s="22">
        <f>((AA77-$AA$2000)/1.24+$H$2000/$F$2000)*F77</f>
        <v>25.633657732318593</v>
      </c>
      <c r="AC77" s="22">
        <f>(AB77/F77)/($AB$2000/$F$2000)*100</f>
        <v>72.858509514066014</v>
      </c>
      <c r="AD77" s="22"/>
    </row>
    <row r="78" spans="1:30" ht="15.75" customHeight="1" x14ac:dyDescent="0.15">
      <c r="A78" s="30">
        <v>77</v>
      </c>
      <c r="B78" s="31" t="s">
        <v>3141</v>
      </c>
      <c r="C78" s="53" t="s">
        <v>198</v>
      </c>
      <c r="D78" s="30">
        <v>0.23200000000000001</v>
      </c>
      <c r="E78" s="30">
        <v>124</v>
      </c>
      <c r="F78" s="33">
        <v>334</v>
      </c>
      <c r="G78" s="30">
        <v>293</v>
      </c>
      <c r="H78" s="30">
        <v>26</v>
      </c>
      <c r="I78" s="30">
        <v>68</v>
      </c>
      <c r="J78" s="30">
        <v>12</v>
      </c>
      <c r="K78" s="30">
        <v>0</v>
      </c>
      <c r="L78" s="30">
        <v>13</v>
      </c>
      <c r="M78" s="30">
        <v>119</v>
      </c>
      <c r="N78" s="30">
        <v>42</v>
      </c>
      <c r="O78" s="30">
        <v>0</v>
      </c>
      <c r="P78" s="30">
        <v>0</v>
      </c>
      <c r="Q78" s="30">
        <v>0</v>
      </c>
      <c r="R78" s="30">
        <v>3</v>
      </c>
      <c r="S78" s="30">
        <v>36</v>
      </c>
      <c r="T78" s="30">
        <v>3</v>
      </c>
      <c r="U78" s="30">
        <v>2</v>
      </c>
      <c r="V78" s="30">
        <v>78</v>
      </c>
      <c r="W78" s="30">
        <v>4</v>
      </c>
      <c r="X78" s="30">
        <v>0.317</v>
      </c>
      <c r="Y78" s="30">
        <v>0.40600000000000003</v>
      </c>
      <c r="Z78" s="22">
        <f>X78+Y78</f>
        <v>0.72300000000000009</v>
      </c>
      <c r="AA78" s="22">
        <f>(0.692*(S78+T78)+0.73*U78+0.865*(I78-(J78+K78+L78))+1.334+J78+1.725*K78+2.065*L78)/(G78+S78-T78+U78+R78)</f>
        <v>0.31970392749244714</v>
      </c>
      <c r="AB78" s="22">
        <f>((AA78-$AA$2000)/1.24+$H$2000/$F$2000)*F78</f>
        <v>40.263110387174052</v>
      </c>
      <c r="AC78" s="22">
        <f>(AB78/F78)/($AB$2000/$F$2000)*100</f>
        <v>115.46768456655801</v>
      </c>
      <c r="AD78" s="22"/>
    </row>
    <row r="79" spans="1:30" ht="15.75" customHeight="1" x14ac:dyDescent="0.15">
      <c r="A79" s="34">
        <v>78</v>
      </c>
      <c r="B79" s="35" t="s">
        <v>3142</v>
      </c>
      <c r="C79" s="42" t="s">
        <v>2652</v>
      </c>
      <c r="D79" s="34">
        <v>0.217</v>
      </c>
      <c r="E79" s="34">
        <v>87</v>
      </c>
      <c r="F79" s="33">
        <v>333</v>
      </c>
      <c r="G79" s="34">
        <v>286</v>
      </c>
      <c r="H79" s="34">
        <v>23</v>
      </c>
      <c r="I79" s="34">
        <v>62</v>
      </c>
      <c r="J79" s="34">
        <v>9</v>
      </c>
      <c r="K79" s="34">
        <v>0</v>
      </c>
      <c r="L79" s="34">
        <v>9</v>
      </c>
      <c r="M79" s="34">
        <v>98</v>
      </c>
      <c r="N79" s="34">
        <v>35</v>
      </c>
      <c r="O79" s="34">
        <v>1</v>
      </c>
      <c r="P79" s="34">
        <v>0</v>
      </c>
      <c r="Q79" s="34">
        <v>0</v>
      </c>
      <c r="R79" s="34">
        <v>4</v>
      </c>
      <c r="S79" s="34">
        <v>40</v>
      </c>
      <c r="T79" s="34">
        <v>1</v>
      </c>
      <c r="U79" s="34">
        <v>3</v>
      </c>
      <c r="V79" s="34">
        <v>72</v>
      </c>
      <c r="W79" s="34">
        <v>11</v>
      </c>
      <c r="X79" s="34">
        <v>0.315</v>
      </c>
      <c r="Y79" s="34">
        <v>0.34300000000000003</v>
      </c>
      <c r="Z79" s="22">
        <f>X79+Y79</f>
        <v>0.65800000000000003</v>
      </c>
      <c r="AA79" s="22">
        <f>(0.692*(S79+T79)+0.73*U79+0.865*(I79-(J79+K79+L79))+1.334+J79+1.725*K79+2.065*L79)/(G79+S79-T79+U79+R79)</f>
        <v>0.29379819277108432</v>
      </c>
      <c r="AB79" s="22">
        <f>((AA79-$AA$2000)/1.24+$H$2000/$F$2000)*F79</f>
        <v>33.185618876503028</v>
      </c>
      <c r="AC79" s="22">
        <f>(AB79/F79)/($AB$2000/$F$2000)*100</f>
        <v>95.456452381456927</v>
      </c>
      <c r="AD79" s="22"/>
    </row>
    <row r="80" spans="1:30" ht="15.75" customHeight="1" x14ac:dyDescent="0.15">
      <c r="A80" s="30">
        <v>79</v>
      </c>
      <c r="B80" s="31" t="s">
        <v>3143</v>
      </c>
      <c r="C80" s="39" t="s">
        <v>2649</v>
      </c>
      <c r="D80" s="30">
        <v>0.24099999999999999</v>
      </c>
      <c r="E80" s="30">
        <v>109</v>
      </c>
      <c r="F80" s="33">
        <v>326</v>
      </c>
      <c r="G80" s="30">
        <v>290</v>
      </c>
      <c r="H80" s="30">
        <v>34</v>
      </c>
      <c r="I80" s="30">
        <v>70</v>
      </c>
      <c r="J80" s="30">
        <v>14</v>
      </c>
      <c r="K80" s="30">
        <v>0</v>
      </c>
      <c r="L80" s="30">
        <v>6</v>
      </c>
      <c r="M80" s="30">
        <v>102</v>
      </c>
      <c r="N80" s="30">
        <v>30</v>
      </c>
      <c r="O80" s="30">
        <v>9</v>
      </c>
      <c r="P80" s="30">
        <v>1</v>
      </c>
      <c r="Q80" s="30">
        <v>4</v>
      </c>
      <c r="R80" s="30">
        <v>1</v>
      </c>
      <c r="S80" s="30">
        <v>31</v>
      </c>
      <c r="T80" s="30">
        <v>2</v>
      </c>
      <c r="U80" s="30">
        <v>0</v>
      </c>
      <c r="V80" s="30">
        <v>96</v>
      </c>
      <c r="W80" s="30">
        <v>3</v>
      </c>
      <c r="X80" s="30">
        <v>0.314</v>
      </c>
      <c r="Y80" s="30">
        <v>0.35199999999999998</v>
      </c>
      <c r="Z80" s="22">
        <f>X80+Y80</f>
        <v>0.66599999999999993</v>
      </c>
      <c r="AA80" s="22">
        <f>(0.692*(S80+T80)+0.73*U80+0.865*(I80-(J80+K80+L80))+1.334+J80+1.725*K80+2.065*L80)/(G80+S80-T80+U80+R80)</f>
        <v>0.29315625000000001</v>
      </c>
      <c r="AB80" s="22">
        <f>((AA80-$AA$2000)/1.24+$H$2000/$F$2000)*F80</f>
        <v>32.319254459203265</v>
      </c>
      <c r="AC80" s="22">
        <f>(AB80/F80)/($AB$2000/$F$2000)*100</f>
        <v>94.960575079389045</v>
      </c>
      <c r="AD80" s="22"/>
    </row>
    <row r="81" spans="1:30" ht="15.75" customHeight="1" x14ac:dyDescent="0.15">
      <c r="A81" s="34">
        <v>80</v>
      </c>
      <c r="B81" s="35" t="s">
        <v>3144</v>
      </c>
      <c r="C81" s="48" t="s">
        <v>2647</v>
      </c>
      <c r="D81" s="34">
        <v>0.22600000000000001</v>
      </c>
      <c r="E81" s="34">
        <v>99</v>
      </c>
      <c r="F81" s="33">
        <v>321</v>
      </c>
      <c r="G81" s="34">
        <v>297</v>
      </c>
      <c r="H81" s="34">
        <v>31</v>
      </c>
      <c r="I81" s="34">
        <v>67</v>
      </c>
      <c r="J81" s="34">
        <v>8</v>
      </c>
      <c r="K81" s="34">
        <v>5</v>
      </c>
      <c r="L81" s="34">
        <v>3</v>
      </c>
      <c r="M81" s="34">
        <v>94</v>
      </c>
      <c r="N81" s="34">
        <v>28</v>
      </c>
      <c r="O81" s="34">
        <v>5</v>
      </c>
      <c r="P81" s="34">
        <v>2</v>
      </c>
      <c r="Q81" s="34">
        <v>7</v>
      </c>
      <c r="R81" s="34">
        <v>3</v>
      </c>
      <c r="S81" s="34">
        <v>10</v>
      </c>
      <c r="T81" s="34">
        <v>0</v>
      </c>
      <c r="U81" s="34">
        <v>4</v>
      </c>
      <c r="V81" s="34">
        <v>54</v>
      </c>
      <c r="W81" s="34">
        <v>7</v>
      </c>
      <c r="X81" s="34">
        <v>0.25800000000000001</v>
      </c>
      <c r="Y81" s="34">
        <v>0.316</v>
      </c>
      <c r="Z81" s="22">
        <f>X81+Y81</f>
        <v>0.57400000000000007</v>
      </c>
      <c r="AA81" s="22">
        <f>(0.692*(S81+T81)+0.73*U81+0.865*(I81-(J81+K81+L81))+1.334+J81+1.725*K81+2.065*L81)/(G81+S81-T81+U81+R81)</f>
        <v>0.24875477707006372</v>
      </c>
      <c r="AB81" s="22">
        <f>((AA81-$AA$2000)/1.24+$H$2000/$F$2000)*F81</f>
        <v>20.32930810586571</v>
      </c>
      <c r="AC81" s="22">
        <f>(AB81/F81)/($AB$2000/$F$2000)*100</f>
        <v>60.662061884597364</v>
      </c>
      <c r="AD81" s="22"/>
    </row>
    <row r="82" spans="1:30" ht="15.75" customHeight="1" x14ac:dyDescent="0.15">
      <c r="A82" s="30">
        <v>81</v>
      </c>
      <c r="B82" s="31" t="s">
        <v>3145</v>
      </c>
      <c r="C82" s="37" t="s">
        <v>2647</v>
      </c>
      <c r="D82" s="30">
        <v>0.218</v>
      </c>
      <c r="E82" s="30">
        <v>117</v>
      </c>
      <c r="F82" s="33">
        <v>319</v>
      </c>
      <c r="G82" s="30">
        <v>275</v>
      </c>
      <c r="H82" s="30">
        <v>25</v>
      </c>
      <c r="I82" s="30">
        <v>60</v>
      </c>
      <c r="J82" s="30">
        <v>12</v>
      </c>
      <c r="K82" s="30">
        <v>1</v>
      </c>
      <c r="L82" s="30">
        <v>1</v>
      </c>
      <c r="M82" s="30">
        <v>77</v>
      </c>
      <c r="N82" s="30">
        <v>27</v>
      </c>
      <c r="O82" s="30">
        <v>1</v>
      </c>
      <c r="P82" s="30">
        <v>1</v>
      </c>
      <c r="Q82" s="30">
        <v>12</v>
      </c>
      <c r="R82" s="30">
        <v>3</v>
      </c>
      <c r="S82" s="30">
        <v>29</v>
      </c>
      <c r="T82" s="30">
        <v>0</v>
      </c>
      <c r="U82" s="30">
        <v>0</v>
      </c>
      <c r="V82" s="30">
        <v>44</v>
      </c>
      <c r="W82" s="30">
        <v>3</v>
      </c>
      <c r="X82" s="30">
        <v>0.28999999999999998</v>
      </c>
      <c r="Y82" s="30">
        <v>0.28000000000000003</v>
      </c>
      <c r="Z82" s="22">
        <f>X82+Y82</f>
        <v>0.57000000000000006</v>
      </c>
      <c r="AA82" s="22">
        <f>(0.692*(S82+T82)+0.73*U82+0.865*(I82-(J82+K82+L82))+1.334+J82+1.725*K82+2.065*L82)/(G82+S82-T82+U82+R82)</f>
        <v>0.25075570032573291</v>
      </c>
      <c r="AB82" s="22">
        <f>((AA82-$AA$2000)/1.24+$H$2000/$F$2000)*F82</f>
        <v>20.717399394064692</v>
      </c>
      <c r="AC82" s="22">
        <f>(AB82/F82)/($AB$2000/$F$2000)*100</f>
        <v>62.207701886104275</v>
      </c>
      <c r="AD82" s="22"/>
    </row>
    <row r="83" spans="1:30" ht="15.75" customHeight="1" x14ac:dyDescent="0.15">
      <c r="A83" s="34">
        <v>81</v>
      </c>
      <c r="B83" s="35" t="s">
        <v>3146</v>
      </c>
      <c r="C83" s="58" t="s">
        <v>2645</v>
      </c>
      <c r="D83" s="34">
        <v>0.19700000000000001</v>
      </c>
      <c r="E83" s="34">
        <v>97</v>
      </c>
      <c r="F83" s="33">
        <v>319</v>
      </c>
      <c r="G83" s="34">
        <v>279</v>
      </c>
      <c r="H83" s="34">
        <v>19</v>
      </c>
      <c r="I83" s="34">
        <v>55</v>
      </c>
      <c r="J83" s="34">
        <v>7</v>
      </c>
      <c r="K83" s="34">
        <v>1</v>
      </c>
      <c r="L83" s="34">
        <v>10</v>
      </c>
      <c r="M83" s="34">
        <v>94</v>
      </c>
      <c r="N83" s="34">
        <v>36</v>
      </c>
      <c r="O83" s="34">
        <v>2</v>
      </c>
      <c r="P83" s="34">
        <v>1</v>
      </c>
      <c r="Q83" s="34">
        <v>10</v>
      </c>
      <c r="R83" s="34">
        <v>2</v>
      </c>
      <c r="S83" s="34">
        <v>25</v>
      </c>
      <c r="T83" s="34">
        <v>4</v>
      </c>
      <c r="U83" s="34">
        <v>3</v>
      </c>
      <c r="V83" s="34">
        <v>98</v>
      </c>
      <c r="W83" s="34">
        <v>9</v>
      </c>
      <c r="X83" s="34">
        <v>0.26900000000000002</v>
      </c>
      <c r="Y83" s="34">
        <v>0.33700000000000002</v>
      </c>
      <c r="Z83" s="22">
        <f>X83+Y83</f>
        <v>0.60600000000000009</v>
      </c>
      <c r="AA83" s="22">
        <f>(0.692*(S83+T83)+0.73*U83+0.865*(I83-(J83+K83+L83))+1.334+J83+1.725*K83+2.065*L83)/(G83+S83-T83+U83+R83)</f>
        <v>0.27859672131147545</v>
      </c>
      <c r="AB83" s="22">
        <f>((AA83-$AA$2000)/1.24+$H$2000/$F$2000)*F83</f>
        <v>27.879726567009747</v>
      </c>
      <c r="AC83" s="22">
        <f>(AB83/F83)/($AB$2000/$F$2000)*100</f>
        <v>83.713871898589304</v>
      </c>
      <c r="AD83" s="22"/>
    </row>
    <row r="84" spans="1:30" ht="15.75" customHeight="1" x14ac:dyDescent="0.15">
      <c r="A84" s="30">
        <v>83</v>
      </c>
      <c r="B84" s="31" t="s">
        <v>3147</v>
      </c>
      <c r="C84" s="49" t="s">
        <v>2655</v>
      </c>
      <c r="D84" s="30">
        <v>0.26300000000000001</v>
      </c>
      <c r="E84" s="30">
        <v>87</v>
      </c>
      <c r="F84" s="33">
        <v>318</v>
      </c>
      <c r="G84" s="30">
        <v>278</v>
      </c>
      <c r="H84" s="30">
        <v>35</v>
      </c>
      <c r="I84" s="30">
        <v>73</v>
      </c>
      <c r="J84" s="30">
        <v>19</v>
      </c>
      <c r="K84" s="30">
        <v>3</v>
      </c>
      <c r="L84" s="30">
        <v>2</v>
      </c>
      <c r="M84" s="30">
        <v>104</v>
      </c>
      <c r="N84" s="30">
        <v>43</v>
      </c>
      <c r="O84" s="30">
        <v>0</v>
      </c>
      <c r="P84" s="30">
        <v>0</v>
      </c>
      <c r="Q84" s="30">
        <v>1</v>
      </c>
      <c r="R84" s="30">
        <v>4</v>
      </c>
      <c r="S84" s="30">
        <v>34</v>
      </c>
      <c r="T84" s="30">
        <v>1</v>
      </c>
      <c r="U84" s="30">
        <v>1</v>
      </c>
      <c r="V84" s="30">
        <v>69</v>
      </c>
      <c r="W84" s="30">
        <v>5</v>
      </c>
      <c r="X84" s="30">
        <v>0.34100000000000003</v>
      </c>
      <c r="Y84" s="30">
        <v>0.374</v>
      </c>
      <c r="Z84" s="22">
        <f>X84+Y84</f>
        <v>0.71500000000000008</v>
      </c>
      <c r="AA84" s="22">
        <f>(0.692*(S84+T84)+0.73*U84+0.865*(I84-(J84+K84+L84))+1.334+J84+1.725*K84+2.065*L84)/(G84+S84-T84+U84+R84)</f>
        <v>0.306879746835443</v>
      </c>
      <c r="AB84" s="22">
        <f>((AA84-$AA$2000)/1.24+$H$2000/$F$2000)*F84</f>
        <v>35.04555681844878</v>
      </c>
      <c r="AC84" s="22">
        <f>(AB84/F84)/($AB$2000/$F$2000)*100</f>
        <v>105.56147424396995</v>
      </c>
      <c r="AD84" s="22"/>
    </row>
    <row r="85" spans="1:30" ht="15.75" customHeight="1" x14ac:dyDescent="0.15">
      <c r="A85" s="34">
        <v>84</v>
      </c>
      <c r="B85" s="35" t="s">
        <v>3148</v>
      </c>
      <c r="C85" s="48" t="s">
        <v>2647</v>
      </c>
      <c r="D85" s="34">
        <v>0.25</v>
      </c>
      <c r="E85" s="34">
        <v>91</v>
      </c>
      <c r="F85" s="33">
        <v>312</v>
      </c>
      <c r="G85" s="34">
        <v>284</v>
      </c>
      <c r="H85" s="34">
        <v>25</v>
      </c>
      <c r="I85" s="34">
        <v>71</v>
      </c>
      <c r="J85" s="34">
        <v>18</v>
      </c>
      <c r="K85" s="34">
        <v>1</v>
      </c>
      <c r="L85" s="34">
        <v>3</v>
      </c>
      <c r="M85" s="34">
        <v>100</v>
      </c>
      <c r="N85" s="34">
        <v>19</v>
      </c>
      <c r="O85" s="34">
        <v>1</v>
      </c>
      <c r="P85" s="34">
        <v>1</v>
      </c>
      <c r="Q85" s="34">
        <v>1</v>
      </c>
      <c r="R85" s="34">
        <v>1</v>
      </c>
      <c r="S85" s="34">
        <v>24</v>
      </c>
      <c r="T85" s="34">
        <v>0</v>
      </c>
      <c r="U85" s="34">
        <v>2</v>
      </c>
      <c r="V85" s="34">
        <v>60</v>
      </c>
      <c r="W85" s="34">
        <v>2</v>
      </c>
      <c r="X85" s="34">
        <v>0.312</v>
      </c>
      <c r="Y85" s="34">
        <v>0.35199999999999998</v>
      </c>
      <c r="Z85" s="22">
        <f>X85+Y85</f>
        <v>0.66399999999999992</v>
      </c>
      <c r="AA85" s="22">
        <f>(0.692*(S85+T85)+0.73*U85+0.865*(I85-(J85+K85+L85))+1.334+J85+1.725*K85+2.065*L85)/(G85+S85-T85+U85+R85)</f>
        <v>0.28201607717041799</v>
      </c>
      <c r="AB85" s="22">
        <f>((AA85-$AA$2000)/1.24+$H$2000/$F$2000)*F85</f>
        <v>28.128299788081616</v>
      </c>
      <c r="AC85" s="22">
        <f>(AB85/F85)/($AB$2000/$F$2000)*100</f>
        <v>86.355199185877524</v>
      </c>
      <c r="AD85" s="22"/>
    </row>
    <row r="86" spans="1:30" ht="15.75" customHeight="1" x14ac:dyDescent="0.15">
      <c r="A86" s="30">
        <v>85</v>
      </c>
      <c r="B86" s="31" t="s">
        <v>3149</v>
      </c>
      <c r="C86" s="37" t="s">
        <v>2647</v>
      </c>
      <c r="D86" s="30">
        <v>0.26600000000000001</v>
      </c>
      <c r="E86" s="30">
        <v>86</v>
      </c>
      <c r="F86" s="33">
        <v>307</v>
      </c>
      <c r="G86" s="30">
        <v>274</v>
      </c>
      <c r="H86" s="30">
        <v>45</v>
      </c>
      <c r="I86" s="30">
        <v>73</v>
      </c>
      <c r="J86" s="30">
        <v>18</v>
      </c>
      <c r="K86" s="30">
        <v>0</v>
      </c>
      <c r="L86" s="30">
        <v>13</v>
      </c>
      <c r="M86" s="30">
        <v>130</v>
      </c>
      <c r="N86" s="30">
        <v>39</v>
      </c>
      <c r="O86" s="30">
        <v>7</v>
      </c>
      <c r="P86" s="30">
        <v>1</v>
      </c>
      <c r="Q86" s="30">
        <v>7</v>
      </c>
      <c r="R86" s="30">
        <v>1</v>
      </c>
      <c r="S86" s="30">
        <v>18</v>
      </c>
      <c r="T86" s="30">
        <v>0</v>
      </c>
      <c r="U86" s="30">
        <v>7</v>
      </c>
      <c r="V86" s="30">
        <v>63</v>
      </c>
      <c r="W86" s="30">
        <v>6</v>
      </c>
      <c r="X86" s="30">
        <v>0.32700000000000001</v>
      </c>
      <c r="Y86" s="30">
        <v>0.47399999999999998</v>
      </c>
      <c r="Z86" s="22">
        <f>X86+Y86</f>
        <v>0.80099999999999993</v>
      </c>
      <c r="AA86" s="22">
        <f>(0.692*(S86+T86)+0.73*U86+0.865*(I86-(J86+K86+L86))+1.334+J86+1.725*K86+2.065*L86)/(G86+S86-T86+U86+R86)</f>
        <v>0.33358333333333334</v>
      </c>
      <c r="AB86" s="22">
        <f>((AA86-$AA$2000)/1.24+$H$2000/$F$2000)*F86</f>
        <v>40.444580303028317</v>
      </c>
      <c r="AC86" s="22">
        <f>(AB86/F86)/($AB$2000/$F$2000)*100</f>
        <v>126.18901773315545</v>
      </c>
      <c r="AD86" s="22"/>
    </row>
    <row r="87" spans="1:30" ht="15.75" customHeight="1" x14ac:dyDescent="0.15">
      <c r="A87" s="34">
        <v>86</v>
      </c>
      <c r="B87" s="35" t="s">
        <v>3150</v>
      </c>
      <c r="C87" s="51" t="s">
        <v>2655</v>
      </c>
      <c r="D87" s="34">
        <v>0.24399999999999999</v>
      </c>
      <c r="E87" s="34">
        <v>108</v>
      </c>
      <c r="F87" s="33">
        <v>304</v>
      </c>
      <c r="G87" s="34">
        <v>266</v>
      </c>
      <c r="H87" s="34">
        <v>43</v>
      </c>
      <c r="I87" s="34">
        <v>65</v>
      </c>
      <c r="J87" s="34">
        <v>5</v>
      </c>
      <c r="K87" s="34">
        <v>3</v>
      </c>
      <c r="L87" s="34">
        <v>1</v>
      </c>
      <c r="M87" s="34">
        <v>79</v>
      </c>
      <c r="N87" s="34">
        <v>26</v>
      </c>
      <c r="O87" s="34">
        <v>22</v>
      </c>
      <c r="P87" s="34">
        <v>4</v>
      </c>
      <c r="Q87" s="34">
        <v>11</v>
      </c>
      <c r="R87" s="34">
        <v>2</v>
      </c>
      <c r="S87" s="34">
        <v>24</v>
      </c>
      <c r="T87" s="34">
        <v>0</v>
      </c>
      <c r="U87" s="34">
        <v>1</v>
      </c>
      <c r="V87" s="34">
        <v>76</v>
      </c>
      <c r="W87" s="34">
        <v>2</v>
      </c>
      <c r="X87" s="34">
        <v>0.307</v>
      </c>
      <c r="Y87" s="34">
        <v>0.29699999999999999</v>
      </c>
      <c r="Z87" s="22">
        <f>X87+Y87</f>
        <v>0.60399999999999998</v>
      </c>
      <c r="AA87" s="22">
        <f>(0.692*(S87+T87)+0.73*U87+0.865*(I87-(J87+K87+L87))+1.334+J87+1.725*K87+2.065*L87)/(G87+S87-T87+U87+R87)</f>
        <v>0.27082593856655285</v>
      </c>
      <c r="AB87" s="22">
        <f>((AA87-$AA$2000)/1.24+$H$2000/$F$2000)*F87</f>
        <v>24.663672512964865</v>
      </c>
      <c r="AC87" s="22">
        <f>(AB87/F87)/($AB$2000/$F$2000)*100</f>
        <v>77.711226559972857</v>
      </c>
      <c r="AD87" s="22"/>
    </row>
    <row r="88" spans="1:30" ht="15.75" customHeight="1" x14ac:dyDescent="0.15">
      <c r="A88" s="30">
        <v>87</v>
      </c>
      <c r="B88" s="31" t="s">
        <v>3151</v>
      </c>
      <c r="C88" s="54" t="s">
        <v>2650</v>
      </c>
      <c r="D88" s="30">
        <v>0.248</v>
      </c>
      <c r="E88" s="30">
        <v>89</v>
      </c>
      <c r="F88" s="33">
        <v>300</v>
      </c>
      <c r="G88" s="30">
        <v>274</v>
      </c>
      <c r="H88" s="30">
        <v>31</v>
      </c>
      <c r="I88" s="30">
        <v>68</v>
      </c>
      <c r="J88" s="30">
        <v>14</v>
      </c>
      <c r="K88" s="30">
        <v>1</v>
      </c>
      <c r="L88" s="30">
        <v>4</v>
      </c>
      <c r="M88" s="30">
        <v>96</v>
      </c>
      <c r="N88" s="30">
        <v>19</v>
      </c>
      <c r="O88" s="30">
        <v>1</v>
      </c>
      <c r="P88" s="30">
        <v>1</v>
      </c>
      <c r="Q88" s="30">
        <v>2</v>
      </c>
      <c r="R88" s="30">
        <v>1</v>
      </c>
      <c r="S88" s="30">
        <v>20</v>
      </c>
      <c r="T88" s="30">
        <v>4</v>
      </c>
      <c r="U88" s="30">
        <v>2</v>
      </c>
      <c r="V88" s="30">
        <v>34</v>
      </c>
      <c r="W88" s="30">
        <v>7</v>
      </c>
      <c r="X88" s="30">
        <v>0.30299999999999999</v>
      </c>
      <c r="Y88" s="30">
        <v>0.35</v>
      </c>
      <c r="Z88" s="22">
        <f>X88+Y88</f>
        <v>0.65300000000000002</v>
      </c>
      <c r="AA88" s="22">
        <f>(0.692*(S88+T88)+0.73*U88+0.865*(I88-(J88+K88+L88))+1.334+J88+1.725*K88+2.065*L88)/(G88+S88-T88+U88+R88)</f>
        <v>0.29273720136518772</v>
      </c>
      <c r="AB88" s="22">
        <f>((AA88-$AA$2000)/1.24+$H$2000/$F$2000)*F88</f>
        <v>29.640262473626986</v>
      </c>
      <c r="AC88" s="22">
        <f>(AB88/F88)/($AB$2000/$F$2000)*100</f>
        <v>94.636875341926554</v>
      </c>
      <c r="AD88" s="22"/>
    </row>
    <row r="89" spans="1:30" ht="15.75" customHeight="1" x14ac:dyDescent="0.15">
      <c r="A89" s="34">
        <v>88</v>
      </c>
      <c r="B89" s="35" t="s">
        <v>3152</v>
      </c>
      <c r="C89" s="50" t="s">
        <v>198</v>
      </c>
      <c r="D89" s="34">
        <v>0.183</v>
      </c>
      <c r="E89" s="34">
        <v>102</v>
      </c>
      <c r="F89" s="33">
        <v>299</v>
      </c>
      <c r="G89" s="34">
        <v>246</v>
      </c>
      <c r="H89" s="34">
        <v>20</v>
      </c>
      <c r="I89" s="34">
        <v>45</v>
      </c>
      <c r="J89" s="34">
        <v>6</v>
      </c>
      <c r="K89" s="34">
        <v>0</v>
      </c>
      <c r="L89" s="34">
        <v>6</v>
      </c>
      <c r="M89" s="34">
        <v>69</v>
      </c>
      <c r="N89" s="34">
        <v>18</v>
      </c>
      <c r="O89" s="34">
        <v>0</v>
      </c>
      <c r="P89" s="34">
        <v>0</v>
      </c>
      <c r="Q89" s="34">
        <v>9</v>
      </c>
      <c r="R89" s="34">
        <v>1</v>
      </c>
      <c r="S89" s="34">
        <v>41</v>
      </c>
      <c r="T89" s="34">
        <v>2</v>
      </c>
      <c r="U89" s="34">
        <v>2</v>
      </c>
      <c r="V89" s="34">
        <v>77</v>
      </c>
      <c r="W89" s="34">
        <v>8</v>
      </c>
      <c r="X89" s="34">
        <v>0.30299999999999999</v>
      </c>
      <c r="Y89" s="34">
        <v>0.28000000000000003</v>
      </c>
      <c r="Z89" s="22">
        <f>X89+Y89</f>
        <v>0.58299999999999996</v>
      </c>
      <c r="AA89" s="22">
        <f>(0.692*(S89+T89)+0.73*U89+0.865*(I89-(J89+K89+L89))+1.334+J89+1.725*K89+2.065*L89)/(G89+S89-T89+U89+R89)</f>
        <v>0.27598958333333334</v>
      </c>
      <c r="AB89" s="22">
        <f>((AA89-$AA$2000)/1.24+$H$2000/$F$2000)*F89</f>
        <v>25.503124670066143</v>
      </c>
      <c r="AC89" s="22">
        <f>(AB89/F89)/($AB$2000/$F$2000)*100</f>
        <v>81.69995320528264</v>
      </c>
      <c r="AD89" s="22"/>
    </row>
    <row r="90" spans="1:30" ht="15.75" customHeight="1" x14ac:dyDescent="0.15">
      <c r="A90" s="30">
        <v>89</v>
      </c>
      <c r="B90" s="31" t="s">
        <v>3153</v>
      </c>
      <c r="C90" s="53" t="s">
        <v>198</v>
      </c>
      <c r="D90" s="30">
        <v>0.20300000000000001</v>
      </c>
      <c r="E90" s="30">
        <v>109</v>
      </c>
      <c r="F90" s="33">
        <v>295</v>
      </c>
      <c r="G90" s="30">
        <v>256</v>
      </c>
      <c r="H90" s="30">
        <v>14</v>
      </c>
      <c r="I90" s="30">
        <v>52</v>
      </c>
      <c r="J90" s="30">
        <v>3</v>
      </c>
      <c r="K90" s="30">
        <v>3</v>
      </c>
      <c r="L90" s="30">
        <v>0</v>
      </c>
      <c r="M90" s="30">
        <v>61</v>
      </c>
      <c r="N90" s="30">
        <v>10</v>
      </c>
      <c r="O90" s="30">
        <v>5</v>
      </c>
      <c r="P90" s="30">
        <v>3</v>
      </c>
      <c r="Q90" s="30">
        <v>10</v>
      </c>
      <c r="R90" s="30">
        <v>2</v>
      </c>
      <c r="S90" s="30">
        <v>21</v>
      </c>
      <c r="T90" s="30">
        <v>2</v>
      </c>
      <c r="U90" s="30">
        <v>6</v>
      </c>
      <c r="V90" s="30">
        <v>49</v>
      </c>
      <c r="W90" s="30">
        <v>1</v>
      </c>
      <c r="X90" s="30">
        <v>0.27700000000000002</v>
      </c>
      <c r="Y90" s="30">
        <v>0.23799999999999999</v>
      </c>
      <c r="Z90" s="22">
        <f>X90+Y90</f>
        <v>0.51500000000000001</v>
      </c>
      <c r="AA90" s="22">
        <f>(0.692*(S90+T90)+0.73*U90+0.865*(I90-(J90+K90+L90))+1.334+J90+1.725*K90+2.065*L90)/(G90+S90-T90+U90+R90)</f>
        <v>0.24591872791519434</v>
      </c>
      <c r="AB90" s="22">
        <f>((AA90-$AA$2000)/1.24+$H$2000/$F$2000)*F90</f>
        <v>18.007992237979401</v>
      </c>
      <c r="AC90" s="22">
        <f>(AB90/F90)/($AB$2000/$F$2000)*100</f>
        <v>58.471317683096281</v>
      </c>
      <c r="AD90" s="22"/>
    </row>
    <row r="91" spans="1:30" ht="15.75" customHeight="1" x14ac:dyDescent="0.15">
      <c r="A91" s="34">
        <v>90</v>
      </c>
      <c r="B91" s="35" t="s">
        <v>3154</v>
      </c>
      <c r="C91" s="43" t="s">
        <v>2649</v>
      </c>
      <c r="D91" s="34">
        <v>0.223</v>
      </c>
      <c r="E91" s="34">
        <v>98</v>
      </c>
      <c r="F91" s="33">
        <v>291</v>
      </c>
      <c r="G91" s="34">
        <v>265</v>
      </c>
      <c r="H91" s="34">
        <v>25</v>
      </c>
      <c r="I91" s="34">
        <v>59</v>
      </c>
      <c r="J91" s="34">
        <v>14</v>
      </c>
      <c r="K91" s="34">
        <v>1</v>
      </c>
      <c r="L91" s="34">
        <v>4</v>
      </c>
      <c r="M91" s="34">
        <v>87</v>
      </c>
      <c r="N91" s="34">
        <v>27</v>
      </c>
      <c r="O91" s="34">
        <v>1</v>
      </c>
      <c r="P91" s="34">
        <v>1</v>
      </c>
      <c r="Q91" s="34">
        <v>1</v>
      </c>
      <c r="R91" s="34">
        <v>1</v>
      </c>
      <c r="S91" s="34">
        <v>23</v>
      </c>
      <c r="T91" s="34">
        <v>4</v>
      </c>
      <c r="U91" s="34">
        <v>1</v>
      </c>
      <c r="V91" s="34">
        <v>74</v>
      </c>
      <c r="W91" s="34">
        <v>4</v>
      </c>
      <c r="X91" s="34">
        <v>0.28599999999999998</v>
      </c>
      <c r="Y91" s="34">
        <v>0.32800000000000001</v>
      </c>
      <c r="Z91" s="22">
        <f>X91+Y91</f>
        <v>0.61399999999999999</v>
      </c>
      <c r="AA91" s="22">
        <f>(0.692*(S91+T91)+0.73*U91+0.865*(I91-(J91+K91+L91))+1.334+J91+1.725*K91+2.065*L91)/(G91+S91-T91+U91+R91)</f>
        <v>0.27738811188811191</v>
      </c>
      <c r="AB91" s="22">
        <f>((AA91-$AA$2000)/1.24+$H$2000/$F$2000)*F91</f>
        <v>25.148969891491518</v>
      </c>
      <c r="AC91" s="22">
        <f>(AB91/F91)/($AB$2000/$F$2000)*100</f>
        <v>82.780265341888011</v>
      </c>
      <c r="AD91" s="22"/>
    </row>
    <row r="92" spans="1:30" ht="15.75" customHeight="1" x14ac:dyDescent="0.15">
      <c r="A92" s="30">
        <v>91</v>
      </c>
      <c r="B92" s="31" t="s">
        <v>3155</v>
      </c>
      <c r="C92" s="52" t="s">
        <v>2646</v>
      </c>
      <c r="D92" s="30">
        <v>0.26600000000000001</v>
      </c>
      <c r="E92" s="30">
        <v>94</v>
      </c>
      <c r="F92" s="33">
        <v>289</v>
      </c>
      <c r="G92" s="30">
        <v>267</v>
      </c>
      <c r="H92" s="30">
        <v>28</v>
      </c>
      <c r="I92" s="30">
        <v>71</v>
      </c>
      <c r="J92" s="30">
        <v>8</v>
      </c>
      <c r="K92" s="30">
        <v>4</v>
      </c>
      <c r="L92" s="30">
        <v>7</v>
      </c>
      <c r="M92" s="30">
        <v>108</v>
      </c>
      <c r="N92" s="30">
        <v>30</v>
      </c>
      <c r="O92" s="30">
        <v>4</v>
      </c>
      <c r="P92" s="30">
        <v>2</v>
      </c>
      <c r="Q92" s="30">
        <v>11</v>
      </c>
      <c r="R92" s="30">
        <v>1</v>
      </c>
      <c r="S92" s="30">
        <v>10</v>
      </c>
      <c r="T92" s="30">
        <v>1</v>
      </c>
      <c r="U92" s="30">
        <v>0</v>
      </c>
      <c r="V92" s="30">
        <v>55</v>
      </c>
      <c r="W92" s="30">
        <v>4</v>
      </c>
      <c r="X92" s="30">
        <v>0.29099999999999998</v>
      </c>
      <c r="Y92" s="30">
        <v>0.40400000000000003</v>
      </c>
      <c r="Z92" s="22">
        <f>X92+Y92</f>
        <v>0.69500000000000006</v>
      </c>
      <c r="AA92" s="22">
        <f>(0.692*(S92+T92)+0.73*U92+0.865*(I92-(J92+K92+L92))+1.334+J92+1.725*K92+2.065*L92)/(G92+S92-T92+U92+R92)</f>
        <v>0.3006534296028881</v>
      </c>
      <c r="AB92" s="22">
        <f>((AA92-$AA$2000)/1.24+$H$2000/$F$2000)*F92</f>
        <v>30.398444753380616</v>
      </c>
      <c r="AC92" s="22">
        <f>(AB92/F92)/($AB$2000/$F$2000)*100</f>
        <v>100.75187200188394</v>
      </c>
      <c r="AD92" s="22"/>
    </row>
    <row r="93" spans="1:30" ht="15.75" customHeight="1" x14ac:dyDescent="0.15">
      <c r="A93" s="34">
        <v>92</v>
      </c>
      <c r="B93" s="35" t="s">
        <v>3156</v>
      </c>
      <c r="C93" s="42" t="s">
        <v>2652</v>
      </c>
      <c r="D93" s="34">
        <v>0.20200000000000001</v>
      </c>
      <c r="E93" s="34">
        <v>100</v>
      </c>
      <c r="F93" s="33">
        <v>285</v>
      </c>
      <c r="G93" s="34">
        <v>257</v>
      </c>
      <c r="H93" s="34">
        <v>19</v>
      </c>
      <c r="I93" s="34">
        <v>52</v>
      </c>
      <c r="J93" s="34">
        <v>7</v>
      </c>
      <c r="K93" s="34">
        <v>0</v>
      </c>
      <c r="L93" s="34">
        <v>3</v>
      </c>
      <c r="M93" s="34">
        <v>68</v>
      </c>
      <c r="N93" s="34">
        <v>18</v>
      </c>
      <c r="O93" s="34">
        <v>0</v>
      </c>
      <c r="P93" s="34">
        <v>1</v>
      </c>
      <c r="Q93" s="34">
        <v>7</v>
      </c>
      <c r="R93" s="34">
        <v>2</v>
      </c>
      <c r="S93" s="34">
        <v>18</v>
      </c>
      <c r="T93" s="34">
        <v>0</v>
      </c>
      <c r="U93" s="34">
        <v>1</v>
      </c>
      <c r="V93" s="34">
        <v>70</v>
      </c>
      <c r="W93" s="34">
        <v>4</v>
      </c>
      <c r="X93" s="34">
        <v>0.255</v>
      </c>
      <c r="Y93" s="34">
        <v>0.26500000000000001</v>
      </c>
      <c r="Z93" s="22">
        <f>X93+Y93</f>
        <v>0.52</v>
      </c>
      <c r="AA93" s="22">
        <f>(0.692*(S93+T93)+0.73*U93+0.865*(I93-(J93+K93+L93))+1.334+J93+1.725*K93+2.065*L93)/(G93+S93-T93+U93+R93)</f>
        <v>0.23037769784172663</v>
      </c>
      <c r="AB93" s="22">
        <f>((AA93-$AA$2000)/1.24+$H$2000/$F$2000)*F93</f>
        <v>13.825621523988854</v>
      </c>
      <c r="AC93" s="22">
        <f>(AB93/F93)/($AB$2000/$F$2000)*100</f>
        <v>46.466440595424153</v>
      </c>
      <c r="AD93" s="22"/>
    </row>
    <row r="94" spans="1:30" ht="15.75" customHeight="1" x14ac:dyDescent="0.15">
      <c r="A94" s="30">
        <v>92</v>
      </c>
      <c r="B94" s="31" t="s">
        <v>3157</v>
      </c>
      <c r="C94" s="53" t="s">
        <v>198</v>
      </c>
      <c r="D94" s="30">
        <v>0.247</v>
      </c>
      <c r="E94" s="30">
        <v>83</v>
      </c>
      <c r="F94" s="33">
        <v>285</v>
      </c>
      <c r="G94" s="30">
        <v>267</v>
      </c>
      <c r="H94" s="30">
        <v>32</v>
      </c>
      <c r="I94" s="30">
        <v>66</v>
      </c>
      <c r="J94" s="30">
        <v>8</v>
      </c>
      <c r="K94" s="30">
        <v>4</v>
      </c>
      <c r="L94" s="30">
        <v>3</v>
      </c>
      <c r="M94" s="30">
        <v>91</v>
      </c>
      <c r="N94" s="30">
        <v>16</v>
      </c>
      <c r="O94" s="30">
        <v>6</v>
      </c>
      <c r="P94" s="30">
        <v>5</v>
      </c>
      <c r="Q94" s="30">
        <v>2</v>
      </c>
      <c r="R94" s="30">
        <v>1</v>
      </c>
      <c r="S94" s="30">
        <v>12</v>
      </c>
      <c r="T94" s="30">
        <v>0</v>
      </c>
      <c r="U94" s="30">
        <v>3</v>
      </c>
      <c r="V94" s="30">
        <v>44</v>
      </c>
      <c r="W94" s="30">
        <v>3</v>
      </c>
      <c r="X94" s="30">
        <v>0.28599999999999998</v>
      </c>
      <c r="Y94" s="30">
        <v>0.34100000000000003</v>
      </c>
      <c r="Z94" s="22">
        <f>X94+Y94</f>
        <v>0.627</v>
      </c>
      <c r="AA94" s="22">
        <f>(0.692*(S94+T94)+0.73*U94+0.865*(I94-(J94+K94+L94))+1.334+J94+1.725*K94+2.065*L94)/(G94+S94-T94+U94+R94)</f>
        <v>0.27221908127208483</v>
      </c>
      <c r="AB94" s="22">
        <f>((AA94-$AA$2000)/1.24+$H$2000/$F$2000)*F94</f>
        <v>23.442391102740537</v>
      </c>
      <c r="AC94" s="22">
        <f>(AB94/F94)/($AB$2000/$F$2000)*100</f>
        <v>78.787378325102708</v>
      </c>
      <c r="AD94" s="22"/>
    </row>
    <row r="95" spans="1:30" ht="15.75" customHeight="1" x14ac:dyDescent="0.15">
      <c r="A95" s="34">
        <v>94</v>
      </c>
      <c r="B95" s="35" t="s">
        <v>3422</v>
      </c>
      <c r="C95" s="43" t="s">
        <v>2649</v>
      </c>
      <c r="D95" s="34">
        <v>0.22</v>
      </c>
      <c r="E95" s="34">
        <v>78</v>
      </c>
      <c r="F95" s="33">
        <v>283</v>
      </c>
      <c r="G95" s="34">
        <v>259</v>
      </c>
      <c r="H95" s="34">
        <v>17</v>
      </c>
      <c r="I95" s="34">
        <v>57</v>
      </c>
      <c r="J95" s="34">
        <v>11</v>
      </c>
      <c r="K95" s="34">
        <v>0</v>
      </c>
      <c r="L95" s="34">
        <v>8</v>
      </c>
      <c r="M95" s="34">
        <v>92</v>
      </c>
      <c r="N95" s="34">
        <v>29</v>
      </c>
      <c r="O95" s="34">
        <v>0</v>
      </c>
      <c r="P95" s="34">
        <v>2</v>
      </c>
      <c r="Q95" s="34">
        <v>0</v>
      </c>
      <c r="R95" s="34">
        <v>2</v>
      </c>
      <c r="S95" s="34">
        <v>22</v>
      </c>
      <c r="T95" s="34">
        <v>0</v>
      </c>
      <c r="U95" s="34">
        <v>0</v>
      </c>
      <c r="V95" s="34">
        <v>51</v>
      </c>
      <c r="W95" s="34">
        <v>8</v>
      </c>
      <c r="X95" s="34">
        <v>0.27900000000000003</v>
      </c>
      <c r="Y95" s="34">
        <v>0.35499999999999998</v>
      </c>
      <c r="Z95" s="22">
        <f>X95+Y95</f>
        <v>0.63400000000000001</v>
      </c>
      <c r="AA95" s="22">
        <f>(0.692*(S95+T95)+0.73*U95+0.865*(I95-(J95+K95+L95))+1.334+J95+1.725*K95+2.065*L95)/(G95+S95-T95+U95+R95)</f>
        <v>0.27190106007067133</v>
      </c>
      <c r="AB95" s="22">
        <f>((AA95-$AA$2000)/1.24+$H$2000/$F$2000)*F95</f>
        <v>23.205302449840701</v>
      </c>
      <c r="AC95" s="22">
        <f>(AB95/F95)/($AB$2000/$F$2000)*100</f>
        <v>78.541718583361344</v>
      </c>
      <c r="AD95" s="22"/>
    </row>
    <row r="96" spans="1:30" ht="15.75" customHeight="1" x14ac:dyDescent="0.15">
      <c r="A96" s="30">
        <v>95</v>
      </c>
      <c r="B96" s="31" t="s">
        <v>3158</v>
      </c>
      <c r="C96" s="44" t="s">
        <v>2653</v>
      </c>
      <c r="D96" s="30">
        <v>0.23599999999999999</v>
      </c>
      <c r="E96" s="30">
        <v>87</v>
      </c>
      <c r="F96" s="33">
        <v>276</v>
      </c>
      <c r="G96" s="30">
        <v>254</v>
      </c>
      <c r="H96" s="30">
        <v>29</v>
      </c>
      <c r="I96" s="30">
        <v>60</v>
      </c>
      <c r="J96" s="30">
        <v>6</v>
      </c>
      <c r="K96" s="30">
        <v>1</v>
      </c>
      <c r="L96" s="30">
        <v>0</v>
      </c>
      <c r="M96" s="30">
        <v>68</v>
      </c>
      <c r="N96" s="30">
        <v>16</v>
      </c>
      <c r="O96" s="30">
        <v>3</v>
      </c>
      <c r="P96" s="30">
        <v>3</v>
      </c>
      <c r="Q96" s="30">
        <v>8</v>
      </c>
      <c r="R96" s="30">
        <v>0</v>
      </c>
      <c r="S96" s="30">
        <v>14</v>
      </c>
      <c r="T96" s="30">
        <v>0</v>
      </c>
      <c r="U96" s="30">
        <v>0</v>
      </c>
      <c r="V96" s="30">
        <v>39</v>
      </c>
      <c r="W96" s="30">
        <v>5</v>
      </c>
      <c r="X96" s="30">
        <v>0.27600000000000002</v>
      </c>
      <c r="Y96" s="30">
        <v>0.26800000000000002</v>
      </c>
      <c r="Z96" s="22">
        <f>X96+Y96</f>
        <v>0.54400000000000004</v>
      </c>
      <c r="AA96" s="22">
        <f>(0.692*(S96+T96)+0.73*U96+0.865*(I96-(J96+K96+L96))+1.334+J96+1.725*K96+2.065*L96)/(G96+S96-T96+U96+R96)</f>
        <v>0.24101492537313432</v>
      </c>
      <c r="AB96" s="22">
        <f>((AA96-$AA$2000)/1.24+$H$2000/$F$2000)*F96</f>
        <v>15.756663916215265</v>
      </c>
      <c r="AC96" s="22">
        <f>(AB96/F96)/($AB$2000/$F$2000)*100</f>
        <v>54.683309648792999</v>
      </c>
      <c r="AD96" s="22"/>
    </row>
    <row r="97" spans="1:30" ht="15.75" customHeight="1" x14ac:dyDescent="0.15">
      <c r="A97" s="34">
        <v>96</v>
      </c>
      <c r="B97" s="35" t="s">
        <v>3159</v>
      </c>
      <c r="C97" s="42" t="s">
        <v>2652</v>
      </c>
      <c r="D97" s="34">
        <v>0.27800000000000002</v>
      </c>
      <c r="E97" s="34">
        <v>68</v>
      </c>
      <c r="F97" s="33">
        <v>272</v>
      </c>
      <c r="G97" s="34">
        <v>245</v>
      </c>
      <c r="H97" s="34">
        <v>34</v>
      </c>
      <c r="I97" s="34">
        <v>68</v>
      </c>
      <c r="J97" s="34">
        <v>17</v>
      </c>
      <c r="K97" s="34">
        <v>1</v>
      </c>
      <c r="L97" s="34">
        <v>8</v>
      </c>
      <c r="M97" s="34">
        <v>111</v>
      </c>
      <c r="N97" s="34">
        <v>27</v>
      </c>
      <c r="O97" s="34">
        <v>5</v>
      </c>
      <c r="P97" s="34">
        <v>5</v>
      </c>
      <c r="Q97" s="34">
        <v>0</v>
      </c>
      <c r="R97" s="34">
        <v>2</v>
      </c>
      <c r="S97" s="34">
        <v>23</v>
      </c>
      <c r="T97" s="34">
        <v>0</v>
      </c>
      <c r="U97" s="34">
        <v>2</v>
      </c>
      <c r="V97" s="34">
        <v>30</v>
      </c>
      <c r="W97" s="34">
        <v>7</v>
      </c>
      <c r="X97" s="34">
        <v>0.34200000000000003</v>
      </c>
      <c r="Y97" s="34">
        <v>0.45300000000000001</v>
      </c>
      <c r="Z97" s="22">
        <f>X97+Y97</f>
        <v>0.79500000000000004</v>
      </c>
      <c r="AA97" s="22">
        <f>(0.692*(S97+T97)+0.73*U97+0.865*(I97-(J97+K97+L97))+1.334+J97+1.725*K97+2.065*L97)/(G97+S97-T97+U97+R97)</f>
        <v>0.33193014705882345</v>
      </c>
      <c r="AB97" s="22">
        <f>((AA97-$AA$2000)/1.24+$H$2000/$F$2000)*F97</f>
        <v>35.471000257273083</v>
      </c>
      <c r="AC97" s="22">
        <f>(AB97/F97)/($AB$2000/$F$2000)*100</f>
        <v>124.91199182594738</v>
      </c>
      <c r="AD97" s="22"/>
    </row>
    <row r="98" spans="1:30" ht="15.75" customHeight="1" x14ac:dyDescent="0.15">
      <c r="A98" s="30">
        <v>97</v>
      </c>
      <c r="B98" s="31" t="s">
        <v>3160</v>
      </c>
      <c r="C98" s="41" t="s">
        <v>2651</v>
      </c>
      <c r="D98" s="30">
        <v>0.187</v>
      </c>
      <c r="E98" s="30">
        <v>88</v>
      </c>
      <c r="F98" s="33">
        <v>271</v>
      </c>
      <c r="G98" s="30">
        <v>251</v>
      </c>
      <c r="H98" s="30">
        <v>15</v>
      </c>
      <c r="I98" s="30">
        <v>47</v>
      </c>
      <c r="J98" s="30">
        <v>7</v>
      </c>
      <c r="K98" s="30">
        <v>1</v>
      </c>
      <c r="L98" s="30">
        <v>8</v>
      </c>
      <c r="M98" s="30">
        <v>80</v>
      </c>
      <c r="N98" s="30">
        <v>20</v>
      </c>
      <c r="O98" s="30">
        <v>0</v>
      </c>
      <c r="P98" s="30">
        <v>0</v>
      </c>
      <c r="Q98" s="30">
        <v>0</v>
      </c>
      <c r="R98" s="30">
        <v>2</v>
      </c>
      <c r="S98" s="30">
        <v>15</v>
      </c>
      <c r="T98" s="30">
        <v>0</v>
      </c>
      <c r="U98" s="30">
        <v>3</v>
      </c>
      <c r="V98" s="30">
        <v>77</v>
      </c>
      <c r="W98" s="30">
        <v>3</v>
      </c>
      <c r="X98" s="30">
        <v>0.24</v>
      </c>
      <c r="Y98" s="30">
        <v>0.31900000000000001</v>
      </c>
      <c r="Z98" s="22">
        <f>X98+Y98</f>
        <v>0.55899999999999994</v>
      </c>
      <c r="AA98" s="22">
        <f>(0.692*(S98+T98)+0.73*U98+0.865*(I98-(J98+K98+L98))+1.334+J98+1.725*K98+2.065*L98)/(G98+S98-T98+U98+R98)</f>
        <v>0.24340959409594096</v>
      </c>
      <c r="AB98" s="22">
        <f>((AA98-$AA$2000)/1.24+$H$2000/$F$2000)*F98</f>
        <v>15.994568093139383</v>
      </c>
      <c r="AC98" s="22">
        <f>(AB98/F98)/($AB$2000/$F$2000)*100</f>
        <v>56.533103616572888</v>
      </c>
      <c r="AD98" s="22"/>
    </row>
    <row r="99" spans="1:30" ht="15.75" customHeight="1" x14ac:dyDescent="0.15">
      <c r="A99" s="34">
        <v>97</v>
      </c>
      <c r="B99" s="35" t="s">
        <v>3161</v>
      </c>
      <c r="C99" s="51" t="s">
        <v>2655</v>
      </c>
      <c r="D99" s="34">
        <v>0.19700000000000001</v>
      </c>
      <c r="E99" s="34">
        <v>88</v>
      </c>
      <c r="F99" s="33">
        <v>271</v>
      </c>
      <c r="G99" s="34">
        <v>228</v>
      </c>
      <c r="H99" s="34">
        <v>23</v>
      </c>
      <c r="I99" s="34">
        <v>45</v>
      </c>
      <c r="J99" s="34">
        <v>9</v>
      </c>
      <c r="K99" s="34">
        <v>1</v>
      </c>
      <c r="L99" s="34">
        <v>1</v>
      </c>
      <c r="M99" s="34">
        <v>59</v>
      </c>
      <c r="N99" s="34">
        <v>15</v>
      </c>
      <c r="O99" s="34">
        <v>0</v>
      </c>
      <c r="P99" s="34">
        <v>0</v>
      </c>
      <c r="Q99" s="34">
        <v>20</v>
      </c>
      <c r="R99" s="34">
        <v>2</v>
      </c>
      <c r="S99" s="34">
        <v>20</v>
      </c>
      <c r="T99" s="34">
        <v>0</v>
      </c>
      <c r="U99" s="34">
        <v>1</v>
      </c>
      <c r="V99" s="34">
        <v>69</v>
      </c>
      <c r="W99" s="34">
        <v>7</v>
      </c>
      <c r="X99" s="34">
        <v>0.26300000000000001</v>
      </c>
      <c r="Y99" s="34">
        <v>0.25900000000000001</v>
      </c>
      <c r="Z99" s="22">
        <f>X99+Y99</f>
        <v>0.52200000000000002</v>
      </c>
      <c r="AA99" s="22">
        <f>(0.692*(S99+T99)+0.73*U99+0.865*(I99-(J99+K99+L99))+1.334+J99+1.725*K99+2.065*L99)/(G99+S99-T99+U99+R99)</f>
        <v>0.23149003984063748</v>
      </c>
      <c r="AB99" s="22">
        <f>((AA99-$AA$2000)/1.24+$H$2000/$F$2000)*F99</f>
        <v>13.389568735730318</v>
      </c>
      <c r="AC99" s="22">
        <f>(AB99/F99)/($AB$2000/$F$2000)*100</f>
        <v>47.325684089147138</v>
      </c>
      <c r="AD99" s="22"/>
    </row>
    <row r="100" spans="1:30" ht="15.75" customHeight="1" x14ac:dyDescent="0.15">
      <c r="A100" s="30">
        <v>99</v>
      </c>
      <c r="B100" s="31" t="s">
        <v>3162</v>
      </c>
      <c r="C100" s="55" t="s">
        <v>2652</v>
      </c>
      <c r="D100" s="30">
        <v>0.24099999999999999</v>
      </c>
      <c r="E100" s="30">
        <v>98</v>
      </c>
      <c r="F100" s="33">
        <v>266</v>
      </c>
      <c r="G100" s="30">
        <v>249</v>
      </c>
      <c r="H100" s="30">
        <v>30</v>
      </c>
      <c r="I100" s="30">
        <v>60</v>
      </c>
      <c r="J100" s="30">
        <v>9</v>
      </c>
      <c r="K100" s="30">
        <v>0</v>
      </c>
      <c r="L100" s="30">
        <v>9</v>
      </c>
      <c r="M100" s="30">
        <v>96</v>
      </c>
      <c r="N100" s="30">
        <v>20</v>
      </c>
      <c r="O100" s="30">
        <v>12</v>
      </c>
      <c r="P100" s="30">
        <v>3</v>
      </c>
      <c r="Q100" s="30">
        <v>2</v>
      </c>
      <c r="R100" s="30">
        <v>0</v>
      </c>
      <c r="S100" s="30">
        <v>10</v>
      </c>
      <c r="T100" s="30">
        <v>1</v>
      </c>
      <c r="U100" s="30">
        <v>5</v>
      </c>
      <c r="V100" s="30">
        <v>45</v>
      </c>
      <c r="W100" s="30">
        <v>8</v>
      </c>
      <c r="X100" s="30">
        <v>0.28399999999999997</v>
      </c>
      <c r="Y100" s="30">
        <v>0.38600000000000001</v>
      </c>
      <c r="Z100" s="22">
        <f>X100+Y100</f>
        <v>0.66999999999999993</v>
      </c>
      <c r="AA100" s="22">
        <f>(0.692*(S100+T100)+0.73*U100+0.865*(I100-(J100+K100+L100))+1.334+J100+1.725*K100+2.065*L100)/(G100+S100-T100+U100+R100)</f>
        <v>0.2909163498098859</v>
      </c>
      <c r="AB100" s="22">
        <f>((AA100-$AA$2000)/1.24+$H$2000/$F$2000)*F100</f>
        <v>25.890430699430215</v>
      </c>
      <c r="AC100" s="22">
        <f>(AB100/F100)/($AB$2000/$F$2000)*100</f>
        <v>93.23033414015552</v>
      </c>
      <c r="AD100" s="22"/>
    </row>
    <row r="101" spans="1:30" ht="15.75" customHeight="1" x14ac:dyDescent="0.15">
      <c r="A101" s="34">
        <v>100</v>
      </c>
      <c r="B101" s="35" t="s">
        <v>3163</v>
      </c>
      <c r="C101" s="42" t="s">
        <v>2652</v>
      </c>
      <c r="D101" s="34">
        <v>0.28000000000000003</v>
      </c>
      <c r="E101" s="34">
        <v>72</v>
      </c>
      <c r="F101" s="33">
        <v>263</v>
      </c>
      <c r="G101" s="34">
        <v>243</v>
      </c>
      <c r="H101" s="34">
        <v>21</v>
      </c>
      <c r="I101" s="34">
        <v>68</v>
      </c>
      <c r="J101" s="34">
        <v>13</v>
      </c>
      <c r="K101" s="34">
        <v>1</v>
      </c>
      <c r="L101" s="34">
        <v>8</v>
      </c>
      <c r="M101" s="34">
        <v>107</v>
      </c>
      <c r="N101" s="34">
        <v>33</v>
      </c>
      <c r="O101" s="34">
        <v>0</v>
      </c>
      <c r="P101" s="34">
        <v>0</v>
      </c>
      <c r="Q101" s="34">
        <v>0</v>
      </c>
      <c r="R101" s="34">
        <v>1</v>
      </c>
      <c r="S101" s="34">
        <v>19</v>
      </c>
      <c r="T101" s="34">
        <v>1</v>
      </c>
      <c r="U101" s="34">
        <v>0</v>
      </c>
      <c r="V101" s="34">
        <v>60</v>
      </c>
      <c r="W101" s="34">
        <v>7</v>
      </c>
      <c r="X101" s="34">
        <v>0.33100000000000002</v>
      </c>
      <c r="Y101" s="34">
        <v>0.44</v>
      </c>
      <c r="Z101" s="22">
        <f>X101+Y101</f>
        <v>0.77100000000000002</v>
      </c>
      <c r="AA101" s="22">
        <f>(0.692*(S101+T101)+0.73*U101+0.865*(I101-(J101+K101+L101))+1.334+J101+1.725*K101+2.065*L101)/(G101+S101-T101+U101+R101)</f>
        <v>0.32904198473282437</v>
      </c>
      <c r="AB101" s="22">
        <f>((AA101-$AA$2000)/1.24+$H$2000/$F$2000)*F101</f>
        <v>33.684757541950979</v>
      </c>
      <c r="AC101" s="22">
        <f>(AB101/F101)/($AB$2000/$F$2000)*100</f>
        <v>122.68099210656214</v>
      </c>
      <c r="AD101" s="22"/>
    </row>
    <row r="102" spans="1:30" ht="15.75" customHeight="1" x14ac:dyDescent="0.15">
      <c r="A102" s="30">
        <v>101</v>
      </c>
      <c r="B102" s="31" t="s">
        <v>3164</v>
      </c>
      <c r="C102" s="37" t="s">
        <v>2647</v>
      </c>
      <c r="D102" s="30">
        <v>0.22</v>
      </c>
      <c r="E102" s="30">
        <v>76</v>
      </c>
      <c r="F102" s="33">
        <v>262</v>
      </c>
      <c r="G102" s="30">
        <v>236</v>
      </c>
      <c r="H102" s="30">
        <v>20</v>
      </c>
      <c r="I102" s="30">
        <v>52</v>
      </c>
      <c r="J102" s="30">
        <v>14</v>
      </c>
      <c r="K102" s="30">
        <v>0</v>
      </c>
      <c r="L102" s="30">
        <v>8</v>
      </c>
      <c r="M102" s="30">
        <v>90</v>
      </c>
      <c r="N102" s="30">
        <v>29</v>
      </c>
      <c r="O102" s="30">
        <v>0</v>
      </c>
      <c r="P102" s="30">
        <v>0</v>
      </c>
      <c r="Q102" s="30">
        <v>0</v>
      </c>
      <c r="R102" s="30">
        <v>1</v>
      </c>
      <c r="S102" s="30">
        <v>18</v>
      </c>
      <c r="T102" s="30">
        <v>0</v>
      </c>
      <c r="U102" s="30">
        <v>7</v>
      </c>
      <c r="V102" s="30">
        <v>65</v>
      </c>
      <c r="W102" s="30">
        <v>4</v>
      </c>
      <c r="X102" s="30">
        <v>0.29399999999999998</v>
      </c>
      <c r="Y102" s="30">
        <v>0.38100000000000001</v>
      </c>
      <c r="Z102" s="22">
        <f>X102+Y102</f>
        <v>0.67500000000000004</v>
      </c>
      <c r="AA102" s="22">
        <f>(0.692*(S102+T102)+0.73*U102+0.865*(I102-(J102+K102+L102))+1.334+J102+1.725*K102+2.065*L102)/(G102+S102-T102+U102+R102)</f>
        <v>0.28767175572519088</v>
      </c>
      <c r="AB102" s="22">
        <f>((AA102-$AA$2000)/1.24+$H$2000/$F$2000)*F102</f>
        <v>24.815549583677914</v>
      </c>
      <c r="AC102" s="22">
        <f>(AB102/F102)/($AB$2000/$F$2000)*100</f>
        <v>90.724003928965047</v>
      </c>
      <c r="AD102" s="22"/>
    </row>
    <row r="103" spans="1:30" ht="15.75" customHeight="1" x14ac:dyDescent="0.15">
      <c r="A103" s="34">
        <v>102</v>
      </c>
      <c r="B103" s="35" t="s">
        <v>3165</v>
      </c>
      <c r="C103" s="48" t="s">
        <v>2647</v>
      </c>
      <c r="D103" s="34">
        <v>0.23599999999999999</v>
      </c>
      <c r="E103" s="34">
        <v>74</v>
      </c>
      <c r="F103" s="33">
        <v>257</v>
      </c>
      <c r="G103" s="34">
        <v>237</v>
      </c>
      <c r="H103" s="34">
        <v>23</v>
      </c>
      <c r="I103" s="34">
        <v>56</v>
      </c>
      <c r="J103" s="34">
        <v>8</v>
      </c>
      <c r="K103" s="34">
        <v>2</v>
      </c>
      <c r="L103" s="34">
        <v>7</v>
      </c>
      <c r="M103" s="34">
        <v>89</v>
      </c>
      <c r="N103" s="34">
        <v>22</v>
      </c>
      <c r="O103" s="34">
        <v>0</v>
      </c>
      <c r="P103" s="34">
        <v>2</v>
      </c>
      <c r="Q103" s="34">
        <v>1</v>
      </c>
      <c r="R103" s="34">
        <v>3</v>
      </c>
      <c r="S103" s="34">
        <v>14</v>
      </c>
      <c r="T103" s="34">
        <v>0</v>
      </c>
      <c r="U103" s="34">
        <v>2</v>
      </c>
      <c r="V103" s="34">
        <v>58</v>
      </c>
      <c r="W103" s="34">
        <v>3</v>
      </c>
      <c r="X103" s="34">
        <v>0.28100000000000003</v>
      </c>
      <c r="Y103" s="34">
        <v>0.376</v>
      </c>
      <c r="Z103" s="22">
        <f>X103+Y103</f>
        <v>0.65700000000000003</v>
      </c>
      <c r="AA103" s="22">
        <f>(0.692*(S103+T103)+0.73*U103+0.865*(I103-(J103+K103+L103))+1.334+J103+1.725*K103+2.065*L103)/(G103+S103-T103+U103+R103)</f>
        <v>0.2817265625</v>
      </c>
      <c r="AB103" s="22">
        <f>((AA103-$AA$2000)/1.24+$H$2000/$F$2000)*F103</f>
        <v>23.109781152122245</v>
      </c>
      <c r="AC103" s="22">
        <f>(AB103/F103)/($AB$2000/$F$2000)*100</f>
        <v>86.131559696280263</v>
      </c>
      <c r="AD103" s="22"/>
    </row>
    <row r="104" spans="1:30" ht="15.75" customHeight="1" x14ac:dyDescent="0.15">
      <c r="A104" s="30">
        <v>103</v>
      </c>
      <c r="B104" s="31" t="s">
        <v>3166</v>
      </c>
      <c r="C104" s="41" t="s">
        <v>2651</v>
      </c>
      <c r="D104" s="30">
        <v>0.24099999999999999</v>
      </c>
      <c r="E104" s="30">
        <v>84</v>
      </c>
      <c r="F104" s="33">
        <v>254</v>
      </c>
      <c r="G104" s="30">
        <v>220</v>
      </c>
      <c r="H104" s="30">
        <v>28</v>
      </c>
      <c r="I104" s="30">
        <v>53</v>
      </c>
      <c r="J104" s="30">
        <v>10</v>
      </c>
      <c r="K104" s="30">
        <v>1</v>
      </c>
      <c r="L104" s="30">
        <v>1</v>
      </c>
      <c r="M104" s="30">
        <v>68</v>
      </c>
      <c r="N104" s="30">
        <v>12</v>
      </c>
      <c r="O104" s="30">
        <v>9</v>
      </c>
      <c r="P104" s="30">
        <v>2</v>
      </c>
      <c r="Q104" s="30">
        <v>12</v>
      </c>
      <c r="R104" s="30">
        <v>2</v>
      </c>
      <c r="S104" s="30">
        <v>17</v>
      </c>
      <c r="T104" s="30">
        <v>3</v>
      </c>
      <c r="U104" s="30">
        <v>3</v>
      </c>
      <c r="V104" s="30">
        <v>26</v>
      </c>
      <c r="W104" s="30">
        <v>2</v>
      </c>
      <c r="X104" s="30">
        <v>0.30199999999999999</v>
      </c>
      <c r="Y104" s="30">
        <v>0.309</v>
      </c>
      <c r="Z104" s="22">
        <f>X104+Y104</f>
        <v>0.61099999999999999</v>
      </c>
      <c r="AA104" s="22">
        <f>(0.692*(S104+T104)+0.73*U104+0.865*(I104-(J104+K104+L104))+1.334+J104+1.725*K104+2.065*L104)/(G104+S104-T104+U104+R104)</f>
        <v>0.27874058577405858</v>
      </c>
      <c r="AB104" s="22">
        <f>((AA104-$AA$2000)/1.24+$H$2000/$F$2000)*F104</f>
        <v>22.228373550133103</v>
      </c>
      <c r="AC104" s="22">
        <f>(AB104/F104)/($AB$2000/$F$2000)*100</f>
        <v>83.825001931954546</v>
      </c>
      <c r="AD104" s="22"/>
    </row>
    <row r="105" spans="1:30" ht="15.75" customHeight="1" x14ac:dyDescent="0.15">
      <c r="A105" s="34">
        <v>104</v>
      </c>
      <c r="B105" s="35" t="s">
        <v>3167</v>
      </c>
      <c r="C105" s="38" t="s">
        <v>2648</v>
      </c>
      <c r="D105" s="34">
        <v>0.22600000000000001</v>
      </c>
      <c r="E105" s="34">
        <v>97</v>
      </c>
      <c r="F105" s="33">
        <v>252</v>
      </c>
      <c r="G105" s="34">
        <v>217</v>
      </c>
      <c r="H105" s="34">
        <v>31</v>
      </c>
      <c r="I105" s="34">
        <v>49</v>
      </c>
      <c r="J105" s="34">
        <v>2</v>
      </c>
      <c r="K105" s="34">
        <v>2</v>
      </c>
      <c r="L105" s="34">
        <v>3</v>
      </c>
      <c r="M105" s="34">
        <v>64</v>
      </c>
      <c r="N105" s="34">
        <v>13</v>
      </c>
      <c r="O105" s="34">
        <v>18</v>
      </c>
      <c r="P105" s="34">
        <v>2</v>
      </c>
      <c r="Q105" s="34">
        <v>9</v>
      </c>
      <c r="R105" s="34">
        <v>0</v>
      </c>
      <c r="S105" s="34">
        <v>23</v>
      </c>
      <c r="T105" s="34">
        <v>0</v>
      </c>
      <c r="U105" s="34">
        <v>3</v>
      </c>
      <c r="V105" s="34">
        <v>44</v>
      </c>
      <c r="W105" s="34">
        <v>2</v>
      </c>
      <c r="X105" s="34">
        <v>0.309</v>
      </c>
      <c r="Y105" s="34">
        <v>0.29499999999999998</v>
      </c>
      <c r="Z105" s="22">
        <f>X105+Y105</f>
        <v>0.60399999999999998</v>
      </c>
      <c r="AA105" s="22">
        <f>(0.692*(S105+T105)+0.73*U105+0.865*(I105-(J105+K105+L105))+1.334+J105+1.725*K105+2.065*L105)/(G105+S105-T105+U105+R105)</f>
        <v>0.27742798353909459</v>
      </c>
      <c r="AB105" s="22">
        <f>((AA105-$AA$2000)/1.24+$H$2000/$F$2000)*F105</f>
        <v>21.786592338995483</v>
      </c>
      <c r="AC105" s="22">
        <f>(AB105/F105)/($AB$2000/$F$2000)*100</f>
        <v>82.811064733374096</v>
      </c>
      <c r="AD105" s="22"/>
    </row>
    <row r="106" spans="1:30" ht="15.75" customHeight="1" x14ac:dyDescent="0.15">
      <c r="A106" s="30">
        <v>104</v>
      </c>
      <c r="B106" s="31" t="s">
        <v>3168</v>
      </c>
      <c r="C106" s="46" t="s">
        <v>2648</v>
      </c>
      <c r="D106" s="30">
        <v>0.24299999999999999</v>
      </c>
      <c r="E106" s="30">
        <v>66</v>
      </c>
      <c r="F106" s="33">
        <v>252</v>
      </c>
      <c r="G106" s="30">
        <v>226</v>
      </c>
      <c r="H106" s="30">
        <v>25</v>
      </c>
      <c r="I106" s="30">
        <v>55</v>
      </c>
      <c r="J106" s="30">
        <v>9</v>
      </c>
      <c r="K106" s="30">
        <v>0</v>
      </c>
      <c r="L106" s="30">
        <v>7</v>
      </c>
      <c r="M106" s="30">
        <v>85</v>
      </c>
      <c r="N106" s="30">
        <v>24</v>
      </c>
      <c r="O106" s="30">
        <v>0</v>
      </c>
      <c r="P106" s="30">
        <v>2</v>
      </c>
      <c r="Q106" s="30">
        <v>0</v>
      </c>
      <c r="R106" s="30">
        <v>0</v>
      </c>
      <c r="S106" s="30">
        <v>24</v>
      </c>
      <c r="T106" s="30">
        <v>0</v>
      </c>
      <c r="U106" s="30">
        <v>2</v>
      </c>
      <c r="V106" s="30">
        <v>45</v>
      </c>
      <c r="W106" s="30">
        <v>2</v>
      </c>
      <c r="X106" s="30">
        <v>0.32100000000000001</v>
      </c>
      <c r="Y106" s="30">
        <v>0.376</v>
      </c>
      <c r="Z106" s="22">
        <f>X106+Y106</f>
        <v>0.69700000000000006</v>
      </c>
      <c r="AA106" s="22">
        <f>(0.692*(S106+T106)+0.73*U106+0.865*(I106-(J106+K106+L106))+1.334+J106+1.725*K106+2.065*L106)/(G106+S106-T106+U106+R106)</f>
        <v>0.30393650793650795</v>
      </c>
      <c r="AB106" s="22">
        <f>((AA106-$AA$2000)/1.24+$H$2000/$F$2000)*F106</f>
        <v>27.173808587502073</v>
      </c>
      <c r="AC106" s="22">
        <f>(AB106/F106)/($AB$2000/$F$2000)*100</f>
        <v>103.28792988723565</v>
      </c>
      <c r="AD106" s="22"/>
    </row>
    <row r="107" spans="1:30" ht="15.75" customHeight="1" x14ac:dyDescent="0.15">
      <c r="A107" s="34">
        <v>104</v>
      </c>
      <c r="B107" s="35" t="s">
        <v>3169</v>
      </c>
      <c r="C107" s="40" t="s">
        <v>2650</v>
      </c>
      <c r="D107" s="34">
        <v>0.29299999999999998</v>
      </c>
      <c r="E107" s="34">
        <v>64</v>
      </c>
      <c r="F107" s="33">
        <v>252</v>
      </c>
      <c r="G107" s="34">
        <v>239</v>
      </c>
      <c r="H107" s="34">
        <v>21</v>
      </c>
      <c r="I107" s="34">
        <v>70</v>
      </c>
      <c r="J107" s="34">
        <v>15</v>
      </c>
      <c r="K107" s="34">
        <v>0</v>
      </c>
      <c r="L107" s="34">
        <v>11</v>
      </c>
      <c r="M107" s="34">
        <v>118</v>
      </c>
      <c r="N107" s="34">
        <v>39</v>
      </c>
      <c r="O107" s="34">
        <v>1</v>
      </c>
      <c r="P107" s="34">
        <v>0</v>
      </c>
      <c r="Q107" s="34">
        <v>0</v>
      </c>
      <c r="R107" s="34">
        <v>2</v>
      </c>
      <c r="S107" s="34">
        <v>11</v>
      </c>
      <c r="T107" s="34">
        <v>1</v>
      </c>
      <c r="U107" s="34">
        <v>0</v>
      </c>
      <c r="V107" s="34">
        <v>50</v>
      </c>
      <c r="W107" s="34">
        <v>4</v>
      </c>
      <c r="X107" s="34">
        <v>0.32100000000000001</v>
      </c>
      <c r="Y107" s="34">
        <v>0.49399999999999999</v>
      </c>
      <c r="Z107" s="22">
        <f>X107+Y107</f>
        <v>0.81499999999999995</v>
      </c>
      <c r="AA107" s="22">
        <f>(0.692*(S107+T107)+0.73*U107+0.865*(I107-(J107+K107+L107))+1.334+J107+1.725*K107+2.065*L107)/(G107+S107-T107+U107+R107)</f>
        <v>0.3402908366533865</v>
      </c>
      <c r="AB107" s="22">
        <f>((AA107-$AA$2000)/1.24+$H$2000/$F$2000)*F107</f>
        <v>34.561946358996749</v>
      </c>
      <c r="AC107" s="22">
        <f>(AB107/F107)/($AB$2000/$F$2000)*100</f>
        <v>131.37031862130331</v>
      </c>
      <c r="AD107" s="22"/>
    </row>
    <row r="108" spans="1:30" ht="15.75" customHeight="1" x14ac:dyDescent="0.15">
      <c r="A108" s="30">
        <v>107</v>
      </c>
      <c r="B108" s="31" t="s">
        <v>3170</v>
      </c>
      <c r="C108" s="52" t="s">
        <v>2646</v>
      </c>
      <c r="D108" s="30">
        <v>0.249</v>
      </c>
      <c r="E108" s="30">
        <v>116</v>
      </c>
      <c r="F108" s="33">
        <v>250</v>
      </c>
      <c r="G108" s="30">
        <v>225</v>
      </c>
      <c r="H108" s="30">
        <v>31</v>
      </c>
      <c r="I108" s="30">
        <v>56</v>
      </c>
      <c r="J108" s="30">
        <v>9</v>
      </c>
      <c r="K108" s="30">
        <v>1</v>
      </c>
      <c r="L108" s="30">
        <v>5</v>
      </c>
      <c r="M108" s="30">
        <v>82</v>
      </c>
      <c r="N108" s="30">
        <v>24</v>
      </c>
      <c r="O108" s="30">
        <v>7</v>
      </c>
      <c r="P108" s="30">
        <v>0</v>
      </c>
      <c r="Q108" s="30">
        <v>3</v>
      </c>
      <c r="R108" s="30">
        <v>2</v>
      </c>
      <c r="S108" s="30">
        <v>16</v>
      </c>
      <c r="T108" s="30">
        <v>0</v>
      </c>
      <c r="U108" s="30">
        <v>4</v>
      </c>
      <c r="V108" s="30">
        <v>65</v>
      </c>
      <c r="W108" s="30">
        <v>4</v>
      </c>
      <c r="X108" s="30">
        <v>0.308</v>
      </c>
      <c r="Y108" s="30">
        <v>0.36399999999999999</v>
      </c>
      <c r="Z108" s="22">
        <f>X108+Y108</f>
        <v>0.67199999999999993</v>
      </c>
      <c r="AA108" s="22">
        <f>(0.692*(S108+T108)+0.73*U108+0.865*(I108-(J108+K108+L108))+1.334+J108+1.725*K108+2.065*L108)/(G108+S108-T108+U108+R108)</f>
        <v>0.29085425101214574</v>
      </c>
      <c r="AB108" s="22">
        <f>((AA108-$AA$2000)/1.24+$H$2000/$F$2000)*F108</f>
        <v>24.320591640715637</v>
      </c>
      <c r="AC108" s="22">
        <f>(AB108/F108)/($AB$2000/$F$2000)*100</f>
        <v>93.182365091087419</v>
      </c>
      <c r="AD108" s="22"/>
    </row>
    <row r="109" spans="1:30" ht="15.75" customHeight="1" x14ac:dyDescent="0.15">
      <c r="A109" s="34">
        <v>108</v>
      </c>
      <c r="B109" s="35" t="s">
        <v>3171</v>
      </c>
      <c r="C109" s="48" t="s">
        <v>2647</v>
      </c>
      <c r="D109" s="34">
        <v>0.22700000000000001</v>
      </c>
      <c r="E109" s="34">
        <v>62</v>
      </c>
      <c r="F109" s="33">
        <v>239</v>
      </c>
      <c r="G109" s="34">
        <v>216</v>
      </c>
      <c r="H109" s="34">
        <v>16</v>
      </c>
      <c r="I109" s="34">
        <v>49</v>
      </c>
      <c r="J109" s="34">
        <v>5</v>
      </c>
      <c r="K109" s="34">
        <v>4</v>
      </c>
      <c r="L109" s="34">
        <v>3</v>
      </c>
      <c r="M109" s="34">
        <v>71</v>
      </c>
      <c r="N109" s="34">
        <v>15</v>
      </c>
      <c r="O109" s="34">
        <v>2</v>
      </c>
      <c r="P109" s="34">
        <v>0</v>
      </c>
      <c r="Q109" s="34">
        <v>2</v>
      </c>
      <c r="R109" s="34">
        <v>0</v>
      </c>
      <c r="S109" s="34">
        <v>16</v>
      </c>
      <c r="T109" s="34">
        <v>0</v>
      </c>
      <c r="U109" s="34">
        <v>5</v>
      </c>
      <c r="V109" s="34">
        <v>36</v>
      </c>
      <c r="W109" s="34">
        <v>3</v>
      </c>
      <c r="X109" s="34">
        <v>0.29499999999999998</v>
      </c>
      <c r="Y109" s="34">
        <v>0.32900000000000001</v>
      </c>
      <c r="Z109" s="22">
        <f>X109+Y109</f>
        <v>0.624</v>
      </c>
      <c r="AA109" s="22">
        <f>(0.692*(S109+T109)+0.73*U109+0.865*(I109-(J109+K109+L109))+1.334+J109+1.725*K109+2.065*L109)/(G109+S109-T109+U109+R109)</f>
        <v>0.27913924050632916</v>
      </c>
      <c r="AB109" s="22">
        <f>((AA109-$AA$2000)/1.24+$H$2000/$F$2000)*F109</f>
        <v>20.992511809419181</v>
      </c>
      <c r="AC109" s="22">
        <f>(AB109/F109)/($AB$2000/$F$2000)*100</f>
        <v>84.132948125913572</v>
      </c>
      <c r="AD109" s="22"/>
    </row>
    <row r="110" spans="1:30" ht="15.75" customHeight="1" x14ac:dyDescent="0.15">
      <c r="A110" s="30">
        <v>109</v>
      </c>
      <c r="B110" s="31" t="s">
        <v>3172</v>
      </c>
      <c r="C110" s="37" t="s">
        <v>2647</v>
      </c>
      <c r="D110" s="30">
        <v>0.26600000000000001</v>
      </c>
      <c r="E110" s="30">
        <v>91</v>
      </c>
      <c r="F110" s="33">
        <v>235</v>
      </c>
      <c r="G110" s="30">
        <v>199</v>
      </c>
      <c r="H110" s="30">
        <v>21</v>
      </c>
      <c r="I110" s="30">
        <v>53</v>
      </c>
      <c r="J110" s="30">
        <v>7</v>
      </c>
      <c r="K110" s="30">
        <v>1</v>
      </c>
      <c r="L110" s="30">
        <v>4</v>
      </c>
      <c r="M110" s="30">
        <v>74</v>
      </c>
      <c r="N110" s="30">
        <v>27</v>
      </c>
      <c r="O110" s="30">
        <v>2</v>
      </c>
      <c r="P110" s="30">
        <v>1</v>
      </c>
      <c r="Q110" s="30">
        <v>8</v>
      </c>
      <c r="R110" s="30">
        <v>1</v>
      </c>
      <c r="S110" s="30">
        <v>26</v>
      </c>
      <c r="T110" s="30">
        <v>0</v>
      </c>
      <c r="U110" s="30">
        <v>1</v>
      </c>
      <c r="V110" s="30">
        <v>49</v>
      </c>
      <c r="W110" s="30">
        <v>7</v>
      </c>
      <c r="X110" s="30">
        <v>0.35199999999999998</v>
      </c>
      <c r="Y110" s="30">
        <v>0.372</v>
      </c>
      <c r="Z110" s="22">
        <f>X110+Y110</f>
        <v>0.72399999999999998</v>
      </c>
      <c r="AA110" s="22">
        <f>(0.692*(S110+T110)+0.73*U110+0.865*(I110-(J110+K110+L110))+1.334+J110+1.725*K110+2.065*L110)/(G110+S110-T110+U110+R110)</f>
        <v>0.31940969162995597</v>
      </c>
      <c r="AB110" s="22">
        <f>((AA110-$AA$2000)/1.24+$H$2000/$F$2000)*F110</f>
        <v>28.273072710970606</v>
      </c>
      <c r="AC110" s="22">
        <f>(AB110/F110)/($AB$2000/$F$2000)*100</f>
        <v>115.24039812883198</v>
      </c>
      <c r="AD110" s="22"/>
    </row>
    <row r="111" spans="1:30" ht="15.75" customHeight="1" x14ac:dyDescent="0.15">
      <c r="A111" s="34">
        <v>109</v>
      </c>
      <c r="B111" s="35" t="s">
        <v>3173</v>
      </c>
      <c r="C111" s="56" t="s">
        <v>2653</v>
      </c>
      <c r="D111" s="34">
        <v>0.25700000000000001</v>
      </c>
      <c r="E111" s="34">
        <v>76</v>
      </c>
      <c r="F111" s="33">
        <v>235</v>
      </c>
      <c r="G111" s="34">
        <v>218</v>
      </c>
      <c r="H111" s="34">
        <v>20</v>
      </c>
      <c r="I111" s="34">
        <v>56</v>
      </c>
      <c r="J111" s="34">
        <v>16</v>
      </c>
      <c r="K111" s="34">
        <v>0</v>
      </c>
      <c r="L111" s="34">
        <v>6</v>
      </c>
      <c r="M111" s="34">
        <v>90</v>
      </c>
      <c r="N111" s="34">
        <v>29</v>
      </c>
      <c r="O111" s="34">
        <v>0</v>
      </c>
      <c r="P111" s="34">
        <v>0</v>
      </c>
      <c r="Q111" s="34">
        <v>0</v>
      </c>
      <c r="R111" s="34">
        <v>1</v>
      </c>
      <c r="S111" s="34">
        <v>15</v>
      </c>
      <c r="T111" s="34">
        <v>1</v>
      </c>
      <c r="U111" s="34">
        <v>1</v>
      </c>
      <c r="V111" s="34">
        <v>61</v>
      </c>
      <c r="W111" s="34">
        <v>7</v>
      </c>
      <c r="X111" s="34">
        <v>0.30599999999999999</v>
      </c>
      <c r="Y111" s="34">
        <v>0.41299999999999998</v>
      </c>
      <c r="Z111" s="22">
        <f>X111+Y111</f>
        <v>0.71899999999999997</v>
      </c>
      <c r="AA111" s="22">
        <f>(0.692*(S111+T111)+0.73*U111+0.865*(I111-(J111+K111+L111))+1.334+J111+1.725*K111+2.065*L111)/(G111+S111-T111+U111+R111)</f>
        <v>0.3031452991452992</v>
      </c>
      <c r="AB111" s="22">
        <f>((AA111-$AA$2000)/1.24+$H$2000/$F$2000)*F111</f>
        <v>25.190708006217104</v>
      </c>
      <c r="AC111" s="22">
        <f>(AB111/F111)/($AB$2000/$F$2000)*100</f>
        <v>102.67675004624411</v>
      </c>
      <c r="AD111" s="22"/>
    </row>
    <row r="112" spans="1:30" ht="15.75" customHeight="1" x14ac:dyDescent="0.15">
      <c r="A112" s="30">
        <v>111</v>
      </c>
      <c r="B112" s="31" t="s">
        <v>3174</v>
      </c>
      <c r="C112" s="55" t="s">
        <v>2652</v>
      </c>
      <c r="D112" s="30">
        <v>0.24399999999999999</v>
      </c>
      <c r="E112" s="30">
        <v>71</v>
      </c>
      <c r="F112" s="33">
        <v>230</v>
      </c>
      <c r="G112" s="30">
        <v>221</v>
      </c>
      <c r="H112" s="30">
        <v>26</v>
      </c>
      <c r="I112" s="30">
        <v>54</v>
      </c>
      <c r="J112" s="30">
        <v>13</v>
      </c>
      <c r="K112" s="30">
        <v>1</v>
      </c>
      <c r="L112" s="30">
        <v>6</v>
      </c>
      <c r="M112" s="30">
        <v>87</v>
      </c>
      <c r="N112" s="30">
        <v>19</v>
      </c>
      <c r="O112" s="30">
        <v>4</v>
      </c>
      <c r="P112" s="30">
        <v>0</v>
      </c>
      <c r="Q112" s="30">
        <v>0</v>
      </c>
      <c r="R112" s="30">
        <v>2</v>
      </c>
      <c r="S112" s="30">
        <v>7</v>
      </c>
      <c r="T112" s="30">
        <v>0</v>
      </c>
      <c r="U112" s="30">
        <v>0</v>
      </c>
      <c r="V112" s="30">
        <v>70</v>
      </c>
      <c r="W112" s="30">
        <v>2</v>
      </c>
      <c r="X112" s="30">
        <v>0.26500000000000001</v>
      </c>
      <c r="Y112" s="30">
        <v>0.39400000000000002</v>
      </c>
      <c r="Z112" s="22">
        <f>X112+Y112</f>
        <v>0.65900000000000003</v>
      </c>
      <c r="AA112" s="22">
        <f>(0.692*(S112+T112)+0.73*U112+0.865*(I112-(J112+K112+L112))+1.334+J112+1.725*K112+2.065*L112)/(G112+S112-T112+U112+R112)</f>
        <v>0.2726217391304348</v>
      </c>
      <c r="AB112" s="22">
        <f>((AA112-$AA$2000)/1.24+$H$2000/$F$2000)*F112</f>
        <v>18.993107428173293</v>
      </c>
      <c r="AC112" s="22">
        <f>(AB112/F112)/($AB$2000/$F$2000)*100</f>
        <v>79.098416787484254</v>
      </c>
      <c r="AD112" s="22"/>
    </row>
    <row r="113" spans="1:30" ht="15.75" customHeight="1" x14ac:dyDescent="0.15">
      <c r="A113" s="34">
        <v>112</v>
      </c>
      <c r="B113" s="35" t="s">
        <v>3175</v>
      </c>
      <c r="C113" s="40" t="s">
        <v>2650</v>
      </c>
      <c r="D113" s="34">
        <v>0.25800000000000001</v>
      </c>
      <c r="E113" s="34">
        <v>71</v>
      </c>
      <c r="F113" s="33">
        <v>223</v>
      </c>
      <c r="G113" s="34">
        <v>209</v>
      </c>
      <c r="H113" s="34">
        <v>22</v>
      </c>
      <c r="I113" s="34">
        <v>54</v>
      </c>
      <c r="J113" s="34">
        <v>8</v>
      </c>
      <c r="K113" s="34">
        <v>0</v>
      </c>
      <c r="L113" s="34">
        <v>8</v>
      </c>
      <c r="M113" s="34">
        <v>86</v>
      </c>
      <c r="N113" s="34">
        <v>26</v>
      </c>
      <c r="O113" s="34">
        <v>3</v>
      </c>
      <c r="P113" s="34">
        <v>0</v>
      </c>
      <c r="Q113" s="34">
        <v>1</v>
      </c>
      <c r="R113" s="34">
        <v>0</v>
      </c>
      <c r="S113" s="34">
        <v>13</v>
      </c>
      <c r="T113" s="34">
        <v>5</v>
      </c>
      <c r="U113" s="34">
        <v>0</v>
      </c>
      <c r="V113" s="34">
        <v>54</v>
      </c>
      <c r="W113" s="34">
        <v>5</v>
      </c>
      <c r="X113" s="34">
        <v>0.30199999999999999</v>
      </c>
      <c r="Y113" s="34">
        <v>0.41099999999999998</v>
      </c>
      <c r="Z113" s="22">
        <f>X113+Y113</f>
        <v>0.71299999999999997</v>
      </c>
      <c r="AA113" s="22">
        <f>(0.692*(S113+T113)+0.73*U113+0.865*(I113-(J113+K113+L113))+1.334+J113+1.725*K113+2.065*L113)/(G113+S113-T113+U113+R113)</f>
        <v>0.32801843317972346</v>
      </c>
      <c r="AB113" s="22">
        <f>((AA113-$AA$2000)/1.24+$H$2000/$F$2000)*F113</f>
        <v>28.377526310752085</v>
      </c>
      <c r="AC113" s="22">
        <f>(AB113/F113)/($AB$2000/$F$2000)*100</f>
        <v>121.89033598339753</v>
      </c>
      <c r="AD113" s="22"/>
    </row>
    <row r="114" spans="1:30" ht="15.75" customHeight="1" x14ac:dyDescent="0.15">
      <c r="A114" s="30">
        <v>113</v>
      </c>
      <c r="B114" s="31" t="s">
        <v>3176</v>
      </c>
      <c r="C114" s="52" t="s">
        <v>2646</v>
      </c>
      <c r="D114" s="30">
        <v>0.215</v>
      </c>
      <c r="E114" s="30">
        <v>71</v>
      </c>
      <c r="F114" s="33">
        <v>222</v>
      </c>
      <c r="G114" s="30">
        <v>200</v>
      </c>
      <c r="H114" s="30">
        <v>22</v>
      </c>
      <c r="I114" s="30">
        <v>43</v>
      </c>
      <c r="J114" s="30">
        <v>4</v>
      </c>
      <c r="K114" s="30">
        <v>1</v>
      </c>
      <c r="L114" s="30">
        <v>8</v>
      </c>
      <c r="M114" s="30">
        <v>73</v>
      </c>
      <c r="N114" s="30">
        <v>24</v>
      </c>
      <c r="O114" s="30">
        <v>4</v>
      </c>
      <c r="P114" s="30">
        <v>1</v>
      </c>
      <c r="Q114" s="30">
        <v>0</v>
      </c>
      <c r="R114" s="30">
        <v>3</v>
      </c>
      <c r="S114" s="30">
        <v>14</v>
      </c>
      <c r="T114" s="30">
        <v>1</v>
      </c>
      <c r="U114" s="30">
        <v>5</v>
      </c>
      <c r="V114" s="30">
        <v>57</v>
      </c>
      <c r="W114" s="30">
        <v>5</v>
      </c>
      <c r="X114" s="30">
        <v>0.27900000000000003</v>
      </c>
      <c r="Y114" s="30">
        <v>0.36499999999999999</v>
      </c>
      <c r="Z114" s="22">
        <f>X114+Y114</f>
        <v>0.64400000000000002</v>
      </c>
      <c r="AA114" s="22">
        <f>(0.692*(S114+T114)+0.73*U114+0.865*(I114-(J114+K114+L114))+1.334+J114+1.725*K114+2.065*L114)/(G114+S114-T114+U114+R114)</f>
        <v>0.2875972850678733</v>
      </c>
      <c r="AB114" s="22">
        <f>((AA114-$AA$2000)/1.24+$H$2000/$F$2000)*F114</f>
        <v>21.013583409513164</v>
      </c>
      <c r="AC114" s="22">
        <f>(AB114/F114)/($AB$2000/$F$2000)*100</f>
        <v>90.666478071057981</v>
      </c>
      <c r="AD114" s="22"/>
    </row>
    <row r="115" spans="1:30" ht="15.75" customHeight="1" x14ac:dyDescent="0.15">
      <c r="A115" s="34">
        <v>114</v>
      </c>
      <c r="B115" s="35" t="s">
        <v>3177</v>
      </c>
      <c r="C115" s="36" t="s">
        <v>2646</v>
      </c>
      <c r="D115" s="34">
        <v>0.23899999999999999</v>
      </c>
      <c r="E115" s="34">
        <v>62</v>
      </c>
      <c r="F115" s="33">
        <v>217</v>
      </c>
      <c r="G115" s="34">
        <v>201</v>
      </c>
      <c r="H115" s="34">
        <v>23</v>
      </c>
      <c r="I115" s="34">
        <v>48</v>
      </c>
      <c r="J115" s="34">
        <v>8</v>
      </c>
      <c r="K115" s="34">
        <v>1</v>
      </c>
      <c r="L115" s="34">
        <v>6</v>
      </c>
      <c r="M115" s="34">
        <v>76</v>
      </c>
      <c r="N115" s="34">
        <v>23</v>
      </c>
      <c r="O115" s="34">
        <v>2</v>
      </c>
      <c r="P115" s="34">
        <v>2</v>
      </c>
      <c r="Q115" s="34">
        <v>0</v>
      </c>
      <c r="R115" s="34">
        <v>2</v>
      </c>
      <c r="S115" s="34">
        <v>11</v>
      </c>
      <c r="T115" s="34">
        <v>0</v>
      </c>
      <c r="U115" s="34">
        <v>3</v>
      </c>
      <c r="V115" s="34">
        <v>55</v>
      </c>
      <c r="W115" s="34">
        <v>2</v>
      </c>
      <c r="X115" s="34">
        <v>0.28599999999999998</v>
      </c>
      <c r="Y115" s="34">
        <v>0.378</v>
      </c>
      <c r="Z115" s="22">
        <f>X115+Y115</f>
        <v>0.66399999999999992</v>
      </c>
      <c r="AA115" s="22">
        <f>(0.692*(S115+T115)+0.73*U115+0.865*(I115-(J115+K115+L115))+1.334+J115+1.725*K115+2.065*L115)/(G115+S115-T115+U115+R115)</f>
        <v>0.28477419354838707</v>
      </c>
      <c r="AB115" s="22">
        <f>((AA115-$AA$2000)/1.24+$H$2000/$F$2000)*F115</f>
        <v>20.046263487983406</v>
      </c>
      <c r="AC115" s="22">
        <f>(AB115/F115)/($AB$2000/$F$2000)*100</f>
        <v>88.485743168772345</v>
      </c>
      <c r="AD115" s="22"/>
    </row>
    <row r="116" spans="1:30" ht="15.75" customHeight="1" x14ac:dyDescent="0.15">
      <c r="A116" s="30">
        <v>115</v>
      </c>
      <c r="B116" s="31" t="s">
        <v>3178</v>
      </c>
      <c r="C116" s="32" t="s">
        <v>2645</v>
      </c>
      <c r="D116" s="30">
        <v>0.218</v>
      </c>
      <c r="E116" s="30">
        <v>76</v>
      </c>
      <c r="F116" s="33">
        <v>214</v>
      </c>
      <c r="G116" s="30">
        <v>188</v>
      </c>
      <c r="H116" s="30">
        <v>10</v>
      </c>
      <c r="I116" s="30">
        <v>41</v>
      </c>
      <c r="J116" s="30">
        <v>11</v>
      </c>
      <c r="K116" s="30">
        <v>0</v>
      </c>
      <c r="L116" s="30">
        <v>5</v>
      </c>
      <c r="M116" s="30">
        <v>67</v>
      </c>
      <c r="N116" s="30">
        <v>20</v>
      </c>
      <c r="O116" s="30">
        <v>0</v>
      </c>
      <c r="P116" s="30">
        <v>0</v>
      </c>
      <c r="Q116" s="30">
        <v>0</v>
      </c>
      <c r="R116" s="30">
        <v>2</v>
      </c>
      <c r="S116" s="30">
        <v>19</v>
      </c>
      <c r="T116" s="30">
        <v>2</v>
      </c>
      <c r="U116" s="30">
        <v>5</v>
      </c>
      <c r="V116" s="30">
        <v>45</v>
      </c>
      <c r="W116" s="30">
        <v>4</v>
      </c>
      <c r="X116" s="30">
        <v>0.30399999999999999</v>
      </c>
      <c r="Y116" s="30">
        <v>0.35599999999999998</v>
      </c>
      <c r="Z116" s="22">
        <f>X116+Y116</f>
        <v>0.65999999999999992</v>
      </c>
      <c r="AA116" s="22">
        <f>(0.692*(S116+T116)+0.73*U116+0.865*(I116-(J116+K116+L116))+1.334+J116+1.725*K116+2.065*L116)/(G116+S116-T116+U116+R116)</f>
        <v>0.29465094339622644</v>
      </c>
      <c r="AB116" s="22">
        <f>((AA116-$AA$2000)/1.24+$H$2000/$F$2000)*F116</f>
        <v>21.473662065576193</v>
      </c>
      <c r="AC116" s="22">
        <f>(AB116/F116)/($AB$2000/$F$2000)*100</f>
        <v>96.115171037355026</v>
      </c>
      <c r="AD116" s="22"/>
    </row>
    <row r="117" spans="1:30" ht="15.75" customHeight="1" x14ac:dyDescent="0.15">
      <c r="A117" s="34">
        <v>116</v>
      </c>
      <c r="B117" s="35" t="s">
        <v>3179</v>
      </c>
      <c r="C117" s="51" t="s">
        <v>2655</v>
      </c>
      <c r="D117" s="34">
        <v>0.17799999999999999</v>
      </c>
      <c r="E117" s="34">
        <v>58</v>
      </c>
      <c r="F117" s="33">
        <v>212</v>
      </c>
      <c r="G117" s="34">
        <v>180</v>
      </c>
      <c r="H117" s="34">
        <v>18</v>
      </c>
      <c r="I117" s="34">
        <v>32</v>
      </c>
      <c r="J117" s="34">
        <v>3</v>
      </c>
      <c r="K117" s="34">
        <v>0</v>
      </c>
      <c r="L117" s="34">
        <v>11</v>
      </c>
      <c r="M117" s="34">
        <v>68</v>
      </c>
      <c r="N117" s="34">
        <v>28</v>
      </c>
      <c r="O117" s="34">
        <v>0</v>
      </c>
      <c r="P117" s="34">
        <v>0</v>
      </c>
      <c r="Q117" s="34">
        <v>0</v>
      </c>
      <c r="R117" s="34">
        <v>1</v>
      </c>
      <c r="S117" s="34">
        <v>28</v>
      </c>
      <c r="T117" s="34">
        <v>0</v>
      </c>
      <c r="U117" s="34">
        <v>3</v>
      </c>
      <c r="V117" s="34">
        <v>60</v>
      </c>
      <c r="W117" s="34">
        <v>4</v>
      </c>
      <c r="X117" s="34">
        <v>0.29699999999999999</v>
      </c>
      <c r="Y117" s="34">
        <v>0.378</v>
      </c>
      <c r="Z117" s="22">
        <f>X117+Y117</f>
        <v>0.67500000000000004</v>
      </c>
      <c r="AA117" s="22">
        <f>(0.692*(S117+T117)+0.73*U117+0.865*(I117-(J117+K117+L117))+1.334+J117+1.725*K117+2.065*L117)/(G117+S117-T117+U117+R117)</f>
        <v>0.30275943396226418</v>
      </c>
      <c r="AB117" s="22">
        <f>((AA117-$AA$2000)/1.24+$H$2000/$F$2000)*F117</f>
        <v>22.659263957637432</v>
      </c>
      <c r="AC117" s="22">
        <f>(AB117/F117)/($AB$2000/$F$2000)*100</f>
        <v>102.37868331110175</v>
      </c>
      <c r="AD117" s="22"/>
    </row>
    <row r="118" spans="1:30" ht="15.75" customHeight="1" x14ac:dyDescent="0.15">
      <c r="A118" s="30">
        <v>117</v>
      </c>
      <c r="B118" s="31" t="s">
        <v>3180</v>
      </c>
      <c r="C118" s="49" t="s">
        <v>2655</v>
      </c>
      <c r="D118" s="30">
        <v>0.26700000000000002</v>
      </c>
      <c r="E118" s="30">
        <v>55</v>
      </c>
      <c r="F118" s="33">
        <v>209</v>
      </c>
      <c r="G118" s="30">
        <v>191</v>
      </c>
      <c r="H118" s="30">
        <v>26</v>
      </c>
      <c r="I118" s="30">
        <v>51</v>
      </c>
      <c r="J118" s="30">
        <v>8</v>
      </c>
      <c r="K118" s="30">
        <v>2</v>
      </c>
      <c r="L118" s="30">
        <v>6</v>
      </c>
      <c r="M118" s="30">
        <v>81</v>
      </c>
      <c r="N118" s="30">
        <v>41</v>
      </c>
      <c r="O118" s="30">
        <v>0</v>
      </c>
      <c r="P118" s="30">
        <v>0</v>
      </c>
      <c r="Q118" s="30">
        <v>1</v>
      </c>
      <c r="R118" s="30">
        <v>4</v>
      </c>
      <c r="S118" s="30">
        <v>10</v>
      </c>
      <c r="T118" s="30">
        <v>0</v>
      </c>
      <c r="U118" s="30">
        <v>3</v>
      </c>
      <c r="V118" s="30">
        <v>37</v>
      </c>
      <c r="W118" s="30">
        <v>5</v>
      </c>
      <c r="X118" s="30">
        <v>0.308</v>
      </c>
      <c r="Y118" s="30">
        <v>0.42399999999999999</v>
      </c>
      <c r="Z118" s="22">
        <f>X118+Y118</f>
        <v>0.73199999999999998</v>
      </c>
      <c r="AA118" s="22">
        <f>(0.692*(S118+T118)+0.73*U118+0.865*(I118-(J118+K118+L118))+1.334+J118+1.725*K118+2.065*L118)/(G118+S118-T118+U118+R118)</f>
        <v>0.31037980769230766</v>
      </c>
      <c r="AB118" s="22">
        <f>((AA118-$AA$2000)/1.24+$H$2000/$F$2000)*F118</f>
        <v>23.62301569724621</v>
      </c>
      <c r="AC118" s="22">
        <f>(AB118/F118)/($AB$2000/$F$2000)*100</f>
        <v>108.26514318916858</v>
      </c>
      <c r="AD118" s="22"/>
    </row>
    <row r="119" spans="1:30" ht="15.75" customHeight="1" x14ac:dyDescent="0.15">
      <c r="A119" s="34">
        <v>118</v>
      </c>
      <c r="B119" s="35" t="s">
        <v>3181</v>
      </c>
      <c r="C119" s="45" t="s">
        <v>2651</v>
      </c>
      <c r="D119" s="34">
        <v>0.23499999999999999</v>
      </c>
      <c r="E119" s="34">
        <v>78</v>
      </c>
      <c r="F119" s="33">
        <v>202</v>
      </c>
      <c r="G119" s="34">
        <v>183</v>
      </c>
      <c r="H119" s="34">
        <v>23</v>
      </c>
      <c r="I119" s="34">
        <v>43</v>
      </c>
      <c r="J119" s="34">
        <v>9</v>
      </c>
      <c r="K119" s="34">
        <v>2</v>
      </c>
      <c r="L119" s="34">
        <v>6</v>
      </c>
      <c r="M119" s="34">
        <v>74</v>
      </c>
      <c r="N119" s="34">
        <v>24</v>
      </c>
      <c r="O119" s="34">
        <v>1</v>
      </c>
      <c r="P119" s="34">
        <v>1</v>
      </c>
      <c r="Q119" s="34">
        <v>0</v>
      </c>
      <c r="R119" s="34">
        <v>1</v>
      </c>
      <c r="S119" s="34">
        <v>17</v>
      </c>
      <c r="T119" s="34">
        <v>1</v>
      </c>
      <c r="U119" s="34">
        <v>1</v>
      </c>
      <c r="V119" s="34">
        <v>49</v>
      </c>
      <c r="W119" s="34">
        <v>5</v>
      </c>
      <c r="X119" s="34">
        <v>0.30199999999999999</v>
      </c>
      <c r="Y119" s="34">
        <v>0.40400000000000003</v>
      </c>
      <c r="Z119" s="22">
        <f>X119+Y119</f>
        <v>0.70599999999999996</v>
      </c>
      <c r="AA119" s="22">
        <f>(0.692*(S119+T119)+0.73*U119+0.865*(I119-(J119+K119+L119))+1.334+J119+1.725*K119+2.065*L119)/(G119+S119-T119+U119+R119)</f>
        <v>0.30771144278606971</v>
      </c>
      <c r="AB119" s="22">
        <f>((AA119-$AA$2000)/1.24+$H$2000/$F$2000)*F119</f>
        <v>22.397128963708429</v>
      </c>
      <c r="AC119" s="22">
        <f>(AB119/F119)/($AB$2000/$F$2000)*100</f>
        <v>106.20392893419246</v>
      </c>
      <c r="AD119" s="22"/>
    </row>
    <row r="120" spans="1:30" ht="15.75" customHeight="1" x14ac:dyDescent="0.15">
      <c r="A120" s="30">
        <v>119</v>
      </c>
      <c r="B120" s="31" t="s">
        <v>3182</v>
      </c>
      <c r="C120" s="47" t="s">
        <v>2654</v>
      </c>
      <c r="D120" s="30">
        <v>0.23899999999999999</v>
      </c>
      <c r="E120" s="30">
        <v>58</v>
      </c>
      <c r="F120" s="33">
        <v>201</v>
      </c>
      <c r="G120" s="30">
        <v>180</v>
      </c>
      <c r="H120" s="30">
        <v>15</v>
      </c>
      <c r="I120" s="30">
        <v>43</v>
      </c>
      <c r="J120" s="30">
        <v>4</v>
      </c>
      <c r="K120" s="30">
        <v>0</v>
      </c>
      <c r="L120" s="30">
        <v>4</v>
      </c>
      <c r="M120" s="30">
        <v>59</v>
      </c>
      <c r="N120" s="30">
        <v>15</v>
      </c>
      <c r="O120" s="30">
        <v>0</v>
      </c>
      <c r="P120" s="30">
        <v>0</v>
      </c>
      <c r="Q120" s="30">
        <v>4</v>
      </c>
      <c r="R120" s="30">
        <v>2</v>
      </c>
      <c r="S120" s="30">
        <v>12</v>
      </c>
      <c r="T120" s="30">
        <v>1</v>
      </c>
      <c r="U120" s="30">
        <v>3</v>
      </c>
      <c r="V120" s="30">
        <v>37</v>
      </c>
      <c r="W120" s="30">
        <v>6</v>
      </c>
      <c r="X120" s="30">
        <v>0.29399999999999998</v>
      </c>
      <c r="Y120" s="30">
        <v>0.32800000000000001</v>
      </c>
      <c r="Z120" s="22">
        <f>X120+Y120</f>
        <v>0.622</v>
      </c>
      <c r="AA120" s="22">
        <f>(0.692*(S120+T120)+0.73*U120+0.865*(I120-(J120+K120+L120))+1.334+J120+1.725*K120+2.065*L120)/(G120+S120-T120+U120+R120)</f>
        <v>0.28089285714285717</v>
      </c>
      <c r="AB120" s="22">
        <f>((AA120-$AA$2000)/1.24+$H$2000/$F$2000)*F120</f>
        <v>17.939045866452307</v>
      </c>
      <c r="AC120" s="22">
        <f>(AB120/F120)/($AB$2000/$F$2000)*100</f>
        <v>85.487552813047955</v>
      </c>
      <c r="AD120" s="22"/>
    </row>
    <row r="121" spans="1:30" ht="15.75" customHeight="1" x14ac:dyDescent="0.15">
      <c r="A121" s="34">
        <v>120</v>
      </c>
      <c r="B121" s="35" t="s">
        <v>3183</v>
      </c>
      <c r="C121" s="48" t="s">
        <v>2647</v>
      </c>
      <c r="D121" s="34">
        <v>0.23699999999999999</v>
      </c>
      <c r="E121" s="34">
        <v>99</v>
      </c>
      <c r="F121" s="33">
        <v>196</v>
      </c>
      <c r="G121" s="34">
        <v>177</v>
      </c>
      <c r="H121" s="34">
        <v>26</v>
      </c>
      <c r="I121" s="34">
        <v>42</v>
      </c>
      <c r="J121" s="34">
        <v>8</v>
      </c>
      <c r="K121" s="34">
        <v>1</v>
      </c>
      <c r="L121" s="34">
        <v>1</v>
      </c>
      <c r="M121" s="34">
        <v>55</v>
      </c>
      <c r="N121" s="34">
        <v>12</v>
      </c>
      <c r="O121" s="34">
        <v>3</v>
      </c>
      <c r="P121" s="34">
        <v>0</v>
      </c>
      <c r="Q121" s="34">
        <v>4</v>
      </c>
      <c r="R121" s="34">
        <v>3</v>
      </c>
      <c r="S121" s="34">
        <v>8</v>
      </c>
      <c r="T121" s="34">
        <v>1</v>
      </c>
      <c r="U121" s="34">
        <v>4</v>
      </c>
      <c r="V121" s="34">
        <v>39</v>
      </c>
      <c r="W121" s="34">
        <v>4</v>
      </c>
      <c r="X121" s="34">
        <v>0.28100000000000003</v>
      </c>
      <c r="Y121" s="34">
        <v>0.311</v>
      </c>
      <c r="Z121" s="22">
        <f>X121+Y121</f>
        <v>0.59200000000000008</v>
      </c>
      <c r="AA121" s="22">
        <f>(0.692*(S121+T121)+0.73*U121+0.865*(I121-(J121+K121+L121))+1.334+J121+1.725*K121+2.065*L121)/(G121+S121-T121+U121+R121)</f>
        <v>0.26152879581151833</v>
      </c>
      <c r="AB121" s="22">
        <f>((AA121-$AA$2000)/1.24+$H$2000/$F$2000)*F121</f>
        <v>14.432029959770276</v>
      </c>
      <c r="AC121" s="22">
        <f>(AB121/F121)/($AB$2000/$F$2000)*100</f>
        <v>70.52952396284077</v>
      </c>
      <c r="AD121" s="22"/>
    </row>
    <row r="122" spans="1:30" ht="15.75" customHeight="1" x14ac:dyDescent="0.15">
      <c r="A122" s="30">
        <v>121</v>
      </c>
      <c r="B122" s="31" t="s">
        <v>3184</v>
      </c>
      <c r="C122" s="53" t="s">
        <v>198</v>
      </c>
      <c r="D122" s="30">
        <v>0.27600000000000002</v>
      </c>
      <c r="E122" s="30">
        <v>76</v>
      </c>
      <c r="F122" s="33">
        <v>195</v>
      </c>
      <c r="G122" s="30">
        <v>185</v>
      </c>
      <c r="H122" s="30">
        <v>18</v>
      </c>
      <c r="I122" s="30">
        <v>51</v>
      </c>
      <c r="J122" s="30">
        <v>5</v>
      </c>
      <c r="K122" s="30">
        <v>2</v>
      </c>
      <c r="L122" s="30">
        <v>3</v>
      </c>
      <c r="M122" s="30">
        <v>69</v>
      </c>
      <c r="N122" s="30">
        <v>16</v>
      </c>
      <c r="O122" s="30">
        <v>0</v>
      </c>
      <c r="P122" s="30">
        <v>1</v>
      </c>
      <c r="Q122" s="30">
        <v>0</v>
      </c>
      <c r="R122" s="30">
        <v>3</v>
      </c>
      <c r="S122" s="30">
        <v>6</v>
      </c>
      <c r="T122" s="30">
        <v>0</v>
      </c>
      <c r="U122" s="30">
        <v>1</v>
      </c>
      <c r="V122" s="30">
        <v>23</v>
      </c>
      <c r="W122" s="30">
        <v>0</v>
      </c>
      <c r="X122" s="30">
        <v>0.29699999999999999</v>
      </c>
      <c r="Y122" s="30">
        <v>0.373</v>
      </c>
      <c r="Z122" s="22">
        <f>X122+Y122</f>
        <v>0.66999999999999993</v>
      </c>
      <c r="AA122" s="22">
        <f>(0.692*(S122+T122)+0.73*U122+0.865*(I122-(J122+K122+L122))+1.334+J122+1.725*K122+2.065*L122)/(G122+S122-T122+U122+R122)</f>
        <v>0.28885128205128208</v>
      </c>
      <c r="AB122" s="22">
        <f>((AA122-$AA$2000)/1.24+$H$2000/$F$2000)*F122</f>
        <v>18.655078457686898</v>
      </c>
      <c r="AC122" s="22">
        <f>(AB122/F122)/($AB$2000/$F$2000)*100</f>
        <v>91.635144857169877</v>
      </c>
      <c r="AD122" s="22"/>
    </row>
    <row r="123" spans="1:30" ht="15.75" customHeight="1" x14ac:dyDescent="0.15">
      <c r="A123" s="34">
        <v>121</v>
      </c>
      <c r="B123" s="35" t="s">
        <v>3185</v>
      </c>
      <c r="C123" s="40" t="s">
        <v>2650</v>
      </c>
      <c r="D123" s="34">
        <v>0.214</v>
      </c>
      <c r="E123" s="34">
        <v>75</v>
      </c>
      <c r="F123" s="33">
        <v>195</v>
      </c>
      <c r="G123" s="34">
        <v>173</v>
      </c>
      <c r="H123" s="34">
        <v>17</v>
      </c>
      <c r="I123" s="34">
        <v>37</v>
      </c>
      <c r="J123" s="34">
        <v>11</v>
      </c>
      <c r="K123" s="34">
        <v>1</v>
      </c>
      <c r="L123" s="34">
        <v>2</v>
      </c>
      <c r="M123" s="34">
        <v>56</v>
      </c>
      <c r="N123" s="34">
        <v>21</v>
      </c>
      <c r="O123" s="34">
        <v>6</v>
      </c>
      <c r="P123" s="34">
        <v>0</v>
      </c>
      <c r="Q123" s="34">
        <v>6</v>
      </c>
      <c r="R123" s="34">
        <v>1</v>
      </c>
      <c r="S123" s="34">
        <v>15</v>
      </c>
      <c r="T123" s="34">
        <v>3</v>
      </c>
      <c r="U123" s="34">
        <v>0</v>
      </c>
      <c r="V123" s="34">
        <v>39</v>
      </c>
      <c r="W123" s="34">
        <v>4</v>
      </c>
      <c r="X123" s="34">
        <v>0.27500000000000002</v>
      </c>
      <c r="Y123" s="34">
        <v>0.32400000000000001</v>
      </c>
      <c r="Z123" s="22">
        <f>X123+Y123</f>
        <v>0.59899999999999998</v>
      </c>
      <c r="AA123" s="22">
        <f>(0.692*(S123+T123)+0.73*U123+0.865*(I123-(J123+K123+L123))+1.334+J123+1.725*K123+2.065*L123)/(G123+S123-T123+U123+R123)</f>
        <v>0.27172043010752689</v>
      </c>
      <c r="AB123" s="22">
        <f>((AA123-$AA$2000)/1.24+$H$2000/$F$2000)*F123</f>
        <v>15.961113837499587</v>
      </c>
      <c r="AC123" s="22">
        <f>(AB123/F123)/($AB$2000/$F$2000)*100</f>
        <v>78.402188546056934</v>
      </c>
      <c r="AD123" s="22"/>
    </row>
    <row r="124" spans="1:30" ht="15.75" customHeight="1" x14ac:dyDescent="0.15">
      <c r="A124" s="30">
        <v>123</v>
      </c>
      <c r="B124" s="31" t="s">
        <v>3186</v>
      </c>
      <c r="C124" s="53" t="s">
        <v>198</v>
      </c>
      <c r="D124" s="30">
        <v>0.24099999999999999</v>
      </c>
      <c r="E124" s="30">
        <v>58</v>
      </c>
      <c r="F124" s="33">
        <v>194</v>
      </c>
      <c r="G124" s="30">
        <v>174</v>
      </c>
      <c r="H124" s="30">
        <v>20</v>
      </c>
      <c r="I124" s="30">
        <v>42</v>
      </c>
      <c r="J124" s="30">
        <v>9</v>
      </c>
      <c r="K124" s="30">
        <v>1</v>
      </c>
      <c r="L124" s="30">
        <v>4</v>
      </c>
      <c r="M124" s="30">
        <v>65</v>
      </c>
      <c r="N124" s="30">
        <v>13</v>
      </c>
      <c r="O124" s="30">
        <v>0</v>
      </c>
      <c r="P124" s="30">
        <v>0</v>
      </c>
      <c r="Q124" s="30">
        <v>7</v>
      </c>
      <c r="R124" s="30">
        <v>0</v>
      </c>
      <c r="S124" s="30">
        <v>12</v>
      </c>
      <c r="T124" s="30">
        <v>0</v>
      </c>
      <c r="U124" s="30">
        <v>1</v>
      </c>
      <c r="V124" s="30">
        <v>23</v>
      </c>
      <c r="W124" s="30">
        <v>1</v>
      </c>
      <c r="X124" s="30">
        <v>0.29399999999999998</v>
      </c>
      <c r="Y124" s="30">
        <v>0.374</v>
      </c>
      <c r="Z124" s="22">
        <f>X124+Y124</f>
        <v>0.66799999999999993</v>
      </c>
      <c r="AA124" s="22">
        <f>(0.692*(S124+T124)+0.73*U124+0.865*(I124-(J124+K124+L124))+1.334+J124+1.725*K124+2.065*L124)/(G124+S124-T124+U124+R124)</f>
        <v>0.28648663101604277</v>
      </c>
      <c r="AB124" s="22">
        <f>((AA124-$AA$2000)/1.24+$H$2000/$F$2000)*F124</f>
        <v>18.189457920256643</v>
      </c>
      <c r="AC124" s="22">
        <f>(AB124/F124)/($AB$2000/$F$2000)*100</f>
        <v>89.808538454692808</v>
      </c>
      <c r="AD124" s="22"/>
    </row>
    <row r="125" spans="1:30" ht="15.75" customHeight="1" x14ac:dyDescent="0.15">
      <c r="A125" s="34">
        <v>124</v>
      </c>
      <c r="B125" s="35" t="s">
        <v>3187</v>
      </c>
      <c r="C125" s="57" t="s">
        <v>2654</v>
      </c>
      <c r="D125" s="34">
        <v>0.24099999999999999</v>
      </c>
      <c r="E125" s="34">
        <v>52</v>
      </c>
      <c r="F125" s="33">
        <v>192</v>
      </c>
      <c r="G125" s="34">
        <v>174</v>
      </c>
      <c r="H125" s="34">
        <v>21</v>
      </c>
      <c r="I125" s="34">
        <v>42</v>
      </c>
      <c r="J125" s="34">
        <v>4</v>
      </c>
      <c r="K125" s="34">
        <v>0</v>
      </c>
      <c r="L125" s="34">
        <v>1</v>
      </c>
      <c r="M125" s="34">
        <v>49</v>
      </c>
      <c r="N125" s="34">
        <v>11</v>
      </c>
      <c r="O125" s="34">
        <v>6</v>
      </c>
      <c r="P125" s="34">
        <v>0</v>
      </c>
      <c r="Q125" s="34">
        <v>1</v>
      </c>
      <c r="R125" s="34">
        <v>1</v>
      </c>
      <c r="S125" s="34">
        <v>15</v>
      </c>
      <c r="T125" s="34">
        <v>1</v>
      </c>
      <c r="U125" s="34">
        <v>1</v>
      </c>
      <c r="V125" s="34">
        <v>29</v>
      </c>
      <c r="W125" s="34">
        <v>3</v>
      </c>
      <c r="X125" s="34">
        <v>0.30399999999999999</v>
      </c>
      <c r="Y125" s="34">
        <v>0.28199999999999997</v>
      </c>
      <c r="Z125" s="22">
        <f>X125+Y125</f>
        <v>0.58599999999999997</v>
      </c>
      <c r="AA125" s="22">
        <f>(0.692*(S125+T125)+0.73*U125+0.865*(I125-(J125+K125+L125))+1.334+J125+1.725*K125+2.065*L125)/(G125+S125-T125+U125+R125)</f>
        <v>0.26950526315789475</v>
      </c>
      <c r="AB125" s="22">
        <f>((AA125-$AA$2000)/1.24+$H$2000/$F$2000)*F125</f>
        <v>15.372564647798487</v>
      </c>
      <c r="AC125" s="22">
        <f>(AB125/F125)/($AB$2000/$F$2000)*100</f>
        <v>76.691053130109964</v>
      </c>
      <c r="AD125" s="22"/>
    </row>
    <row r="126" spans="1:30" ht="15.75" customHeight="1" x14ac:dyDescent="0.15">
      <c r="A126" s="30">
        <v>125</v>
      </c>
      <c r="B126" s="31" t="s">
        <v>3188</v>
      </c>
      <c r="C126" s="44" t="s">
        <v>2653</v>
      </c>
      <c r="D126" s="30">
        <v>0.24299999999999999</v>
      </c>
      <c r="E126" s="30">
        <v>66</v>
      </c>
      <c r="F126" s="33">
        <v>190</v>
      </c>
      <c r="G126" s="30">
        <v>177</v>
      </c>
      <c r="H126" s="30">
        <v>16</v>
      </c>
      <c r="I126" s="30">
        <v>43</v>
      </c>
      <c r="J126" s="30">
        <v>9</v>
      </c>
      <c r="K126" s="30">
        <v>0</v>
      </c>
      <c r="L126" s="30">
        <v>8</v>
      </c>
      <c r="M126" s="30">
        <v>76</v>
      </c>
      <c r="N126" s="30">
        <v>16</v>
      </c>
      <c r="O126" s="30">
        <v>0</v>
      </c>
      <c r="P126" s="30">
        <v>1</v>
      </c>
      <c r="Q126" s="30">
        <v>0</v>
      </c>
      <c r="R126" s="30">
        <v>0</v>
      </c>
      <c r="S126" s="30">
        <v>13</v>
      </c>
      <c r="T126" s="30">
        <v>0</v>
      </c>
      <c r="U126" s="30">
        <v>0</v>
      </c>
      <c r="V126" s="30">
        <v>38</v>
      </c>
      <c r="W126" s="30">
        <v>4</v>
      </c>
      <c r="X126" s="30">
        <v>0.29499999999999998</v>
      </c>
      <c r="Y126" s="30">
        <v>0.42899999999999999</v>
      </c>
      <c r="Z126" s="22">
        <f>X126+Y126</f>
        <v>0.72399999999999998</v>
      </c>
      <c r="AA126" s="22">
        <f>(0.692*(S126+T126)+0.73*U126+0.865*(I126-(J126+K126+L126))+1.334+J126+1.725*K126+2.065*L126)/(G126+S126-T126+U126+R126)</f>
        <v>0.30705263157894741</v>
      </c>
      <c r="AB126" s="22">
        <f>((AA126-$AA$2000)/1.24+$H$2000/$F$2000)*F126</f>
        <v>20.965659572502204</v>
      </c>
      <c r="AC126" s="22">
        <f>(AB126/F126)/($AB$2000/$F$2000)*100</f>
        <v>105.69502138249891</v>
      </c>
      <c r="AD126" s="22"/>
    </row>
    <row r="127" spans="1:30" ht="15.75" customHeight="1" x14ac:dyDescent="0.15">
      <c r="A127" s="34">
        <v>126</v>
      </c>
      <c r="B127" s="35" t="s">
        <v>3189</v>
      </c>
      <c r="C127" s="58" t="s">
        <v>2645</v>
      </c>
      <c r="D127" s="34">
        <v>0.24</v>
      </c>
      <c r="E127" s="34">
        <v>57</v>
      </c>
      <c r="F127" s="33">
        <v>186</v>
      </c>
      <c r="G127" s="34">
        <v>154</v>
      </c>
      <c r="H127" s="34">
        <v>11</v>
      </c>
      <c r="I127" s="34">
        <v>37</v>
      </c>
      <c r="J127" s="34">
        <v>0</v>
      </c>
      <c r="K127" s="34">
        <v>1</v>
      </c>
      <c r="L127" s="34">
        <v>0</v>
      </c>
      <c r="M127" s="34">
        <v>39</v>
      </c>
      <c r="N127" s="34">
        <v>7</v>
      </c>
      <c r="O127" s="34">
        <v>3</v>
      </c>
      <c r="P127" s="34">
        <v>0</v>
      </c>
      <c r="Q127" s="34">
        <v>10</v>
      </c>
      <c r="R127" s="34">
        <v>2</v>
      </c>
      <c r="S127" s="34">
        <v>19</v>
      </c>
      <c r="T127" s="34">
        <v>2</v>
      </c>
      <c r="U127" s="34">
        <v>1</v>
      </c>
      <c r="V127" s="34">
        <v>38</v>
      </c>
      <c r="W127" s="34">
        <v>2</v>
      </c>
      <c r="X127" s="34">
        <v>0.32400000000000001</v>
      </c>
      <c r="Y127" s="34">
        <v>0.253</v>
      </c>
      <c r="Z127" s="22">
        <f>X127+Y127</f>
        <v>0.57699999999999996</v>
      </c>
      <c r="AA127" s="22">
        <f>(0.692*(S127+T127)+0.73*U127+0.865*(I127-(J127+K127+L127))+1.334+J127+1.725*K127+2.065*L127)/(G127+S127-T127+U127+R127)</f>
        <v>0.28425862068965518</v>
      </c>
      <c r="AB127" s="22">
        <f>((AA127-$AA$2000)/1.24+$H$2000/$F$2000)*F127</f>
        <v>17.105175632318851</v>
      </c>
      <c r="AC127" s="22">
        <f>(AB127/F127)/($AB$2000/$F$2000)*100</f>
        <v>88.087482000139588</v>
      </c>
      <c r="AD127" s="22"/>
    </row>
    <row r="128" spans="1:30" ht="15.75" customHeight="1" x14ac:dyDescent="0.15">
      <c r="A128" s="30">
        <v>127</v>
      </c>
      <c r="B128" s="31" t="s">
        <v>3190</v>
      </c>
      <c r="C128" s="49" t="s">
        <v>2655</v>
      </c>
      <c r="D128" s="30">
        <v>0.20599999999999999</v>
      </c>
      <c r="E128" s="30">
        <v>73</v>
      </c>
      <c r="F128" s="33">
        <v>182</v>
      </c>
      <c r="G128" s="30">
        <v>155</v>
      </c>
      <c r="H128" s="30">
        <v>18</v>
      </c>
      <c r="I128" s="30">
        <v>32</v>
      </c>
      <c r="J128" s="30">
        <v>7</v>
      </c>
      <c r="K128" s="30">
        <v>2</v>
      </c>
      <c r="L128" s="30">
        <v>0</v>
      </c>
      <c r="M128" s="30">
        <v>43</v>
      </c>
      <c r="N128" s="30">
        <v>20</v>
      </c>
      <c r="O128" s="30">
        <v>0</v>
      </c>
      <c r="P128" s="30">
        <v>1</v>
      </c>
      <c r="Q128" s="30">
        <v>8</v>
      </c>
      <c r="R128" s="30">
        <v>3</v>
      </c>
      <c r="S128" s="30">
        <v>16</v>
      </c>
      <c r="T128" s="30">
        <v>0</v>
      </c>
      <c r="U128" s="30">
        <v>0</v>
      </c>
      <c r="V128" s="30">
        <v>31</v>
      </c>
      <c r="W128" s="30">
        <v>5</v>
      </c>
      <c r="X128" s="30">
        <v>0.27600000000000002</v>
      </c>
      <c r="Y128" s="30">
        <v>0.27700000000000002</v>
      </c>
      <c r="Z128" s="22">
        <f>X128+Y128</f>
        <v>0.55300000000000005</v>
      </c>
      <c r="AA128" s="22">
        <f>(0.692*(S128+T128)+0.73*U128+0.865*(I128-(J128+K128+L128))+1.334+J128+1.725*K128+2.065*L128)/(G128+S128-T128+U128+R128)</f>
        <v>0.24569540229885059</v>
      </c>
      <c r="AB128" s="22">
        <f>((AA128-$AA$2000)/1.24+$H$2000/$F$2000)*F128</f>
        <v>11.077237112973471</v>
      </c>
      <c r="AC128" s="22">
        <f>(AB128/F128)/($AB$2000/$F$2000)*100</f>
        <v>58.298806815923299</v>
      </c>
      <c r="AD128" s="22"/>
    </row>
    <row r="129" spans="1:30" ht="15.75" customHeight="1" x14ac:dyDescent="0.15">
      <c r="A129" s="34">
        <v>128</v>
      </c>
      <c r="B129" s="35" t="s">
        <v>3191</v>
      </c>
      <c r="C129" s="58" t="s">
        <v>2645</v>
      </c>
      <c r="D129" s="34">
        <v>0.21099999999999999</v>
      </c>
      <c r="E129" s="34">
        <v>80</v>
      </c>
      <c r="F129" s="33">
        <v>181</v>
      </c>
      <c r="G129" s="34">
        <v>166</v>
      </c>
      <c r="H129" s="34">
        <v>18</v>
      </c>
      <c r="I129" s="34">
        <v>35</v>
      </c>
      <c r="J129" s="34">
        <v>6</v>
      </c>
      <c r="K129" s="34">
        <v>0</v>
      </c>
      <c r="L129" s="34">
        <v>0</v>
      </c>
      <c r="M129" s="34">
        <v>41</v>
      </c>
      <c r="N129" s="34">
        <v>13</v>
      </c>
      <c r="O129" s="34">
        <v>6</v>
      </c>
      <c r="P129" s="34">
        <v>2</v>
      </c>
      <c r="Q129" s="34">
        <v>9</v>
      </c>
      <c r="R129" s="34">
        <v>0</v>
      </c>
      <c r="S129" s="34">
        <v>6</v>
      </c>
      <c r="T129" s="34">
        <v>0</v>
      </c>
      <c r="U129" s="34">
        <v>0</v>
      </c>
      <c r="V129" s="34">
        <v>48</v>
      </c>
      <c r="W129" s="34">
        <v>1</v>
      </c>
      <c r="X129" s="34">
        <v>0.23799999999999999</v>
      </c>
      <c r="Y129" s="34">
        <v>0.247</v>
      </c>
      <c r="Z129" s="22">
        <f>X129+Y129</f>
        <v>0.48499999999999999</v>
      </c>
      <c r="AA129" s="22">
        <f>(0.692*(S129+T129)+0.73*U129+0.865*(I129-(J129+K129+L129))+1.334+J129+1.725*K129+2.065*L129)/(G129+S129-T129+U129+R129)</f>
        <v>0.2126220930232558</v>
      </c>
      <c r="AB129" s="22">
        <f>((AA129-$AA$2000)/1.24+$H$2000/$F$2000)*F129</f>
        <v>6.1887368994998315</v>
      </c>
      <c r="AC129" s="22">
        <f>(AB129/F129)/($AB$2000/$F$2000)*100</f>
        <v>32.750885548212288</v>
      </c>
      <c r="AD129" s="22"/>
    </row>
    <row r="130" spans="1:30" ht="15.75" customHeight="1" x14ac:dyDescent="0.15">
      <c r="A130" s="30">
        <v>129</v>
      </c>
      <c r="B130" s="31" t="s">
        <v>3192</v>
      </c>
      <c r="C130" s="55" t="s">
        <v>2652</v>
      </c>
      <c r="D130" s="30">
        <v>0.22700000000000001</v>
      </c>
      <c r="E130" s="30">
        <v>59</v>
      </c>
      <c r="F130" s="33">
        <v>178</v>
      </c>
      <c r="G130" s="30">
        <v>163</v>
      </c>
      <c r="H130" s="30">
        <v>13</v>
      </c>
      <c r="I130" s="30">
        <v>37</v>
      </c>
      <c r="J130" s="30">
        <v>6</v>
      </c>
      <c r="K130" s="30">
        <v>1</v>
      </c>
      <c r="L130" s="30">
        <v>1</v>
      </c>
      <c r="M130" s="30">
        <v>48</v>
      </c>
      <c r="N130" s="30">
        <v>9</v>
      </c>
      <c r="O130" s="30">
        <v>8</v>
      </c>
      <c r="P130" s="30">
        <v>4</v>
      </c>
      <c r="Q130" s="30">
        <v>1</v>
      </c>
      <c r="R130" s="30">
        <v>0</v>
      </c>
      <c r="S130" s="30">
        <v>13</v>
      </c>
      <c r="T130" s="30">
        <v>0</v>
      </c>
      <c r="U130" s="30">
        <v>1</v>
      </c>
      <c r="V130" s="30">
        <v>45</v>
      </c>
      <c r="W130" s="30">
        <v>5</v>
      </c>
      <c r="X130" s="30">
        <v>0.28799999999999998</v>
      </c>
      <c r="Y130" s="30">
        <v>0.29399999999999998</v>
      </c>
      <c r="Z130" s="22">
        <f>X130+Y130</f>
        <v>0.58199999999999996</v>
      </c>
      <c r="AA130" s="22">
        <f>(0.692*(S130+T130)+0.73*U130+0.865*(I130-(J130+K130+L130))+1.334+J130+1.725*K130+2.065*L130)/(G130+S130-T130+U130+R130)</f>
        <v>0.25951977401129944</v>
      </c>
      <c r="AB130" s="22">
        <f>((AA130-$AA$2000)/1.24+$H$2000/$F$2000)*F130</f>
        <v>12.818247614197082</v>
      </c>
      <c r="AC130" s="22">
        <f>(AB130/F130)/($AB$2000/$F$2000)*100</f>
        <v>68.977628131993811</v>
      </c>
      <c r="AD130" s="22"/>
    </row>
    <row r="131" spans="1:30" ht="15.75" customHeight="1" x14ac:dyDescent="0.15">
      <c r="A131" s="34">
        <v>130</v>
      </c>
      <c r="B131" s="35" t="s">
        <v>3193</v>
      </c>
      <c r="C131" s="51" t="s">
        <v>2655</v>
      </c>
      <c r="D131" s="34">
        <v>0.23899999999999999</v>
      </c>
      <c r="E131" s="34">
        <v>63</v>
      </c>
      <c r="F131" s="33">
        <v>176</v>
      </c>
      <c r="G131" s="34">
        <v>159</v>
      </c>
      <c r="H131" s="34">
        <v>13</v>
      </c>
      <c r="I131" s="34">
        <v>38</v>
      </c>
      <c r="J131" s="34">
        <v>6</v>
      </c>
      <c r="K131" s="34">
        <v>0</v>
      </c>
      <c r="L131" s="34">
        <v>2</v>
      </c>
      <c r="M131" s="34">
        <v>50</v>
      </c>
      <c r="N131" s="34">
        <v>16</v>
      </c>
      <c r="O131" s="34">
        <v>0</v>
      </c>
      <c r="P131" s="34">
        <v>0</v>
      </c>
      <c r="Q131" s="34">
        <v>3</v>
      </c>
      <c r="R131" s="34">
        <v>2</v>
      </c>
      <c r="S131" s="34">
        <v>11</v>
      </c>
      <c r="T131" s="34">
        <v>0</v>
      </c>
      <c r="U131" s="34">
        <v>1</v>
      </c>
      <c r="V131" s="34">
        <v>37</v>
      </c>
      <c r="W131" s="34">
        <v>2</v>
      </c>
      <c r="X131" s="34">
        <v>0.28899999999999998</v>
      </c>
      <c r="Y131" s="34">
        <v>0.314</v>
      </c>
      <c r="Z131" s="22">
        <f>X131+Y131</f>
        <v>0.60299999999999998</v>
      </c>
      <c r="AA131" s="22">
        <f>(0.692*(S131+T131)+0.73*U131+0.865*(I131-(J131+K131+L131))+1.334+J131+1.725*K131+2.065*L131)/(G131+S131-T131+U131+R131)</f>
        <v>0.26448554913294803</v>
      </c>
      <c r="AB131" s="22">
        <f>((AA131-$AA$2000)/1.24+$H$2000/$F$2000)*F131</f>
        <v>13.379042054790585</v>
      </c>
      <c r="AC131" s="22">
        <f>(AB131/F131)/($AB$2000/$F$2000)*100</f>
        <v>72.813507716461388</v>
      </c>
      <c r="AD131" s="22"/>
    </row>
    <row r="132" spans="1:30" ht="15.75" customHeight="1" x14ac:dyDescent="0.15">
      <c r="A132" s="30">
        <v>130</v>
      </c>
      <c r="B132" s="31" t="s">
        <v>3194</v>
      </c>
      <c r="C132" s="47" t="s">
        <v>2654</v>
      </c>
      <c r="D132" s="30">
        <v>0.23599999999999999</v>
      </c>
      <c r="E132" s="30">
        <v>63</v>
      </c>
      <c r="F132" s="33">
        <v>176</v>
      </c>
      <c r="G132" s="30">
        <v>165</v>
      </c>
      <c r="H132" s="30">
        <v>11</v>
      </c>
      <c r="I132" s="30">
        <v>39</v>
      </c>
      <c r="J132" s="30">
        <v>6</v>
      </c>
      <c r="K132" s="30">
        <v>0</v>
      </c>
      <c r="L132" s="30">
        <v>6</v>
      </c>
      <c r="M132" s="30">
        <v>63</v>
      </c>
      <c r="N132" s="30">
        <v>16</v>
      </c>
      <c r="O132" s="30">
        <v>1</v>
      </c>
      <c r="P132" s="30">
        <v>0</v>
      </c>
      <c r="Q132" s="30">
        <v>2</v>
      </c>
      <c r="R132" s="30">
        <v>1</v>
      </c>
      <c r="S132" s="30">
        <v>7</v>
      </c>
      <c r="T132" s="30">
        <v>2</v>
      </c>
      <c r="U132" s="30">
        <v>1</v>
      </c>
      <c r="V132" s="30">
        <v>45</v>
      </c>
      <c r="W132" s="30">
        <v>2</v>
      </c>
      <c r="X132" s="30">
        <v>0.27</v>
      </c>
      <c r="Y132" s="30">
        <v>0.38200000000000001</v>
      </c>
      <c r="Z132" s="22">
        <f>X132+Y132</f>
        <v>0.65200000000000002</v>
      </c>
      <c r="AA132" s="22">
        <f>(0.692*(S132+T132)+0.73*U132+0.865*(I132-(J132+K132+L132))+1.334+J132+1.725*K132+2.065*L132)/(G132+S132-T132+U132+R132)</f>
        <v>0.29091279069767445</v>
      </c>
      <c r="AB132" s="22">
        <f>((AA132-$AA$2000)/1.24+$H$2000/$F$2000)*F132</f>
        <v>17.130005373654981</v>
      </c>
      <c r="AC132" s="22">
        <f>(AB132/F132)/($AB$2000/$F$2000)*100</f>
        <v>93.227584856199584</v>
      </c>
      <c r="AD132" s="22"/>
    </row>
    <row r="133" spans="1:30" ht="15.75" customHeight="1" x14ac:dyDescent="0.15">
      <c r="A133" s="34">
        <v>132</v>
      </c>
      <c r="B133" s="35" t="s">
        <v>3195</v>
      </c>
      <c r="C133" s="45" t="s">
        <v>2651</v>
      </c>
      <c r="D133" s="34">
        <v>0.23499999999999999</v>
      </c>
      <c r="E133" s="34">
        <v>54</v>
      </c>
      <c r="F133" s="33">
        <v>175</v>
      </c>
      <c r="G133" s="34">
        <v>166</v>
      </c>
      <c r="H133" s="34">
        <v>16</v>
      </c>
      <c r="I133" s="34">
        <v>39</v>
      </c>
      <c r="J133" s="34">
        <v>6</v>
      </c>
      <c r="K133" s="34">
        <v>0</v>
      </c>
      <c r="L133" s="34">
        <v>5</v>
      </c>
      <c r="M133" s="34">
        <v>60</v>
      </c>
      <c r="N133" s="34">
        <v>22</v>
      </c>
      <c r="O133" s="34">
        <v>1</v>
      </c>
      <c r="P133" s="34">
        <v>1</v>
      </c>
      <c r="Q133" s="34">
        <v>0</v>
      </c>
      <c r="R133" s="34">
        <v>0</v>
      </c>
      <c r="S133" s="34">
        <v>7</v>
      </c>
      <c r="T133" s="34">
        <v>0</v>
      </c>
      <c r="U133" s="34">
        <v>2</v>
      </c>
      <c r="V133" s="34">
        <v>49</v>
      </c>
      <c r="W133" s="34">
        <v>5</v>
      </c>
      <c r="X133" s="34">
        <v>0.27400000000000002</v>
      </c>
      <c r="Y133" s="34">
        <v>0.36099999999999999</v>
      </c>
      <c r="Z133" s="22">
        <f>X133+Y133</f>
        <v>0.63500000000000001</v>
      </c>
      <c r="AA133" s="22">
        <f>(0.692*(S133+T133)+0.73*U133+0.865*(I133-(J133+K133+L133))+1.334+J133+1.725*K133+2.065*L133)/(G133+S133-T133+U133+R133)</f>
        <v>0.2753314285714285</v>
      </c>
      <c r="AB133" s="22">
        <f>((AA133-$AA$2000)/1.24+$H$2000/$F$2000)*F133</f>
        <v>14.833693239528756</v>
      </c>
      <c r="AC133" s="22">
        <f>(AB133/F133)/($AB$2000/$F$2000)*100</f>
        <v>81.191552733500345</v>
      </c>
      <c r="AD133" s="22"/>
    </row>
    <row r="134" spans="1:30" ht="15.75" customHeight="1" x14ac:dyDescent="0.15">
      <c r="A134" s="30">
        <v>133</v>
      </c>
      <c r="B134" s="31" t="s">
        <v>3196</v>
      </c>
      <c r="C134" s="47" t="s">
        <v>2654</v>
      </c>
      <c r="D134" s="30">
        <v>0.17499999999999999</v>
      </c>
      <c r="E134" s="30">
        <v>67</v>
      </c>
      <c r="F134" s="33">
        <v>173</v>
      </c>
      <c r="G134" s="30">
        <v>154</v>
      </c>
      <c r="H134" s="30">
        <v>16</v>
      </c>
      <c r="I134" s="30">
        <v>27</v>
      </c>
      <c r="J134" s="30">
        <v>5</v>
      </c>
      <c r="K134" s="30">
        <v>0</v>
      </c>
      <c r="L134" s="30">
        <v>5</v>
      </c>
      <c r="M134" s="30">
        <v>47</v>
      </c>
      <c r="N134" s="30">
        <v>19</v>
      </c>
      <c r="O134" s="30">
        <v>0</v>
      </c>
      <c r="P134" s="30">
        <v>0</v>
      </c>
      <c r="Q134" s="30">
        <v>0</v>
      </c>
      <c r="R134" s="30">
        <v>1</v>
      </c>
      <c r="S134" s="30">
        <v>18</v>
      </c>
      <c r="T134" s="30">
        <v>1</v>
      </c>
      <c r="U134" s="30">
        <v>0</v>
      </c>
      <c r="V134" s="30">
        <v>44</v>
      </c>
      <c r="W134" s="30">
        <v>4</v>
      </c>
      <c r="X134" s="30">
        <v>0.26</v>
      </c>
      <c r="Y134" s="30">
        <v>0.30499999999999999</v>
      </c>
      <c r="Z134" s="22">
        <f>X134+Y134</f>
        <v>0.56499999999999995</v>
      </c>
      <c r="AA134" s="22">
        <f>(0.692*(S134+T134)+0.73*U134+0.865*(I134-(J134+K134+L134))+1.334+J134+1.725*K134+2.065*L134)/(G134+S134-T134+U134+R134)</f>
        <v>0.25879069767441859</v>
      </c>
      <c r="AB134" s="22">
        <f>((AA134-$AA$2000)/1.24+$H$2000/$F$2000)*F134</f>
        <v>12.356466570676192</v>
      </c>
      <c r="AC134" s="22">
        <f>(AB134/F134)/($AB$2000/$F$2000)*100</f>
        <v>68.414443338552914</v>
      </c>
      <c r="AD134" s="22"/>
    </row>
    <row r="135" spans="1:30" ht="15.75" customHeight="1" x14ac:dyDescent="0.15">
      <c r="A135" s="34">
        <v>134</v>
      </c>
      <c r="B135" s="35" t="s">
        <v>3197</v>
      </c>
      <c r="C135" s="56" t="s">
        <v>2653</v>
      </c>
      <c r="D135" s="34">
        <v>0.214</v>
      </c>
      <c r="E135" s="34">
        <v>61</v>
      </c>
      <c r="F135" s="33">
        <v>170</v>
      </c>
      <c r="G135" s="34">
        <v>154</v>
      </c>
      <c r="H135" s="34">
        <v>16</v>
      </c>
      <c r="I135" s="34">
        <v>33</v>
      </c>
      <c r="J135" s="34">
        <v>4</v>
      </c>
      <c r="K135" s="34">
        <v>1</v>
      </c>
      <c r="L135" s="34">
        <v>1</v>
      </c>
      <c r="M135" s="34">
        <v>42</v>
      </c>
      <c r="N135" s="34">
        <v>7</v>
      </c>
      <c r="O135" s="34">
        <v>3</v>
      </c>
      <c r="P135" s="34">
        <v>1</v>
      </c>
      <c r="Q135" s="34">
        <v>2</v>
      </c>
      <c r="R135" s="34">
        <v>1</v>
      </c>
      <c r="S135" s="34">
        <v>10</v>
      </c>
      <c r="T135" s="34">
        <v>0</v>
      </c>
      <c r="U135" s="34">
        <v>3</v>
      </c>
      <c r="V135" s="34">
        <v>46</v>
      </c>
      <c r="W135" s="34">
        <v>1</v>
      </c>
      <c r="X135" s="34">
        <v>0.27400000000000002</v>
      </c>
      <c r="Y135" s="34">
        <v>0.27300000000000002</v>
      </c>
      <c r="Z135" s="22">
        <f>X135+Y135</f>
        <v>0.54700000000000004</v>
      </c>
      <c r="AA135" s="22">
        <f>(0.692*(S135+T135)+0.73*U135+0.865*(I135-(J135+K135+L135))+1.334+J135+1.725*K135+2.065*L135)/(G135+S135-T135+U135+R135)</f>
        <v>0.24755357142857146</v>
      </c>
      <c r="AB135" s="22">
        <f>((AA135-$AA$2000)/1.24+$H$2000/$F$2000)*F135</f>
        <v>10.60161882439016</v>
      </c>
      <c r="AC135" s="22">
        <f>(AB135/F135)/($AB$2000/$F$2000)*100</f>
        <v>59.734174478488299</v>
      </c>
      <c r="AD135" s="22"/>
    </row>
    <row r="136" spans="1:30" ht="15.75" customHeight="1" x14ac:dyDescent="0.15">
      <c r="A136" s="30">
        <v>135</v>
      </c>
      <c r="B136" s="31" t="s">
        <v>3198</v>
      </c>
      <c r="C136" s="46" t="s">
        <v>2648</v>
      </c>
      <c r="D136" s="30">
        <v>0.223</v>
      </c>
      <c r="E136" s="30">
        <v>83</v>
      </c>
      <c r="F136" s="33">
        <v>166</v>
      </c>
      <c r="G136" s="30">
        <v>148</v>
      </c>
      <c r="H136" s="30">
        <v>14</v>
      </c>
      <c r="I136" s="30">
        <v>33</v>
      </c>
      <c r="J136" s="30">
        <v>6</v>
      </c>
      <c r="K136" s="30">
        <v>0</v>
      </c>
      <c r="L136" s="30">
        <v>4</v>
      </c>
      <c r="M136" s="30">
        <v>51</v>
      </c>
      <c r="N136" s="30">
        <v>21</v>
      </c>
      <c r="O136" s="30">
        <v>2</v>
      </c>
      <c r="P136" s="30">
        <v>1</v>
      </c>
      <c r="Q136" s="30">
        <v>5</v>
      </c>
      <c r="R136" s="30">
        <v>1</v>
      </c>
      <c r="S136" s="30">
        <v>11</v>
      </c>
      <c r="T136" s="30">
        <v>0</v>
      </c>
      <c r="U136" s="30">
        <v>1</v>
      </c>
      <c r="V136" s="30">
        <v>50</v>
      </c>
      <c r="W136" s="30">
        <v>2</v>
      </c>
      <c r="X136" s="30">
        <v>0.28000000000000003</v>
      </c>
      <c r="Y136" s="30">
        <v>0.34499999999999997</v>
      </c>
      <c r="Z136" s="22">
        <f>X136+Y136</f>
        <v>0.625</v>
      </c>
      <c r="AA136" s="22">
        <f>(0.692*(S136+T136)+0.73*U136+0.865*(I136-(J136+K136+L136))+1.334+J136+1.725*K136+2.065*L136)/(G136+S136-T136+U136+R136)</f>
        <v>0.27224223602484471</v>
      </c>
      <c r="AB136" s="22">
        <f>((AA136-$AA$2000)/1.24+$H$2000/$F$2000)*F136</f>
        <v>13.657264391457787</v>
      </c>
      <c r="AC136" s="22">
        <f>(AB136/F136)/($AB$2000/$F$2000)*100</f>
        <v>78.805264524380604</v>
      </c>
      <c r="AD136" s="22"/>
    </row>
    <row r="137" spans="1:30" ht="15.75" customHeight="1" x14ac:dyDescent="0.15">
      <c r="A137" s="34">
        <v>136</v>
      </c>
      <c r="B137" s="35" t="s">
        <v>3199</v>
      </c>
      <c r="C137" s="42" t="s">
        <v>2652</v>
      </c>
      <c r="D137" s="34">
        <v>0.245</v>
      </c>
      <c r="E137" s="34">
        <v>73</v>
      </c>
      <c r="F137" s="33">
        <v>165</v>
      </c>
      <c r="G137" s="34">
        <v>147</v>
      </c>
      <c r="H137" s="34">
        <v>9</v>
      </c>
      <c r="I137" s="34">
        <v>36</v>
      </c>
      <c r="J137" s="34">
        <v>7</v>
      </c>
      <c r="K137" s="34">
        <v>0</v>
      </c>
      <c r="L137" s="34">
        <v>1</v>
      </c>
      <c r="M137" s="34">
        <v>46</v>
      </c>
      <c r="N137" s="34">
        <v>17</v>
      </c>
      <c r="O137" s="34">
        <v>0</v>
      </c>
      <c r="P137" s="34">
        <v>0</v>
      </c>
      <c r="Q137" s="34">
        <v>5</v>
      </c>
      <c r="R137" s="34">
        <v>0</v>
      </c>
      <c r="S137" s="34">
        <v>13</v>
      </c>
      <c r="T137" s="34">
        <v>0</v>
      </c>
      <c r="U137" s="34">
        <v>0</v>
      </c>
      <c r="V137" s="34">
        <v>25</v>
      </c>
      <c r="W137" s="34">
        <v>6</v>
      </c>
      <c r="X137" s="34">
        <v>0.30599999999999999</v>
      </c>
      <c r="Y137" s="34">
        <v>0.313</v>
      </c>
      <c r="Z137" s="22">
        <f>X137+Y137</f>
        <v>0.61899999999999999</v>
      </c>
      <c r="AA137" s="22">
        <f>(0.692*(S137+T137)+0.73*U137+0.865*(I137-(J137+K137+L137))+1.334+J137+1.725*K137+2.065*L137)/(G137+S137-T137+U137+R137)</f>
        <v>0.27259374999999997</v>
      </c>
      <c r="AB137" s="22">
        <f>((AA137-$AA$2000)/1.24+$H$2000/$F$2000)*F137</f>
        <v>13.62176575141744</v>
      </c>
      <c r="AC137" s="22">
        <f>(AB137/F137)/($AB$2000/$F$2000)*100</f>
        <v>79.076796208341648</v>
      </c>
      <c r="AD137" s="22"/>
    </row>
    <row r="138" spans="1:30" ht="15.75" customHeight="1" x14ac:dyDescent="0.15">
      <c r="A138" s="30">
        <v>137</v>
      </c>
      <c r="B138" s="31" t="s">
        <v>3200</v>
      </c>
      <c r="C138" s="55" t="s">
        <v>2652</v>
      </c>
      <c r="D138" s="30">
        <v>0.216</v>
      </c>
      <c r="E138" s="30">
        <v>86</v>
      </c>
      <c r="F138" s="33">
        <v>163</v>
      </c>
      <c r="G138" s="30">
        <v>148</v>
      </c>
      <c r="H138" s="30">
        <v>15</v>
      </c>
      <c r="I138" s="30">
        <v>32</v>
      </c>
      <c r="J138" s="30">
        <v>4</v>
      </c>
      <c r="K138" s="30">
        <v>2</v>
      </c>
      <c r="L138" s="30">
        <v>0</v>
      </c>
      <c r="M138" s="30">
        <v>40</v>
      </c>
      <c r="N138" s="30">
        <v>8</v>
      </c>
      <c r="O138" s="30">
        <v>9</v>
      </c>
      <c r="P138" s="30">
        <v>3</v>
      </c>
      <c r="Q138" s="30">
        <v>5</v>
      </c>
      <c r="R138" s="30">
        <v>0</v>
      </c>
      <c r="S138" s="30">
        <v>9</v>
      </c>
      <c r="T138" s="30">
        <v>0</v>
      </c>
      <c r="U138" s="30">
        <v>1</v>
      </c>
      <c r="V138" s="30">
        <v>41</v>
      </c>
      <c r="W138" s="30">
        <v>1</v>
      </c>
      <c r="X138" s="30">
        <v>0.26600000000000001</v>
      </c>
      <c r="Y138" s="30">
        <v>0.27</v>
      </c>
      <c r="Z138" s="22">
        <f>X138+Y138</f>
        <v>0.53600000000000003</v>
      </c>
      <c r="AA138" s="22">
        <f>(0.692*(S138+T138)+0.73*U138+0.865*(I138-(J138+K138+L138))+1.334+J138+1.725*K138+2.065*L138)/(G138+S138-T138+U138+R138)</f>
        <v>0.24197468354430379</v>
      </c>
      <c r="AB138" s="22">
        <f>((AA138-$AA$2000)/1.24+$H$2000/$F$2000)*F138</f>
        <v>9.4317277680867271</v>
      </c>
      <c r="AC138" s="22">
        <f>(AB138/F138)/($AB$2000/$F$2000)*100</f>
        <v>55.424687718606336</v>
      </c>
      <c r="AD138" s="22"/>
    </row>
    <row r="139" spans="1:30" ht="15.75" customHeight="1" x14ac:dyDescent="0.15">
      <c r="A139" s="34">
        <v>137</v>
      </c>
      <c r="B139" s="35" t="s">
        <v>3201</v>
      </c>
      <c r="C139" s="58" t="s">
        <v>2645</v>
      </c>
      <c r="D139" s="34">
        <v>0.21099999999999999</v>
      </c>
      <c r="E139" s="34">
        <v>64</v>
      </c>
      <c r="F139" s="33">
        <v>163</v>
      </c>
      <c r="G139" s="34">
        <v>152</v>
      </c>
      <c r="H139" s="34">
        <v>11</v>
      </c>
      <c r="I139" s="34">
        <v>32</v>
      </c>
      <c r="J139" s="34">
        <v>3</v>
      </c>
      <c r="K139" s="34">
        <v>0</v>
      </c>
      <c r="L139" s="34">
        <v>1</v>
      </c>
      <c r="M139" s="34">
        <v>38</v>
      </c>
      <c r="N139" s="34">
        <v>17</v>
      </c>
      <c r="O139" s="34">
        <v>2</v>
      </c>
      <c r="P139" s="34">
        <v>2</v>
      </c>
      <c r="Q139" s="34">
        <v>0</v>
      </c>
      <c r="R139" s="34">
        <v>1</v>
      </c>
      <c r="S139" s="34">
        <v>9</v>
      </c>
      <c r="T139" s="34">
        <v>0</v>
      </c>
      <c r="U139" s="34">
        <v>1</v>
      </c>
      <c r="V139" s="34">
        <v>41</v>
      </c>
      <c r="W139" s="34">
        <v>2</v>
      </c>
      <c r="X139" s="34">
        <v>0.25800000000000001</v>
      </c>
      <c r="Y139" s="34">
        <v>0.25</v>
      </c>
      <c r="Z139" s="22">
        <f>X139+Y139</f>
        <v>0.50800000000000001</v>
      </c>
      <c r="AA139" s="22">
        <f>(0.692*(S139+T139)+0.73*U139+0.865*(I139-(J139+K139+L139))+1.334+J139+1.725*K139+2.065*L139)/(G139+S139-T139+U139+R139)</f>
        <v>0.23053374233128834</v>
      </c>
      <c r="AB139" s="22">
        <f>((AA139-$AA$2000)/1.24+$H$2000/$F$2000)*F139</f>
        <v>7.9277975925048576</v>
      </c>
      <c r="AC139" s="22">
        <f>(AB139/F139)/($AB$2000/$F$2000)*100</f>
        <v>46.586979253964884</v>
      </c>
      <c r="AD139" s="22"/>
    </row>
    <row r="140" spans="1:30" ht="15.75" customHeight="1" x14ac:dyDescent="0.15">
      <c r="A140" s="30">
        <v>139</v>
      </c>
      <c r="B140" s="31" t="s">
        <v>3061</v>
      </c>
      <c r="C140" s="52" t="s">
        <v>2646</v>
      </c>
      <c r="D140" s="30">
        <v>0.21099999999999999</v>
      </c>
      <c r="E140" s="30">
        <v>66</v>
      </c>
      <c r="F140" s="33">
        <v>160</v>
      </c>
      <c r="G140" s="30">
        <v>142</v>
      </c>
      <c r="H140" s="30">
        <v>17</v>
      </c>
      <c r="I140" s="30">
        <v>30</v>
      </c>
      <c r="J140" s="30">
        <v>6</v>
      </c>
      <c r="K140" s="30">
        <v>2</v>
      </c>
      <c r="L140" s="30">
        <v>8</v>
      </c>
      <c r="M140" s="30">
        <v>64</v>
      </c>
      <c r="N140" s="30">
        <v>18</v>
      </c>
      <c r="O140" s="30">
        <v>0</v>
      </c>
      <c r="P140" s="30">
        <v>1</v>
      </c>
      <c r="Q140" s="30">
        <v>6</v>
      </c>
      <c r="R140" s="30">
        <v>0</v>
      </c>
      <c r="S140" s="30">
        <v>11</v>
      </c>
      <c r="T140" s="30">
        <v>0</v>
      </c>
      <c r="U140" s="30">
        <v>1</v>
      </c>
      <c r="V140" s="30">
        <v>44</v>
      </c>
      <c r="W140" s="30">
        <v>4</v>
      </c>
      <c r="X140" s="30">
        <v>0.27300000000000002</v>
      </c>
      <c r="Y140" s="30">
        <v>0.45100000000000001</v>
      </c>
      <c r="Z140" s="22">
        <f>X140+Y140</f>
        <v>0.72399999999999998</v>
      </c>
      <c r="AA140" s="22">
        <f>(0.692*(S140+T140)+0.73*U140+0.865*(I140-(J140+K140+L140))+1.334+J140+1.725*K140+2.065*L140)/(G140+S140-T140+U140+R140)</f>
        <v>0.3101038961038961</v>
      </c>
      <c r="AB140" s="22">
        <f>((AA140-$AA$2000)/1.24+$H$2000/$F$2000)*F140</f>
        <v>18.049003823187086</v>
      </c>
      <c r="AC140" s="22">
        <f>(AB140/F140)/($AB$2000/$F$2000)*100</f>
        <v>108.05201158268648</v>
      </c>
      <c r="AD140" s="22"/>
    </row>
    <row r="141" spans="1:30" ht="15.75" customHeight="1" x14ac:dyDescent="0.15">
      <c r="A141" s="34">
        <v>140</v>
      </c>
      <c r="B141" s="35" t="s">
        <v>3202</v>
      </c>
      <c r="C141" s="45" t="s">
        <v>2651</v>
      </c>
      <c r="D141" s="34">
        <v>0.24199999999999999</v>
      </c>
      <c r="E141" s="34">
        <v>47</v>
      </c>
      <c r="F141" s="33">
        <v>159</v>
      </c>
      <c r="G141" s="34">
        <v>149</v>
      </c>
      <c r="H141" s="34">
        <v>16</v>
      </c>
      <c r="I141" s="34">
        <v>36</v>
      </c>
      <c r="J141" s="34">
        <v>7</v>
      </c>
      <c r="K141" s="34">
        <v>2</v>
      </c>
      <c r="L141" s="34">
        <v>4</v>
      </c>
      <c r="M141" s="34">
        <v>59</v>
      </c>
      <c r="N141" s="34">
        <v>12</v>
      </c>
      <c r="O141" s="34">
        <v>1</v>
      </c>
      <c r="P141" s="34">
        <v>1</v>
      </c>
      <c r="Q141" s="34">
        <v>0</v>
      </c>
      <c r="R141" s="34">
        <v>2</v>
      </c>
      <c r="S141" s="34">
        <v>8</v>
      </c>
      <c r="T141" s="34">
        <v>0</v>
      </c>
      <c r="U141" s="34">
        <v>0</v>
      </c>
      <c r="V141" s="34">
        <v>45</v>
      </c>
      <c r="W141" s="34">
        <v>3</v>
      </c>
      <c r="X141" s="34">
        <v>0.27700000000000002</v>
      </c>
      <c r="Y141" s="34">
        <v>0.39600000000000002</v>
      </c>
      <c r="Z141" s="22">
        <f>X141+Y141</f>
        <v>0.67300000000000004</v>
      </c>
      <c r="AA141" s="22">
        <f>(0.692*(S141+T141)+0.73*U141+0.865*(I141-(J141+K141+L141))+1.334+J141+1.725*K141+2.065*L141)/(G141+S141-T141+U141+R141)</f>
        <v>0.28600628930817612</v>
      </c>
      <c r="AB141" s="22">
        <f>((AA141-$AA$2000)/1.24+$H$2000/$F$2000)*F141</f>
        <v>14.846262484357107</v>
      </c>
      <c r="AC141" s="22">
        <f>(AB141/F141)/($AB$2000/$F$2000)*100</f>
        <v>89.43749206100064</v>
      </c>
      <c r="AD141" s="22"/>
    </row>
    <row r="142" spans="1:30" ht="15.75" customHeight="1" x14ac:dyDescent="0.15">
      <c r="A142" s="30">
        <v>141</v>
      </c>
      <c r="B142" s="31" t="s">
        <v>3203</v>
      </c>
      <c r="C142" s="47" t="s">
        <v>2654</v>
      </c>
      <c r="D142" s="30">
        <v>0.191</v>
      </c>
      <c r="E142" s="30">
        <v>60</v>
      </c>
      <c r="F142" s="33">
        <v>157</v>
      </c>
      <c r="G142" s="30">
        <v>141</v>
      </c>
      <c r="H142" s="30">
        <v>8</v>
      </c>
      <c r="I142" s="30">
        <v>27</v>
      </c>
      <c r="J142" s="30">
        <v>5</v>
      </c>
      <c r="K142" s="30">
        <v>0</v>
      </c>
      <c r="L142" s="30">
        <v>2</v>
      </c>
      <c r="M142" s="30">
        <v>38</v>
      </c>
      <c r="N142" s="30">
        <v>16</v>
      </c>
      <c r="O142" s="30">
        <v>3</v>
      </c>
      <c r="P142" s="30">
        <v>1</v>
      </c>
      <c r="Q142" s="30">
        <v>0</v>
      </c>
      <c r="R142" s="30">
        <v>3</v>
      </c>
      <c r="S142" s="30">
        <v>13</v>
      </c>
      <c r="T142" s="30">
        <v>0</v>
      </c>
      <c r="U142" s="30">
        <v>0</v>
      </c>
      <c r="V142" s="30">
        <v>26</v>
      </c>
      <c r="W142" s="30">
        <v>3</v>
      </c>
      <c r="X142" s="30">
        <v>0.255</v>
      </c>
      <c r="Y142" s="30">
        <v>0.27</v>
      </c>
      <c r="Z142" s="22">
        <f>X142+Y142</f>
        <v>0.52500000000000002</v>
      </c>
      <c r="AA142" s="22">
        <f>(0.692*(S142+T142)+0.73*U142+0.865*(I142-(J142+K142+L142))+1.334+J142+1.725*K142+2.065*L142)/(G142+S142-T142+U142+R142)</f>
        <v>0.23414012738853501</v>
      </c>
      <c r="AB142" s="22">
        <f>((AA142-$AA$2000)/1.24+$H$2000/$F$2000)*F142</f>
        <v>8.0925917044767726</v>
      </c>
      <c r="AC142" s="22">
        <f>(AB142/F142)/($AB$2000/$F$2000)*100</f>
        <v>49.372779753571237</v>
      </c>
      <c r="AD142" s="22"/>
    </row>
    <row r="143" spans="1:30" ht="15.75" customHeight="1" x14ac:dyDescent="0.15">
      <c r="A143" s="34">
        <v>142</v>
      </c>
      <c r="B143" s="35" t="s">
        <v>3204</v>
      </c>
      <c r="C143" s="36" t="s">
        <v>2646</v>
      </c>
      <c r="D143" s="34">
        <v>0.18099999999999999</v>
      </c>
      <c r="E143" s="34">
        <v>61</v>
      </c>
      <c r="F143" s="33">
        <v>156</v>
      </c>
      <c r="G143" s="34">
        <v>138</v>
      </c>
      <c r="H143" s="34">
        <v>17</v>
      </c>
      <c r="I143" s="34">
        <v>25</v>
      </c>
      <c r="J143" s="34">
        <v>4</v>
      </c>
      <c r="K143" s="34">
        <v>1</v>
      </c>
      <c r="L143" s="34">
        <v>6</v>
      </c>
      <c r="M143" s="34">
        <v>49</v>
      </c>
      <c r="N143" s="34">
        <v>16</v>
      </c>
      <c r="O143" s="34">
        <v>0</v>
      </c>
      <c r="P143" s="34">
        <v>0</v>
      </c>
      <c r="Q143" s="34">
        <v>2</v>
      </c>
      <c r="R143" s="34">
        <v>1</v>
      </c>
      <c r="S143" s="34">
        <v>13</v>
      </c>
      <c r="T143" s="34">
        <v>0</v>
      </c>
      <c r="U143" s="34">
        <v>2</v>
      </c>
      <c r="V143" s="34">
        <v>55</v>
      </c>
      <c r="W143" s="34">
        <v>0</v>
      </c>
      <c r="X143" s="34">
        <v>0.26</v>
      </c>
      <c r="Y143" s="34">
        <v>0.35499999999999998</v>
      </c>
      <c r="Z143" s="22">
        <f>X143+Y143</f>
        <v>0.61499999999999999</v>
      </c>
      <c r="AA143" s="22">
        <f>(0.692*(S143+T143)+0.73*U143+0.865*(I143-(J143+K143+L143))+1.334+J143+1.725*K143+2.065*L143)/(G143+S143-T143+U143+R143)</f>
        <v>0.2728246753246753</v>
      </c>
      <c r="AB143" s="22">
        <f>((AA143-$AA$2000)/1.24+$H$2000/$F$2000)*F143</f>
        <v>12.907812242479633</v>
      </c>
      <c r="AC143" s="22">
        <f>(AB143/F143)/($AB$2000/$F$2000)*100</f>
        <v>79.255177572128531</v>
      </c>
      <c r="AD143" s="22"/>
    </row>
    <row r="144" spans="1:30" ht="15.75" customHeight="1" x14ac:dyDescent="0.15">
      <c r="A144" s="30">
        <v>143</v>
      </c>
      <c r="B144" s="31" t="s">
        <v>3205</v>
      </c>
      <c r="C144" s="53" t="s">
        <v>198</v>
      </c>
      <c r="D144" s="30">
        <v>0.19900000000000001</v>
      </c>
      <c r="E144" s="30">
        <v>70</v>
      </c>
      <c r="F144" s="33">
        <v>155</v>
      </c>
      <c r="G144" s="30">
        <v>141</v>
      </c>
      <c r="H144" s="30">
        <v>7</v>
      </c>
      <c r="I144" s="30">
        <v>28</v>
      </c>
      <c r="J144" s="30">
        <v>4</v>
      </c>
      <c r="K144" s="30">
        <v>0</v>
      </c>
      <c r="L144" s="30">
        <v>1</v>
      </c>
      <c r="M144" s="30">
        <v>35</v>
      </c>
      <c r="N144" s="30">
        <v>8</v>
      </c>
      <c r="O144" s="30">
        <v>0</v>
      </c>
      <c r="P144" s="30">
        <v>1</v>
      </c>
      <c r="Q144" s="30">
        <v>3</v>
      </c>
      <c r="R144" s="30">
        <v>0</v>
      </c>
      <c r="S144" s="30">
        <v>10</v>
      </c>
      <c r="T144" s="30">
        <v>0</v>
      </c>
      <c r="U144" s="30">
        <v>1</v>
      </c>
      <c r="V144" s="30">
        <v>41</v>
      </c>
      <c r="W144" s="30">
        <v>3</v>
      </c>
      <c r="X144" s="30">
        <v>0.25700000000000001</v>
      </c>
      <c r="Y144" s="30">
        <v>0.248</v>
      </c>
      <c r="Z144" s="22">
        <f>X144+Y144</f>
        <v>0.505</v>
      </c>
      <c r="AA144" s="22">
        <f>(0.692*(S144+T144)+0.73*U144+0.865*(I144-(J144+K144+L144))+1.334+J144+1.725*K144+2.065*L144)/(G144+S144-T144+U144+R144)</f>
        <v>0.22989473684210529</v>
      </c>
      <c r="AB144" s="22">
        <f>((AA144-$AA$2000)/1.24+$H$2000/$F$2000)*F144</f>
        <v>7.4588275459886386</v>
      </c>
      <c r="AC144" s="22">
        <f>(AB144/F144)/($AB$2000/$F$2000)*100</f>
        <v>46.093370894691006</v>
      </c>
      <c r="AD144" s="22"/>
    </row>
    <row r="145" spans="1:30" ht="15.75" customHeight="1" x14ac:dyDescent="0.15">
      <c r="A145" s="34">
        <v>144</v>
      </c>
      <c r="B145" s="35" t="s">
        <v>3208</v>
      </c>
      <c r="C145" s="58" t="s">
        <v>2645</v>
      </c>
      <c r="D145" s="34">
        <v>0.22800000000000001</v>
      </c>
      <c r="E145" s="34">
        <v>71</v>
      </c>
      <c r="F145" s="33">
        <v>154</v>
      </c>
      <c r="G145" s="34">
        <v>136</v>
      </c>
      <c r="H145" s="34">
        <v>13</v>
      </c>
      <c r="I145" s="34">
        <v>31</v>
      </c>
      <c r="J145" s="34">
        <v>8</v>
      </c>
      <c r="K145" s="34">
        <v>0</v>
      </c>
      <c r="L145" s="34">
        <v>0</v>
      </c>
      <c r="M145" s="34">
        <v>39</v>
      </c>
      <c r="N145" s="34">
        <v>4</v>
      </c>
      <c r="O145" s="34">
        <v>7</v>
      </c>
      <c r="P145" s="34">
        <v>3</v>
      </c>
      <c r="Q145" s="34">
        <v>2</v>
      </c>
      <c r="R145" s="34">
        <v>0</v>
      </c>
      <c r="S145" s="34">
        <v>10</v>
      </c>
      <c r="T145" s="34">
        <v>1</v>
      </c>
      <c r="U145" s="34">
        <v>6</v>
      </c>
      <c r="V145" s="34">
        <v>27</v>
      </c>
      <c r="W145" s="34">
        <v>3</v>
      </c>
      <c r="X145" s="34">
        <v>0.309</v>
      </c>
      <c r="Y145" s="34">
        <v>0.28699999999999998</v>
      </c>
      <c r="Z145" s="22">
        <f>X145+Y145</f>
        <v>0.59599999999999997</v>
      </c>
      <c r="AA145" s="22">
        <f>(0.692*(S145+T145)+0.73*U145+0.865*(I145-(J145+K145+L145))+1.334+J145+1.725*K145+2.065*L145)/(G145+S145-T145+U145+R145)</f>
        <v>0.27298675496688746</v>
      </c>
      <c r="AB145" s="22">
        <f>((AA145-$AA$2000)/1.24+$H$2000/$F$2000)*F145</f>
        <v>12.762456716027788</v>
      </c>
      <c r="AC145" s="22">
        <f>(AB145/F145)/($AB$2000/$F$2000)*100</f>
        <v>79.38037816526635</v>
      </c>
      <c r="AD145" s="22"/>
    </row>
    <row r="146" spans="1:30" ht="15.75" customHeight="1" x14ac:dyDescent="0.15">
      <c r="A146" s="30">
        <v>144</v>
      </c>
      <c r="B146" s="31" t="s">
        <v>3206</v>
      </c>
      <c r="C146" s="44" t="s">
        <v>2653</v>
      </c>
      <c r="D146" s="30">
        <v>0.22900000000000001</v>
      </c>
      <c r="E146" s="30">
        <v>54</v>
      </c>
      <c r="F146" s="33">
        <v>154</v>
      </c>
      <c r="G146" s="30">
        <v>144</v>
      </c>
      <c r="H146" s="30">
        <v>15</v>
      </c>
      <c r="I146" s="30">
        <v>33</v>
      </c>
      <c r="J146" s="30">
        <v>3</v>
      </c>
      <c r="K146" s="30">
        <v>1</v>
      </c>
      <c r="L146" s="30">
        <v>0</v>
      </c>
      <c r="M146" s="30">
        <v>38</v>
      </c>
      <c r="N146" s="30">
        <v>7</v>
      </c>
      <c r="O146" s="30">
        <v>3</v>
      </c>
      <c r="P146" s="30">
        <v>1</v>
      </c>
      <c r="Q146" s="30">
        <v>0</v>
      </c>
      <c r="R146" s="30">
        <v>0</v>
      </c>
      <c r="S146" s="30">
        <v>9</v>
      </c>
      <c r="T146" s="30">
        <v>0</v>
      </c>
      <c r="U146" s="30">
        <v>1</v>
      </c>
      <c r="V146" s="30">
        <v>29</v>
      </c>
      <c r="W146" s="30">
        <v>0</v>
      </c>
      <c r="X146" s="30">
        <v>0.27900000000000003</v>
      </c>
      <c r="Y146" s="30">
        <v>0.26400000000000001</v>
      </c>
      <c r="Z146" s="22">
        <f>X146+Y146</f>
        <v>0.54300000000000004</v>
      </c>
      <c r="AA146" s="22">
        <f>(0.692*(S146+T146)+0.73*U146+0.865*(I146-(J146+K146+L146))+1.334+J146+1.725*K146+2.065*L146)/(G146+S146-T146+U146+R146)</f>
        <v>0.24741558441558445</v>
      </c>
      <c r="AB146" s="22">
        <f>((AA146-$AA$2000)/1.24+$H$2000/$F$2000)*F146</f>
        <v>9.5866823088498343</v>
      </c>
      <c r="AC146" s="22">
        <f>(AB146/F146)/($AB$2000/$F$2000)*100</f>
        <v>59.627584559881029</v>
      </c>
      <c r="AD146" s="22"/>
    </row>
    <row r="147" spans="1:30" ht="15.75" customHeight="1" x14ac:dyDescent="0.15">
      <c r="A147" s="34">
        <v>146</v>
      </c>
      <c r="B147" s="35" t="s">
        <v>3207</v>
      </c>
      <c r="C147" s="56" t="s">
        <v>2653</v>
      </c>
      <c r="D147" s="34">
        <v>0.20100000000000001</v>
      </c>
      <c r="E147" s="34">
        <v>79</v>
      </c>
      <c r="F147" s="33">
        <v>153</v>
      </c>
      <c r="G147" s="34">
        <v>139</v>
      </c>
      <c r="H147" s="34">
        <v>15</v>
      </c>
      <c r="I147" s="34">
        <v>28</v>
      </c>
      <c r="J147" s="34">
        <v>4</v>
      </c>
      <c r="K147" s="34">
        <v>0</v>
      </c>
      <c r="L147" s="34">
        <v>4</v>
      </c>
      <c r="M147" s="34">
        <v>44</v>
      </c>
      <c r="N147" s="34">
        <v>11</v>
      </c>
      <c r="O147" s="34">
        <v>0</v>
      </c>
      <c r="P147" s="34">
        <v>1</v>
      </c>
      <c r="Q147" s="34">
        <v>0</v>
      </c>
      <c r="R147" s="34">
        <v>1</v>
      </c>
      <c r="S147" s="34">
        <v>10</v>
      </c>
      <c r="T147" s="34">
        <v>0</v>
      </c>
      <c r="U147" s="34">
        <v>3</v>
      </c>
      <c r="V147" s="34">
        <v>36</v>
      </c>
      <c r="W147" s="34">
        <v>1</v>
      </c>
      <c r="X147" s="34">
        <v>0.26800000000000002</v>
      </c>
      <c r="Y147" s="34">
        <v>0.317</v>
      </c>
      <c r="Z147" s="22">
        <f>X147+Y147</f>
        <v>0.58499999999999996</v>
      </c>
      <c r="AA147" s="22">
        <f>(0.692*(S147+T147)+0.73*U147+0.865*(I147-(J147+K147+L147))+1.334+J147+1.725*K147+2.065*L147)/(G147+S147-T147+U147+R147)</f>
        <v>0.26146405228758168</v>
      </c>
      <c r="AB147" s="22">
        <f>((AA147-$AA$2000)/1.24+$H$2000/$F$2000)*F147</f>
        <v>11.257830789877405</v>
      </c>
      <c r="AC147" s="22">
        <f>(AB147/F147)/($AB$2000/$F$2000)*100</f>
        <v>70.479511959556049</v>
      </c>
      <c r="AD147" s="22"/>
    </row>
    <row r="148" spans="1:30" ht="15.75" customHeight="1" x14ac:dyDescent="0.15">
      <c r="A148" s="30">
        <v>147</v>
      </c>
      <c r="B148" s="31" t="s">
        <v>3209</v>
      </c>
      <c r="C148" s="53" t="s">
        <v>198</v>
      </c>
      <c r="D148" s="30">
        <v>0.20300000000000001</v>
      </c>
      <c r="E148" s="30">
        <v>70</v>
      </c>
      <c r="F148" s="33">
        <v>150</v>
      </c>
      <c r="G148" s="30">
        <v>138</v>
      </c>
      <c r="H148" s="30">
        <v>12</v>
      </c>
      <c r="I148" s="30">
        <v>28</v>
      </c>
      <c r="J148" s="30">
        <v>0</v>
      </c>
      <c r="K148" s="30">
        <v>0</v>
      </c>
      <c r="L148" s="30">
        <v>5</v>
      </c>
      <c r="M148" s="30">
        <v>43</v>
      </c>
      <c r="N148" s="30">
        <v>16</v>
      </c>
      <c r="O148" s="30">
        <v>1</v>
      </c>
      <c r="P148" s="30">
        <v>0</v>
      </c>
      <c r="Q148" s="30">
        <v>0</v>
      </c>
      <c r="R148" s="30">
        <v>1</v>
      </c>
      <c r="S148" s="30">
        <v>10</v>
      </c>
      <c r="T148" s="30">
        <v>0</v>
      </c>
      <c r="U148" s="30">
        <v>1</v>
      </c>
      <c r="V148" s="30">
        <v>32</v>
      </c>
      <c r="W148" s="30">
        <v>2</v>
      </c>
      <c r="X148" s="30">
        <v>0.26</v>
      </c>
      <c r="Y148" s="30">
        <v>0.312</v>
      </c>
      <c r="Z148" s="22">
        <f>X148+Y148</f>
        <v>0.57200000000000006</v>
      </c>
      <c r="AA148" s="22">
        <f>(0.692*(S148+T148)+0.73*U148+0.865*(I148-(J148+K148+L148))+1.334+J148+1.725*K148+2.065*L148)/(G148+S148-T148+U148+R148)</f>
        <v>0.26135999999999998</v>
      </c>
      <c r="AB148" s="22">
        <f>((AA148-$AA$2000)/1.24+$H$2000/$F$2000)*F148</f>
        <v>11.02450203941175</v>
      </c>
      <c r="AC148" s="22">
        <f>(AB148/F148)/($AB$2000/$F$2000)*100</f>
        <v>70.39913537465759</v>
      </c>
      <c r="AD148" s="22"/>
    </row>
    <row r="149" spans="1:30" ht="15.75" customHeight="1" x14ac:dyDescent="0.15">
      <c r="A149" s="34">
        <v>147</v>
      </c>
      <c r="B149" s="35" t="s">
        <v>3210</v>
      </c>
      <c r="C149" s="43" t="s">
        <v>2649</v>
      </c>
      <c r="D149" s="34">
        <v>0.192</v>
      </c>
      <c r="E149" s="34">
        <v>47</v>
      </c>
      <c r="F149" s="33">
        <v>150</v>
      </c>
      <c r="G149" s="34">
        <v>146</v>
      </c>
      <c r="H149" s="34">
        <v>9</v>
      </c>
      <c r="I149" s="34">
        <v>28</v>
      </c>
      <c r="J149" s="34">
        <v>4</v>
      </c>
      <c r="K149" s="34">
        <v>2</v>
      </c>
      <c r="L149" s="34">
        <v>2</v>
      </c>
      <c r="M149" s="34">
        <v>42</v>
      </c>
      <c r="N149" s="34">
        <v>15</v>
      </c>
      <c r="O149" s="34">
        <v>2</v>
      </c>
      <c r="P149" s="34">
        <v>0</v>
      </c>
      <c r="Q149" s="34">
        <v>0</v>
      </c>
      <c r="R149" s="34">
        <v>0</v>
      </c>
      <c r="S149" s="34">
        <v>4</v>
      </c>
      <c r="T149" s="34">
        <v>0</v>
      </c>
      <c r="U149" s="34">
        <v>0</v>
      </c>
      <c r="V149" s="34">
        <v>37</v>
      </c>
      <c r="W149" s="34">
        <v>2</v>
      </c>
      <c r="X149" s="34">
        <v>0.21299999999999999</v>
      </c>
      <c r="Y149" s="34">
        <v>0.28799999999999998</v>
      </c>
      <c r="Z149" s="22">
        <f>X149+Y149</f>
        <v>0.501</v>
      </c>
      <c r="AA149" s="22">
        <f>(0.692*(S149+T149)+0.73*U149+0.865*(I149-(J149+K149+L149))+1.334+J149+1.725*K149+2.065*L149)/(G149+S149-T149+U149+R149)</f>
        <v>0.21987999999999999</v>
      </c>
      <c r="AB149" s="22">
        <f>((AA149-$AA$2000)/1.24+$H$2000/$F$2000)*F149</f>
        <v>6.0067601039278813</v>
      </c>
      <c r="AC149" s="22">
        <f>(AB149/F149)/($AB$2000/$F$2000)*100</f>
        <v>38.357353121962412</v>
      </c>
      <c r="AD149" s="22"/>
    </row>
    <row r="150" spans="1:30" ht="15.75" customHeight="1" x14ac:dyDescent="0.15">
      <c r="A150" s="30">
        <v>149</v>
      </c>
      <c r="B150" s="31" t="s">
        <v>3214</v>
      </c>
      <c r="C150" s="32" t="s">
        <v>2645</v>
      </c>
      <c r="D150" s="30">
        <v>0.221</v>
      </c>
      <c r="E150" s="30">
        <v>54</v>
      </c>
      <c r="F150" s="33">
        <v>149</v>
      </c>
      <c r="G150" s="30">
        <v>131</v>
      </c>
      <c r="H150" s="30">
        <v>6</v>
      </c>
      <c r="I150" s="30">
        <v>29</v>
      </c>
      <c r="J150" s="30">
        <v>4</v>
      </c>
      <c r="K150" s="30">
        <v>0</v>
      </c>
      <c r="L150" s="30">
        <v>0</v>
      </c>
      <c r="M150" s="30">
        <v>33</v>
      </c>
      <c r="N150" s="30">
        <v>16</v>
      </c>
      <c r="O150" s="30">
        <v>0</v>
      </c>
      <c r="P150" s="30">
        <v>0</v>
      </c>
      <c r="Q150" s="30">
        <v>4</v>
      </c>
      <c r="R150" s="30">
        <v>1</v>
      </c>
      <c r="S150" s="30">
        <v>9</v>
      </c>
      <c r="T150" s="30">
        <v>2</v>
      </c>
      <c r="U150" s="30">
        <v>4</v>
      </c>
      <c r="V150" s="30">
        <v>28</v>
      </c>
      <c r="W150" s="30">
        <v>2</v>
      </c>
      <c r="X150" s="30">
        <v>0.28999999999999998</v>
      </c>
      <c r="Y150" s="30">
        <v>0.252</v>
      </c>
      <c r="Z150" s="22">
        <f>X150+Y150</f>
        <v>0.54200000000000004</v>
      </c>
      <c r="AA150" s="22">
        <f>(0.692*(S150+T150)+0.73*U150+0.865*(I150-(J150+K150+L150))+1.334+J150+1.725*K150+2.065*L150)/(G150+S150-T150+U150+R150)</f>
        <v>0.26217482517482515</v>
      </c>
      <c r="AB150" s="22">
        <f>((AA150-$AA$2000)/1.24+$H$2000/$F$2000)*F150</f>
        <v>11.048915803543322</v>
      </c>
      <c r="AC150" s="22">
        <f>(AB150/F150)/($AB$2000/$F$2000)*100</f>
        <v>71.028558007872704</v>
      </c>
      <c r="AD150" s="22"/>
    </row>
    <row r="151" spans="1:30" ht="15.75" customHeight="1" x14ac:dyDescent="0.15">
      <c r="A151" s="34">
        <v>149</v>
      </c>
      <c r="B151" s="35" t="s">
        <v>3211</v>
      </c>
      <c r="C151" s="36" t="s">
        <v>2646</v>
      </c>
      <c r="D151" s="34">
        <v>0.26900000000000002</v>
      </c>
      <c r="E151" s="34">
        <v>53</v>
      </c>
      <c r="F151" s="33">
        <v>149</v>
      </c>
      <c r="G151" s="34">
        <v>145</v>
      </c>
      <c r="H151" s="34">
        <v>21</v>
      </c>
      <c r="I151" s="34">
        <v>39</v>
      </c>
      <c r="J151" s="34">
        <v>10</v>
      </c>
      <c r="K151" s="34">
        <v>2</v>
      </c>
      <c r="L151" s="34">
        <v>8</v>
      </c>
      <c r="M151" s="34">
        <v>77</v>
      </c>
      <c r="N151" s="34">
        <v>19</v>
      </c>
      <c r="O151" s="34">
        <v>1</v>
      </c>
      <c r="P151" s="34">
        <v>0</v>
      </c>
      <c r="Q151" s="34">
        <v>0</v>
      </c>
      <c r="R151" s="34">
        <v>0</v>
      </c>
      <c r="S151" s="34">
        <v>2</v>
      </c>
      <c r="T151" s="34">
        <v>0</v>
      </c>
      <c r="U151" s="34">
        <v>2</v>
      </c>
      <c r="V151" s="34">
        <v>31</v>
      </c>
      <c r="W151" s="34">
        <v>1</v>
      </c>
      <c r="X151" s="34">
        <v>0.28899999999999998</v>
      </c>
      <c r="Y151" s="34">
        <v>0.53100000000000003</v>
      </c>
      <c r="Z151" s="22">
        <f>X151+Y151</f>
        <v>0.82000000000000006</v>
      </c>
      <c r="AA151" s="22">
        <f>(0.692*(S151+T151)+0.73*U151+0.865*(I151-(J151+K151+L151))+1.334+J151+1.725*K151+2.065*L151)/(G151+S151-T151+U151+R151)</f>
        <v>0.33948322147651006</v>
      </c>
      <c r="AB151" s="22">
        <f>((AA151-$AA$2000)/1.24+$H$2000/$F$2000)*F151</f>
        <v>20.338392455923202</v>
      </c>
      <c r="AC151" s="22">
        <f>(AB151/F151)/($AB$2000/$F$2000)*100</f>
        <v>130.74646544769081</v>
      </c>
      <c r="AD151" s="22"/>
    </row>
    <row r="152" spans="1:30" ht="15.75" customHeight="1" x14ac:dyDescent="0.15">
      <c r="A152" s="30">
        <v>149</v>
      </c>
      <c r="B152" s="31" t="s">
        <v>3212</v>
      </c>
      <c r="C152" s="44" t="s">
        <v>2653</v>
      </c>
      <c r="D152" s="30">
        <v>0.188</v>
      </c>
      <c r="E152" s="30">
        <v>52</v>
      </c>
      <c r="F152" s="33">
        <v>149</v>
      </c>
      <c r="G152" s="30">
        <v>133</v>
      </c>
      <c r="H152" s="30">
        <v>13</v>
      </c>
      <c r="I152" s="30">
        <v>25</v>
      </c>
      <c r="J152" s="30">
        <v>8</v>
      </c>
      <c r="K152" s="30">
        <v>0</v>
      </c>
      <c r="L152" s="30">
        <v>5</v>
      </c>
      <c r="M152" s="30">
        <v>48</v>
      </c>
      <c r="N152" s="30">
        <v>14</v>
      </c>
      <c r="O152" s="30">
        <v>0</v>
      </c>
      <c r="P152" s="30">
        <v>0</v>
      </c>
      <c r="Q152" s="30">
        <v>0</v>
      </c>
      <c r="R152" s="30">
        <v>2</v>
      </c>
      <c r="S152" s="30">
        <v>14</v>
      </c>
      <c r="T152" s="30">
        <v>0</v>
      </c>
      <c r="U152" s="30">
        <v>0</v>
      </c>
      <c r="V152" s="30">
        <v>43</v>
      </c>
      <c r="W152" s="30">
        <v>2</v>
      </c>
      <c r="X152" s="30">
        <v>0.26200000000000001</v>
      </c>
      <c r="Y152" s="30">
        <v>0.36099999999999999</v>
      </c>
      <c r="Z152" s="22">
        <f>X152+Y152</f>
        <v>0.623</v>
      </c>
      <c r="AA152" s="22">
        <f>(0.692*(S152+T152)+0.73*U152+0.865*(I152-(J152+K152+L152))+1.334+J152+1.725*K152+2.065*L152)/(G152+S152-T152+U152+R152)</f>
        <v>0.26662416107382547</v>
      </c>
      <c r="AB152" s="22">
        <f>((AA152-$AA$2000)/1.24+$H$2000/$F$2000)*F152</f>
        <v>11.583553746245778</v>
      </c>
      <c r="AC152" s="22">
        <f>(AB152/F152)/($AB$2000/$F$2000)*100</f>
        <v>74.465507189282249</v>
      </c>
      <c r="AD152" s="22"/>
    </row>
    <row r="153" spans="1:30" ht="15.75" customHeight="1" x14ac:dyDescent="0.15">
      <c r="A153" s="34">
        <v>152</v>
      </c>
      <c r="B153" s="35" t="s">
        <v>3213</v>
      </c>
      <c r="C153" s="40" t="s">
        <v>2650</v>
      </c>
      <c r="D153" s="34">
        <v>0.20899999999999999</v>
      </c>
      <c r="E153" s="34">
        <v>59</v>
      </c>
      <c r="F153" s="33">
        <v>148</v>
      </c>
      <c r="G153" s="34">
        <v>129</v>
      </c>
      <c r="H153" s="34">
        <v>14</v>
      </c>
      <c r="I153" s="34">
        <v>27</v>
      </c>
      <c r="J153" s="34">
        <v>5</v>
      </c>
      <c r="K153" s="34">
        <v>0</v>
      </c>
      <c r="L153" s="34">
        <v>5</v>
      </c>
      <c r="M153" s="34">
        <v>47</v>
      </c>
      <c r="N153" s="34">
        <v>18</v>
      </c>
      <c r="O153" s="34">
        <v>0</v>
      </c>
      <c r="P153" s="34">
        <v>0</v>
      </c>
      <c r="Q153" s="34">
        <v>0</v>
      </c>
      <c r="R153" s="34">
        <v>1</v>
      </c>
      <c r="S153" s="34">
        <v>15</v>
      </c>
      <c r="T153" s="34">
        <v>0</v>
      </c>
      <c r="U153" s="34">
        <v>3</v>
      </c>
      <c r="V153" s="34">
        <v>49</v>
      </c>
      <c r="W153" s="34">
        <v>4</v>
      </c>
      <c r="X153" s="34">
        <v>0.30399999999999999</v>
      </c>
      <c r="Y153" s="34">
        <v>0.36399999999999999</v>
      </c>
      <c r="Z153" s="22">
        <f>X153+Y153</f>
        <v>0.66799999999999993</v>
      </c>
      <c r="AA153" s="22">
        <f>(0.692*(S153+T153)+0.73*U153+0.865*(I153-(J153+K153+L153))+1.334+J153+1.725*K153+2.065*L153)/(G153+S153-T153+U153+R153)</f>
        <v>0.29685135135135132</v>
      </c>
      <c r="AB153" s="22">
        <f>((AA153-$AA$2000)/1.24+$H$2000/$F$2000)*F153</f>
        <v>15.113573195015292</v>
      </c>
      <c r="AC153" s="22">
        <f>(AB153/F153)/($AB$2000/$F$2000)*100</f>
        <v>97.814905670074651</v>
      </c>
      <c r="AD153" s="22"/>
    </row>
    <row r="154" spans="1:30" ht="15.75" customHeight="1" x14ac:dyDescent="0.15">
      <c r="A154" s="30">
        <v>153</v>
      </c>
      <c r="B154" s="31" t="s">
        <v>3215</v>
      </c>
      <c r="C154" s="39" t="s">
        <v>2649</v>
      </c>
      <c r="D154" s="30">
        <v>0.156</v>
      </c>
      <c r="E154" s="30">
        <v>78</v>
      </c>
      <c r="F154" s="33">
        <v>146</v>
      </c>
      <c r="G154" s="30">
        <v>128</v>
      </c>
      <c r="H154" s="30">
        <v>12</v>
      </c>
      <c r="I154" s="30">
        <v>20</v>
      </c>
      <c r="J154" s="30">
        <v>1</v>
      </c>
      <c r="K154" s="30">
        <v>1</v>
      </c>
      <c r="L154" s="30">
        <v>2</v>
      </c>
      <c r="M154" s="30">
        <v>29</v>
      </c>
      <c r="N154" s="30">
        <v>8</v>
      </c>
      <c r="O154" s="30">
        <v>2</v>
      </c>
      <c r="P154" s="30">
        <v>2</v>
      </c>
      <c r="Q154" s="30">
        <v>3</v>
      </c>
      <c r="R154" s="30">
        <v>0</v>
      </c>
      <c r="S154" s="30">
        <v>14</v>
      </c>
      <c r="T154" s="30">
        <v>5</v>
      </c>
      <c r="U154" s="30">
        <v>1</v>
      </c>
      <c r="V154" s="30">
        <v>43</v>
      </c>
      <c r="W154" s="30">
        <v>5</v>
      </c>
      <c r="X154" s="30">
        <v>0.245</v>
      </c>
      <c r="Y154" s="30">
        <v>0.22700000000000001</v>
      </c>
      <c r="Z154" s="22">
        <f>X154+Y154</f>
        <v>0.47199999999999998</v>
      </c>
      <c r="AA154" s="22">
        <f>(0.692*(S154+T154)+0.73*U154+0.865*(I154-(J154+K154+L154))+1.334+J154+1.725*K154+2.065*L154)/(G154+S154-T154+U154+R154)</f>
        <v>0.26019565217391305</v>
      </c>
      <c r="AB154" s="22">
        <f>((AA154-$AA$2000)/1.24+$H$2000/$F$2000)*F154</f>
        <v>10.593422751740858</v>
      </c>
      <c r="AC154" s="22">
        <f>(AB154/F154)/($AB$2000/$F$2000)*100</f>
        <v>69.499719282326922</v>
      </c>
      <c r="AD154" s="22"/>
    </row>
    <row r="155" spans="1:30" ht="15.75" customHeight="1" x14ac:dyDescent="0.15">
      <c r="A155" s="34">
        <v>154</v>
      </c>
      <c r="B155" s="35" t="s">
        <v>3216</v>
      </c>
      <c r="C155" s="57" t="s">
        <v>2654</v>
      </c>
      <c r="D155" s="34">
        <v>0.22</v>
      </c>
      <c r="E155" s="34">
        <v>74</v>
      </c>
      <c r="F155" s="33">
        <v>145</v>
      </c>
      <c r="G155" s="34">
        <v>123</v>
      </c>
      <c r="H155" s="34">
        <v>9</v>
      </c>
      <c r="I155" s="34">
        <v>27</v>
      </c>
      <c r="J155" s="34">
        <v>7</v>
      </c>
      <c r="K155" s="34">
        <v>0</v>
      </c>
      <c r="L155" s="34">
        <v>3</v>
      </c>
      <c r="M155" s="34">
        <v>43</v>
      </c>
      <c r="N155" s="34">
        <v>21</v>
      </c>
      <c r="O155" s="34">
        <v>1</v>
      </c>
      <c r="P155" s="34">
        <v>1</v>
      </c>
      <c r="Q155" s="34">
        <v>0</v>
      </c>
      <c r="R155" s="34">
        <v>0</v>
      </c>
      <c r="S155" s="34">
        <v>22</v>
      </c>
      <c r="T155" s="34">
        <v>1</v>
      </c>
      <c r="U155" s="34">
        <v>0</v>
      </c>
      <c r="V155" s="34">
        <v>26</v>
      </c>
      <c r="W155" s="34">
        <v>2</v>
      </c>
      <c r="X155" s="34">
        <v>0.33800000000000002</v>
      </c>
      <c r="Y155" s="34">
        <v>0.35</v>
      </c>
      <c r="Z155" s="22">
        <f>X155+Y155</f>
        <v>0.68799999999999994</v>
      </c>
      <c r="AA155" s="22">
        <f>(0.692*(S155+T155)+0.73*U155+0.865*(I155-(J155+K155+L155))+1.334+J155+1.725*K155+2.065*L155)/(G155+S155-T155+U155+R155)</f>
        <v>0.31354166666666666</v>
      </c>
      <c r="AB155" s="22">
        <f>((AA155-$AA$2000)/1.24+$H$2000/$F$2000)*F155</f>
        <v>16.758907078958245</v>
      </c>
      <c r="AC155" s="22">
        <f>(AB155/F155)/($AB$2000/$F$2000)*100</f>
        <v>110.70756355489044</v>
      </c>
      <c r="AD155" s="22"/>
    </row>
    <row r="156" spans="1:30" ht="15.75" customHeight="1" x14ac:dyDescent="0.15">
      <c r="A156" s="30">
        <v>155</v>
      </c>
      <c r="B156" s="31" t="s">
        <v>3217</v>
      </c>
      <c r="C156" s="46" t="s">
        <v>2648</v>
      </c>
      <c r="D156" s="30">
        <v>0.158</v>
      </c>
      <c r="E156" s="30">
        <v>42</v>
      </c>
      <c r="F156" s="33">
        <v>144</v>
      </c>
      <c r="G156" s="30">
        <v>139</v>
      </c>
      <c r="H156" s="30">
        <v>7</v>
      </c>
      <c r="I156" s="30">
        <v>22</v>
      </c>
      <c r="J156" s="30">
        <v>4</v>
      </c>
      <c r="K156" s="30">
        <v>0</v>
      </c>
      <c r="L156" s="30">
        <v>3</v>
      </c>
      <c r="M156" s="30">
        <v>35</v>
      </c>
      <c r="N156" s="30">
        <v>15</v>
      </c>
      <c r="O156" s="30">
        <v>0</v>
      </c>
      <c r="P156" s="30">
        <v>0</v>
      </c>
      <c r="Q156" s="30">
        <v>0</v>
      </c>
      <c r="R156" s="30">
        <v>1</v>
      </c>
      <c r="S156" s="30">
        <v>3</v>
      </c>
      <c r="T156" s="30">
        <v>0</v>
      </c>
      <c r="U156" s="30">
        <v>1</v>
      </c>
      <c r="V156" s="30">
        <v>45</v>
      </c>
      <c r="W156" s="30">
        <v>1</v>
      </c>
      <c r="X156" s="30">
        <v>0.18099999999999999</v>
      </c>
      <c r="Y156" s="30">
        <v>0.252</v>
      </c>
      <c r="Z156" s="22">
        <f>X156+Y156</f>
        <v>0.433</v>
      </c>
      <c r="AA156" s="22">
        <f>(0.692*(S156+T156)+0.73*U156+0.865*(I156-(J156+K156+L156))+1.334+J156+1.725*K156+2.065*L156)/(G156+S156-T156+U156+R156)</f>
        <v>0.18965277777777778</v>
      </c>
      <c r="AB156" s="22">
        <f>((AA156-$AA$2000)/1.24+$H$2000/$F$2000)*F156</f>
        <v>2.2562316352546388</v>
      </c>
      <c r="AC156" s="22">
        <f>(AB156/F156)/($AB$2000/$F$2000)*100</f>
        <v>15.007929965060926</v>
      </c>
      <c r="AD156" s="22"/>
    </row>
    <row r="157" spans="1:30" ht="15.75" customHeight="1" x14ac:dyDescent="0.15">
      <c r="A157" s="34">
        <v>156</v>
      </c>
      <c r="B157" s="35" t="s">
        <v>3218</v>
      </c>
      <c r="C157" s="45" t="s">
        <v>2651</v>
      </c>
      <c r="D157" s="34">
        <v>0.254</v>
      </c>
      <c r="E157" s="34">
        <v>76</v>
      </c>
      <c r="F157" s="33">
        <v>143</v>
      </c>
      <c r="G157" s="34">
        <v>118</v>
      </c>
      <c r="H157" s="34">
        <v>12</v>
      </c>
      <c r="I157" s="34">
        <v>30</v>
      </c>
      <c r="J157" s="34">
        <v>6</v>
      </c>
      <c r="K157" s="34">
        <v>0</v>
      </c>
      <c r="L157" s="34">
        <v>3</v>
      </c>
      <c r="M157" s="34">
        <v>45</v>
      </c>
      <c r="N157" s="34">
        <v>23</v>
      </c>
      <c r="O157" s="34">
        <v>0</v>
      </c>
      <c r="P157" s="34">
        <v>0</v>
      </c>
      <c r="Q157" s="34">
        <v>1</v>
      </c>
      <c r="R157" s="34">
        <v>1</v>
      </c>
      <c r="S157" s="34">
        <v>22</v>
      </c>
      <c r="T157" s="34">
        <v>4</v>
      </c>
      <c r="U157" s="34">
        <v>1</v>
      </c>
      <c r="V157" s="34">
        <v>38</v>
      </c>
      <c r="W157" s="34">
        <v>4</v>
      </c>
      <c r="X157" s="34">
        <v>0.373</v>
      </c>
      <c r="Y157" s="34">
        <v>0.38100000000000001</v>
      </c>
      <c r="Z157" s="22">
        <f>X157+Y157</f>
        <v>0.754</v>
      </c>
      <c r="AA157" s="22">
        <f>(0.692*(S157+T157)+0.73*U157+0.865*(I157-(J157+K157+L157))+1.334+J157+1.725*K157+2.065*L157)/(G157+S157-T157+U157+R157)</f>
        <v>0.36533333333333334</v>
      </c>
      <c r="AB157" s="22">
        <f>((AA157-$AA$2000)/1.24+$H$2000/$F$2000)*F157</f>
        <v>22.500498395852109</v>
      </c>
      <c r="AC157" s="22">
        <f>(AB157/F157)/($AB$2000/$F$2000)*100</f>
        <v>150.71473100516781</v>
      </c>
      <c r="AD157" s="22"/>
    </row>
    <row r="158" spans="1:30" ht="15.75" customHeight="1" x14ac:dyDescent="0.15">
      <c r="A158" s="30">
        <v>157</v>
      </c>
      <c r="B158" s="31" t="s">
        <v>3219</v>
      </c>
      <c r="C158" s="44" t="s">
        <v>2653</v>
      </c>
      <c r="D158" s="30">
        <v>0.182</v>
      </c>
      <c r="E158" s="30">
        <v>54</v>
      </c>
      <c r="F158" s="33">
        <v>141</v>
      </c>
      <c r="G158" s="30">
        <v>132</v>
      </c>
      <c r="H158" s="30">
        <v>13</v>
      </c>
      <c r="I158" s="30">
        <v>24</v>
      </c>
      <c r="J158" s="30">
        <v>3</v>
      </c>
      <c r="K158" s="30">
        <v>0</v>
      </c>
      <c r="L158" s="30">
        <v>8</v>
      </c>
      <c r="M158" s="30">
        <v>51</v>
      </c>
      <c r="N158" s="30">
        <v>15</v>
      </c>
      <c r="O158" s="30">
        <v>0</v>
      </c>
      <c r="P158" s="30">
        <v>0</v>
      </c>
      <c r="Q158" s="30">
        <v>0</v>
      </c>
      <c r="R158" s="30">
        <v>2</v>
      </c>
      <c r="S158" s="30">
        <v>7</v>
      </c>
      <c r="T158" s="30">
        <v>0</v>
      </c>
      <c r="U158" s="30">
        <v>0</v>
      </c>
      <c r="V158" s="30">
        <v>47</v>
      </c>
      <c r="W158" s="30">
        <v>6</v>
      </c>
      <c r="X158" s="30">
        <v>0.22</v>
      </c>
      <c r="Y158" s="30">
        <v>0.38600000000000001</v>
      </c>
      <c r="Z158" s="22">
        <f>X158+Y158</f>
        <v>0.60599999999999998</v>
      </c>
      <c r="AA158" s="22">
        <f>(0.692*(S158+T158)+0.73*U158+0.865*(I158-(J158+K158+L158))+1.334+J158+1.725*K158+2.065*L158)/(G158+S158-T158+U158+R158)</f>
        <v>0.26200709219858154</v>
      </c>
      <c r="AB158" s="22">
        <f>((AA158-$AA$2000)/1.24+$H$2000/$F$2000)*F158</f>
        <v>10.436612562208335</v>
      </c>
      <c r="AC158" s="22">
        <f>(AB158/F158)/($AB$2000/$F$2000)*100</f>
        <v>70.898990421050257</v>
      </c>
      <c r="AD158" s="22"/>
    </row>
    <row r="159" spans="1:30" ht="15.75" customHeight="1" x14ac:dyDescent="0.15">
      <c r="A159" s="34">
        <v>158</v>
      </c>
      <c r="B159" s="35" t="s">
        <v>3220</v>
      </c>
      <c r="C159" s="40" t="s">
        <v>2650</v>
      </c>
      <c r="D159" s="34">
        <v>0.23499999999999999</v>
      </c>
      <c r="E159" s="34">
        <v>71</v>
      </c>
      <c r="F159" s="33">
        <v>140</v>
      </c>
      <c r="G159" s="34">
        <v>132</v>
      </c>
      <c r="H159" s="34">
        <v>19</v>
      </c>
      <c r="I159" s="34">
        <v>31</v>
      </c>
      <c r="J159" s="34">
        <v>4</v>
      </c>
      <c r="K159" s="34">
        <v>0</v>
      </c>
      <c r="L159" s="34">
        <v>0</v>
      </c>
      <c r="M159" s="34">
        <v>35</v>
      </c>
      <c r="N159" s="34">
        <v>9</v>
      </c>
      <c r="O159" s="34">
        <v>16</v>
      </c>
      <c r="P159" s="34">
        <v>4</v>
      </c>
      <c r="Q159" s="34">
        <v>0</v>
      </c>
      <c r="R159" s="34">
        <v>1</v>
      </c>
      <c r="S159" s="34">
        <v>7</v>
      </c>
      <c r="T159" s="34">
        <v>0</v>
      </c>
      <c r="U159" s="34">
        <v>0</v>
      </c>
      <c r="V159" s="34">
        <v>33</v>
      </c>
      <c r="W159" s="34">
        <v>1</v>
      </c>
      <c r="X159" s="34">
        <v>0.27100000000000002</v>
      </c>
      <c r="Y159" s="34">
        <v>0.26500000000000001</v>
      </c>
      <c r="Z159" s="22">
        <f>X159+Y159</f>
        <v>0.53600000000000003</v>
      </c>
      <c r="AA159" s="22">
        <f>(0.692*(S159+T159)+0.73*U159+0.865*(I159-(J159+K159+L159))+1.334+J159+1.725*K159+2.065*L159)/(G159+S159-T159+U159+R159)</f>
        <v>0.23952142857142858</v>
      </c>
      <c r="AB159" s="22">
        <f>((AA159-$AA$2000)/1.24+$H$2000/$F$2000)*F159</f>
        <v>7.8238900754939804</v>
      </c>
      <c r="AC159" s="22">
        <f>(AB159/F159)/($AB$2000/$F$2000)*100</f>
        <v>53.529638016311033</v>
      </c>
      <c r="AD159" s="22"/>
    </row>
    <row r="160" spans="1:30" ht="15.75" customHeight="1" x14ac:dyDescent="0.15">
      <c r="A160" s="30">
        <v>159</v>
      </c>
      <c r="B160" s="31" t="s">
        <v>3221</v>
      </c>
      <c r="C160" s="52" t="s">
        <v>2646</v>
      </c>
      <c r="D160" s="30">
        <v>0.219</v>
      </c>
      <c r="E160" s="30">
        <v>84</v>
      </c>
      <c r="F160" s="33">
        <v>138</v>
      </c>
      <c r="G160" s="30">
        <v>114</v>
      </c>
      <c r="H160" s="30">
        <v>19</v>
      </c>
      <c r="I160" s="30">
        <v>25</v>
      </c>
      <c r="J160" s="30">
        <v>3</v>
      </c>
      <c r="K160" s="30">
        <v>0</v>
      </c>
      <c r="L160" s="30">
        <v>2</v>
      </c>
      <c r="M160" s="30">
        <v>34</v>
      </c>
      <c r="N160" s="30">
        <v>11</v>
      </c>
      <c r="O160" s="30">
        <v>8</v>
      </c>
      <c r="P160" s="30">
        <v>2</v>
      </c>
      <c r="Q160" s="30">
        <v>6</v>
      </c>
      <c r="R160" s="30">
        <v>0</v>
      </c>
      <c r="S160" s="30">
        <v>18</v>
      </c>
      <c r="T160" s="30">
        <v>0</v>
      </c>
      <c r="U160" s="30">
        <v>0</v>
      </c>
      <c r="V160" s="30">
        <v>19</v>
      </c>
      <c r="W160" s="30">
        <v>0</v>
      </c>
      <c r="X160" s="30">
        <v>0.32600000000000001</v>
      </c>
      <c r="Y160" s="30">
        <v>0.29799999999999999</v>
      </c>
      <c r="Z160" s="22">
        <f>X160+Y160</f>
        <v>0.624</v>
      </c>
      <c r="AA160" s="22">
        <f>(0.692*(S160+T160)+0.73*U160+0.865*(I160-(J160+K160+L160))+1.334+J160+1.725*K160+2.065*L160)/(G160+S160-T160+U160+R160)</f>
        <v>0.28954545454545461</v>
      </c>
      <c r="AB160" s="22">
        <f>((AA160-$AA$2000)/1.24+$H$2000/$F$2000)*F160</f>
        <v>13.279310204704567</v>
      </c>
      <c r="AC160" s="22">
        <f>(AB160/F160)/($AB$2000/$F$2000)*100</f>
        <v>92.171367709245231</v>
      </c>
      <c r="AD160" s="22"/>
    </row>
    <row r="161" spans="1:30" ht="15.75" customHeight="1" x14ac:dyDescent="0.15">
      <c r="A161" s="34">
        <v>160</v>
      </c>
      <c r="B161" s="35" t="s">
        <v>3222</v>
      </c>
      <c r="C161" s="43" t="s">
        <v>2649</v>
      </c>
      <c r="D161" s="34">
        <v>0.32800000000000001</v>
      </c>
      <c r="E161" s="34">
        <v>54</v>
      </c>
      <c r="F161" s="33">
        <v>136</v>
      </c>
      <c r="G161" s="34">
        <v>125</v>
      </c>
      <c r="H161" s="34">
        <v>14</v>
      </c>
      <c r="I161" s="34">
        <v>41</v>
      </c>
      <c r="J161" s="34">
        <v>7</v>
      </c>
      <c r="K161" s="34">
        <v>1</v>
      </c>
      <c r="L161" s="34">
        <v>4</v>
      </c>
      <c r="M161" s="34">
        <v>62</v>
      </c>
      <c r="N161" s="34">
        <v>14</v>
      </c>
      <c r="O161" s="34">
        <v>6</v>
      </c>
      <c r="P161" s="34">
        <v>1</v>
      </c>
      <c r="Q161" s="34">
        <v>0</v>
      </c>
      <c r="R161" s="34">
        <v>1</v>
      </c>
      <c r="S161" s="34">
        <v>10</v>
      </c>
      <c r="T161" s="34">
        <v>1</v>
      </c>
      <c r="U161" s="34">
        <v>0</v>
      </c>
      <c r="V161" s="34">
        <v>21</v>
      </c>
      <c r="W161" s="34">
        <v>0</v>
      </c>
      <c r="X161" s="34">
        <v>0.375</v>
      </c>
      <c r="Y161" s="34">
        <v>0.496</v>
      </c>
      <c r="Z161" s="22">
        <f>X161+Y161</f>
        <v>0.871</v>
      </c>
      <c r="AA161" s="22">
        <f>(0.692*(S161+T161)+0.73*U161+0.865*(I161-(J161+K161+L161))+1.334+J161+1.725*K161+2.065*L161)/(G161+S161-T161+U161+R161)</f>
        <v>0.37789629629629634</v>
      </c>
      <c r="AB161" s="22">
        <f>((AA161-$AA$2000)/1.24+$H$2000/$F$2000)*F161</f>
        <v>22.776948754681953</v>
      </c>
      <c r="AC161" s="22">
        <f>(AB161/F161)/($AB$2000/$F$2000)*100</f>
        <v>160.41916021702735</v>
      </c>
      <c r="AD161" s="22"/>
    </row>
    <row r="162" spans="1:30" ht="15.75" customHeight="1" x14ac:dyDescent="0.15">
      <c r="A162" s="30">
        <v>161</v>
      </c>
      <c r="B162" s="31" t="s">
        <v>3223</v>
      </c>
      <c r="C162" s="49" t="s">
        <v>2655</v>
      </c>
      <c r="D162" s="30">
        <v>0.23400000000000001</v>
      </c>
      <c r="E162" s="30">
        <v>66</v>
      </c>
      <c r="F162" s="33">
        <v>134</v>
      </c>
      <c r="G162" s="30">
        <v>124</v>
      </c>
      <c r="H162" s="30">
        <v>25</v>
      </c>
      <c r="I162" s="30">
        <v>29</v>
      </c>
      <c r="J162" s="30">
        <v>4</v>
      </c>
      <c r="K162" s="30">
        <v>1</v>
      </c>
      <c r="L162" s="30">
        <v>5</v>
      </c>
      <c r="M162" s="30">
        <v>50</v>
      </c>
      <c r="N162" s="30">
        <v>10</v>
      </c>
      <c r="O162" s="30">
        <v>3</v>
      </c>
      <c r="P162" s="30">
        <v>0</v>
      </c>
      <c r="Q162" s="30">
        <v>0</v>
      </c>
      <c r="R162" s="30">
        <v>0</v>
      </c>
      <c r="S162" s="30">
        <v>10</v>
      </c>
      <c r="T162" s="30">
        <v>1</v>
      </c>
      <c r="U162" s="30">
        <v>0</v>
      </c>
      <c r="V162" s="30">
        <v>45</v>
      </c>
      <c r="W162" s="30">
        <v>5</v>
      </c>
      <c r="X162" s="30">
        <v>0.29099999999999998</v>
      </c>
      <c r="Y162" s="30">
        <v>0.40300000000000002</v>
      </c>
      <c r="Z162" s="22">
        <f>X162+Y162</f>
        <v>0.69399999999999995</v>
      </c>
      <c r="AA162" s="22">
        <f>(0.692*(S162+T162)+0.73*U162+0.865*(I162-(J162+K162+L162))+1.334+J162+1.725*K162+2.065*L162)/(G162+S162-T162+U162+R162)</f>
        <v>0.31151127819548868</v>
      </c>
      <c r="AB162" s="22">
        <f>((AA162-$AA$2000)/1.24+$H$2000/$F$2000)*F162</f>
        <v>15.268128766655803</v>
      </c>
      <c r="AC162" s="22">
        <f>(AB162/F162)/($AB$2000/$F$2000)*100</f>
        <v>109.13916275253102</v>
      </c>
      <c r="AD162" s="22"/>
    </row>
    <row r="163" spans="1:30" ht="15.75" customHeight="1" x14ac:dyDescent="0.15">
      <c r="A163" s="34">
        <v>161</v>
      </c>
      <c r="B163" s="35" t="s">
        <v>3224</v>
      </c>
      <c r="C163" s="57" t="s">
        <v>2654</v>
      </c>
      <c r="D163" s="34">
        <v>0.216</v>
      </c>
      <c r="E163" s="34">
        <v>49</v>
      </c>
      <c r="F163" s="33">
        <v>134</v>
      </c>
      <c r="G163" s="34">
        <v>116</v>
      </c>
      <c r="H163" s="34">
        <v>13</v>
      </c>
      <c r="I163" s="34">
        <v>25</v>
      </c>
      <c r="J163" s="34">
        <v>6</v>
      </c>
      <c r="K163" s="34">
        <v>1</v>
      </c>
      <c r="L163" s="34">
        <v>0</v>
      </c>
      <c r="M163" s="34">
        <v>33</v>
      </c>
      <c r="N163" s="34">
        <v>9</v>
      </c>
      <c r="O163" s="34">
        <v>0</v>
      </c>
      <c r="P163" s="34">
        <v>0</v>
      </c>
      <c r="Q163" s="34">
        <v>2</v>
      </c>
      <c r="R163" s="34">
        <v>1</v>
      </c>
      <c r="S163" s="34">
        <v>13</v>
      </c>
      <c r="T163" s="34">
        <v>0</v>
      </c>
      <c r="U163" s="34">
        <v>2</v>
      </c>
      <c r="V163" s="34">
        <v>27</v>
      </c>
      <c r="W163" s="34">
        <v>0</v>
      </c>
      <c r="X163" s="34">
        <v>0.30299999999999999</v>
      </c>
      <c r="Y163" s="34">
        <v>0.28399999999999997</v>
      </c>
      <c r="Z163" s="22">
        <f>X163+Y163</f>
        <v>0.58699999999999997</v>
      </c>
      <c r="AA163" s="22">
        <f>(0.692*(S163+T163)+0.73*U163+0.865*(I163-(J163+K163+L163))+1.334+J163+1.725*K163+2.065*L163)/(G163+S163-T163+U163+R163)</f>
        <v>0.26579545454545456</v>
      </c>
      <c r="AB163" s="22">
        <f>((AA163-$AA$2000)/1.24+$H$2000/$F$2000)*F163</f>
        <v>10.327870404474696</v>
      </c>
      <c r="AC163" s="22">
        <f>(AB163/F163)/($AB$2000/$F$2000)*100</f>
        <v>73.82536171836982</v>
      </c>
      <c r="AD163" s="22"/>
    </row>
    <row r="164" spans="1:30" ht="15.75" customHeight="1" x14ac:dyDescent="0.15">
      <c r="A164" s="30">
        <v>163</v>
      </c>
      <c r="B164" s="31" t="s">
        <v>3225</v>
      </c>
      <c r="C164" s="47" t="s">
        <v>2654</v>
      </c>
      <c r="D164" s="30">
        <v>0.248</v>
      </c>
      <c r="E164" s="30">
        <v>40</v>
      </c>
      <c r="F164" s="33">
        <v>129</v>
      </c>
      <c r="G164" s="30">
        <v>121</v>
      </c>
      <c r="H164" s="30">
        <v>17</v>
      </c>
      <c r="I164" s="30">
        <v>30</v>
      </c>
      <c r="J164" s="30">
        <v>6</v>
      </c>
      <c r="K164" s="30">
        <v>1</v>
      </c>
      <c r="L164" s="30">
        <v>3</v>
      </c>
      <c r="M164" s="30">
        <v>47</v>
      </c>
      <c r="N164" s="30">
        <v>11</v>
      </c>
      <c r="O164" s="30">
        <v>5</v>
      </c>
      <c r="P164" s="30">
        <v>0</v>
      </c>
      <c r="Q164" s="30">
        <v>0</v>
      </c>
      <c r="R164" s="30">
        <v>0</v>
      </c>
      <c r="S164" s="30">
        <v>6</v>
      </c>
      <c r="T164" s="30">
        <v>0</v>
      </c>
      <c r="U164" s="30">
        <v>2</v>
      </c>
      <c r="V164" s="30">
        <v>27</v>
      </c>
      <c r="W164" s="30">
        <v>2</v>
      </c>
      <c r="X164" s="30">
        <v>0.29499999999999998</v>
      </c>
      <c r="Y164" s="30">
        <v>0.38800000000000001</v>
      </c>
      <c r="Z164" s="22">
        <f>X164+Y164</f>
        <v>0.68300000000000005</v>
      </c>
      <c r="AA164" s="22">
        <f>(0.692*(S164+T164)+0.73*U164+0.865*(I164-(J164+K164+L164))+1.334+J164+1.725*K164+2.065*L164)/(G164+S164-T164+U164+R164)</f>
        <v>0.29586046511627906</v>
      </c>
      <c r="AB164" s="22">
        <f>((AA164-$AA$2000)/1.24+$H$2000/$F$2000)*F164</f>
        <v>13.070233044216687</v>
      </c>
      <c r="AC164" s="22">
        <f>(AB164/F164)/($AB$2000/$F$2000)*100</f>
        <v>97.049482309867841</v>
      </c>
      <c r="AD164" s="22"/>
    </row>
    <row r="165" spans="1:30" ht="15.75" customHeight="1" x14ac:dyDescent="0.15">
      <c r="A165" s="34">
        <v>164</v>
      </c>
      <c r="B165" s="35" t="s">
        <v>3226</v>
      </c>
      <c r="C165" s="36" t="s">
        <v>2646</v>
      </c>
      <c r="D165" s="34">
        <v>0.224</v>
      </c>
      <c r="E165" s="34">
        <v>101</v>
      </c>
      <c r="F165" s="33">
        <v>127</v>
      </c>
      <c r="G165" s="34">
        <v>116</v>
      </c>
      <c r="H165" s="34">
        <v>14</v>
      </c>
      <c r="I165" s="34">
        <v>26</v>
      </c>
      <c r="J165" s="34">
        <v>4</v>
      </c>
      <c r="K165" s="34">
        <v>1</v>
      </c>
      <c r="L165" s="34">
        <v>0</v>
      </c>
      <c r="M165" s="34">
        <v>32</v>
      </c>
      <c r="N165" s="34">
        <v>3</v>
      </c>
      <c r="O165" s="34">
        <v>13</v>
      </c>
      <c r="P165" s="34">
        <v>5</v>
      </c>
      <c r="Q165" s="34">
        <v>7</v>
      </c>
      <c r="R165" s="34">
        <v>0</v>
      </c>
      <c r="S165" s="34">
        <v>4</v>
      </c>
      <c r="T165" s="34">
        <v>0</v>
      </c>
      <c r="U165" s="34">
        <v>0</v>
      </c>
      <c r="V165" s="34">
        <v>29</v>
      </c>
      <c r="W165" s="34">
        <v>0</v>
      </c>
      <c r="X165" s="34">
        <v>0.25</v>
      </c>
      <c r="Y165" s="34">
        <v>0.27600000000000002</v>
      </c>
      <c r="Z165" s="22">
        <f>X165+Y165</f>
        <v>0.52600000000000002</v>
      </c>
      <c r="AA165" s="22">
        <f>(0.692*(S165+T165)+0.73*U165+0.865*(I165-(J165+K165+L165))+1.334+J165+1.725*K165+2.065*L165)/(G165+S165-T165+U165+R165)</f>
        <v>0.23326666666666668</v>
      </c>
      <c r="AB165" s="22">
        <f>((AA165-$AA$2000)/1.24+$H$2000/$F$2000)*F165</f>
        <v>6.4567773180998014</v>
      </c>
      <c r="AC165" s="22">
        <f>(AB165/F165)/($AB$2000/$F$2000)*100</f>
        <v>48.698063305731623</v>
      </c>
      <c r="AD165" s="22"/>
    </row>
    <row r="166" spans="1:30" ht="15.75" customHeight="1" x14ac:dyDescent="0.15">
      <c r="A166" s="30">
        <v>164</v>
      </c>
      <c r="B166" s="31" t="s">
        <v>3227</v>
      </c>
      <c r="C166" s="54" t="s">
        <v>2650</v>
      </c>
      <c r="D166" s="30">
        <v>0.22</v>
      </c>
      <c r="E166" s="30">
        <v>51</v>
      </c>
      <c r="F166" s="33">
        <v>127</v>
      </c>
      <c r="G166" s="30">
        <v>118</v>
      </c>
      <c r="H166" s="30">
        <v>12</v>
      </c>
      <c r="I166" s="30">
        <v>26</v>
      </c>
      <c r="J166" s="30">
        <v>4</v>
      </c>
      <c r="K166" s="30">
        <v>0</v>
      </c>
      <c r="L166" s="30">
        <v>1</v>
      </c>
      <c r="M166" s="30">
        <v>33</v>
      </c>
      <c r="N166" s="30">
        <v>11</v>
      </c>
      <c r="O166" s="30">
        <v>1</v>
      </c>
      <c r="P166" s="30">
        <v>0</v>
      </c>
      <c r="Q166" s="30">
        <v>2</v>
      </c>
      <c r="R166" s="30">
        <v>0</v>
      </c>
      <c r="S166" s="30">
        <v>4</v>
      </c>
      <c r="T166" s="30">
        <v>0</v>
      </c>
      <c r="U166" s="30">
        <v>3</v>
      </c>
      <c r="V166" s="30">
        <v>26</v>
      </c>
      <c r="W166" s="30">
        <v>2</v>
      </c>
      <c r="X166" s="30">
        <v>0.26400000000000001</v>
      </c>
      <c r="Y166" s="30">
        <v>0.28000000000000003</v>
      </c>
      <c r="Z166" s="22">
        <f>X166+Y166</f>
        <v>0.54400000000000004</v>
      </c>
      <c r="AA166" s="22">
        <f>(0.692*(S166+T166)+0.73*U166+0.865*(I166-(J166+K166+L166))+1.334+J166+1.725*K166+2.065*L166)/(G166+S166-T166+U166+R166)</f>
        <v>0.24417599999999998</v>
      </c>
      <c r="AB166" s="22">
        <f>((AA166-$AA$2000)/1.24+$H$2000/$F$2000)*F166</f>
        <v>7.5741041998202281</v>
      </c>
      <c r="AC166" s="22">
        <f>(AB166/F166)/($AB$2000/$F$2000)*100</f>
        <v>57.125124134775376</v>
      </c>
      <c r="AD166" s="22"/>
    </row>
    <row r="167" spans="1:30" ht="15.75" customHeight="1" x14ac:dyDescent="0.15">
      <c r="A167" s="34">
        <v>164</v>
      </c>
      <c r="B167" s="35" t="s">
        <v>3228</v>
      </c>
      <c r="C167" s="58" t="s">
        <v>2645</v>
      </c>
      <c r="D167" s="34">
        <v>0.192</v>
      </c>
      <c r="E167" s="34">
        <v>38</v>
      </c>
      <c r="F167" s="33">
        <v>127</v>
      </c>
      <c r="G167" s="34">
        <v>125</v>
      </c>
      <c r="H167" s="34">
        <v>8</v>
      </c>
      <c r="I167" s="34">
        <v>24</v>
      </c>
      <c r="J167" s="34">
        <v>2</v>
      </c>
      <c r="K167" s="34">
        <v>0</v>
      </c>
      <c r="L167" s="34">
        <v>2</v>
      </c>
      <c r="M167" s="34">
        <v>32</v>
      </c>
      <c r="N167" s="34">
        <v>10</v>
      </c>
      <c r="O167" s="34">
        <v>1</v>
      </c>
      <c r="P167" s="34">
        <v>0</v>
      </c>
      <c r="Q167" s="34">
        <v>0</v>
      </c>
      <c r="R167" s="34">
        <v>0</v>
      </c>
      <c r="S167" s="34">
        <v>2</v>
      </c>
      <c r="T167" s="34">
        <v>0</v>
      </c>
      <c r="U167" s="34">
        <v>0</v>
      </c>
      <c r="V167" s="34">
        <v>41</v>
      </c>
      <c r="W167" s="34">
        <v>2</v>
      </c>
      <c r="X167" s="34">
        <v>0.20499999999999999</v>
      </c>
      <c r="Y167" s="34">
        <v>0.25600000000000001</v>
      </c>
      <c r="Z167" s="22">
        <f>X167+Y167</f>
        <v>0.46099999999999997</v>
      </c>
      <c r="AA167" s="22">
        <f>(0.692*(S167+T167)+0.73*U167+0.865*(I167-(J167+K167+L167))+1.334+J167+1.725*K167+2.065*L167)/(G167+S167-T167+U167+R167)</f>
        <v>0.20588976377952756</v>
      </c>
      <c r="AB167" s="22">
        <f>((AA167-$AA$2000)/1.24+$H$2000/$F$2000)*F167</f>
        <v>3.6528525869170041</v>
      </c>
      <c r="AC167" s="22">
        <f>(AB167/F167)/($AB$2000/$F$2000)*100</f>
        <v>27.550407542402443</v>
      </c>
      <c r="AD167" s="22"/>
    </row>
    <row r="168" spans="1:30" ht="15.75" customHeight="1" x14ac:dyDescent="0.15">
      <c r="A168" s="30">
        <v>164</v>
      </c>
      <c r="B168" s="31" t="s">
        <v>3229</v>
      </c>
      <c r="C168" s="52" t="s">
        <v>2646</v>
      </c>
      <c r="D168" s="30">
        <v>0.22700000000000001</v>
      </c>
      <c r="E168" s="30">
        <v>35</v>
      </c>
      <c r="F168" s="33">
        <v>127</v>
      </c>
      <c r="G168" s="30">
        <v>110</v>
      </c>
      <c r="H168" s="30">
        <v>12</v>
      </c>
      <c r="I168" s="30">
        <v>25</v>
      </c>
      <c r="J168" s="30">
        <v>8</v>
      </c>
      <c r="K168" s="30">
        <v>0</v>
      </c>
      <c r="L168" s="30">
        <v>1</v>
      </c>
      <c r="M168" s="30">
        <v>36</v>
      </c>
      <c r="N168" s="30">
        <v>11</v>
      </c>
      <c r="O168" s="30">
        <v>2</v>
      </c>
      <c r="P168" s="30">
        <v>1</v>
      </c>
      <c r="Q168" s="30">
        <v>0</v>
      </c>
      <c r="R168" s="30">
        <v>1</v>
      </c>
      <c r="S168" s="30">
        <v>12</v>
      </c>
      <c r="T168" s="30">
        <v>0</v>
      </c>
      <c r="U168" s="30">
        <v>4</v>
      </c>
      <c r="V168" s="30">
        <v>48</v>
      </c>
      <c r="W168" s="30">
        <v>2</v>
      </c>
      <c r="X168" s="30">
        <v>0.32300000000000001</v>
      </c>
      <c r="Y168" s="30">
        <v>0.32700000000000001</v>
      </c>
      <c r="Z168" s="22">
        <f>X168+Y168</f>
        <v>0.65</v>
      </c>
      <c r="AA168" s="22">
        <f>(0.692*(S168+T168)+0.73*U168+0.865*(I168-(J168+K168+L168))+1.334+J168+1.725*K168+2.065*L168)/(G168+S168-T168+U168+R168)</f>
        <v>0.28711023622047238</v>
      </c>
      <c r="AB168" s="22">
        <f>((AA168-$AA$2000)/1.24+$H$2000/$F$2000)*F168</f>
        <v>11.971400974013772</v>
      </c>
      <c r="AC168" s="22">
        <f>(AB168/F168)/($AB$2000/$F$2000)*100</f>
        <v>90.290250657488883</v>
      </c>
      <c r="AD168" s="22"/>
    </row>
    <row r="169" spans="1:30" ht="15.75" customHeight="1" x14ac:dyDescent="0.15">
      <c r="A169" s="34">
        <v>168</v>
      </c>
      <c r="B169" s="35" t="s">
        <v>3230</v>
      </c>
      <c r="C169" s="42" t="s">
        <v>2652</v>
      </c>
      <c r="D169" s="34">
        <v>0.184</v>
      </c>
      <c r="E169" s="34">
        <v>49</v>
      </c>
      <c r="F169" s="33">
        <v>125</v>
      </c>
      <c r="G169" s="34">
        <v>103</v>
      </c>
      <c r="H169" s="34">
        <v>10</v>
      </c>
      <c r="I169" s="34">
        <v>19</v>
      </c>
      <c r="J169" s="34">
        <v>4</v>
      </c>
      <c r="K169" s="34">
        <v>0</v>
      </c>
      <c r="L169" s="34">
        <v>1</v>
      </c>
      <c r="M169" s="34">
        <v>26</v>
      </c>
      <c r="N169" s="34">
        <v>6</v>
      </c>
      <c r="O169" s="34">
        <v>1</v>
      </c>
      <c r="P169" s="34">
        <v>0</v>
      </c>
      <c r="Q169" s="34">
        <v>3</v>
      </c>
      <c r="R169" s="34">
        <v>2</v>
      </c>
      <c r="S169" s="34">
        <v>13</v>
      </c>
      <c r="T169" s="34">
        <v>0</v>
      </c>
      <c r="U169" s="34">
        <v>4</v>
      </c>
      <c r="V169" s="34">
        <v>33</v>
      </c>
      <c r="W169" s="34">
        <v>1</v>
      </c>
      <c r="X169" s="34">
        <v>0.29499999999999998</v>
      </c>
      <c r="Y169" s="34">
        <v>0.252</v>
      </c>
      <c r="Z169" s="22">
        <f>X169+Y169</f>
        <v>0.54699999999999993</v>
      </c>
      <c r="AA169" s="22">
        <f>(0.692*(S169+T169)+0.73*U169+0.865*(I169-(J169+K169+L169))+1.334+J169+1.725*K169+2.065*L169)/(G169+S169-T169+U169+R169)</f>
        <v>0.25758196721311472</v>
      </c>
      <c r="AB169" s="22">
        <f>((AA169-$AA$2000)/1.24+$H$2000/$F$2000)*F169</f>
        <v>8.8062349535200148</v>
      </c>
      <c r="AC169" s="22">
        <f>(AB169/F169)/($AB$2000/$F$2000)*100</f>
        <v>67.480743284471473</v>
      </c>
      <c r="AD169" s="22"/>
    </row>
    <row r="170" spans="1:30" ht="15.75" customHeight="1" x14ac:dyDescent="0.15">
      <c r="A170" s="30">
        <v>169</v>
      </c>
      <c r="B170" s="31" t="s">
        <v>3059</v>
      </c>
      <c r="C170" s="52" t="s">
        <v>2646</v>
      </c>
      <c r="D170" s="30">
        <v>0.217</v>
      </c>
      <c r="E170" s="30">
        <v>73</v>
      </c>
      <c r="F170" s="33">
        <v>122</v>
      </c>
      <c r="G170" s="30">
        <v>115</v>
      </c>
      <c r="H170" s="30">
        <v>15</v>
      </c>
      <c r="I170" s="30">
        <v>25</v>
      </c>
      <c r="J170" s="30">
        <v>2</v>
      </c>
      <c r="K170" s="30">
        <v>5</v>
      </c>
      <c r="L170" s="30">
        <v>3</v>
      </c>
      <c r="M170" s="30">
        <v>46</v>
      </c>
      <c r="N170" s="30">
        <v>5</v>
      </c>
      <c r="O170" s="30">
        <v>6</v>
      </c>
      <c r="P170" s="30">
        <v>6</v>
      </c>
      <c r="Q170" s="30">
        <v>0</v>
      </c>
      <c r="R170" s="30">
        <v>0</v>
      </c>
      <c r="S170" s="30">
        <v>6</v>
      </c>
      <c r="T170" s="30">
        <v>0</v>
      </c>
      <c r="U170" s="30">
        <v>1</v>
      </c>
      <c r="V170" s="30">
        <v>24</v>
      </c>
      <c r="W170" s="30">
        <v>1</v>
      </c>
      <c r="X170" s="30">
        <v>0.26200000000000001</v>
      </c>
      <c r="Y170" s="30">
        <v>0.4</v>
      </c>
      <c r="Z170" s="22">
        <f>X170+Y170</f>
        <v>0.66200000000000003</v>
      </c>
      <c r="AA170" s="22">
        <f>(0.692*(S170+T170)+0.73*U170+0.865*(I170-(J170+K170+L170))+1.334+J170+1.725*K170+2.065*L170)/(G170+S170-T170+U170+R170)</f>
        <v>0.29517213114754093</v>
      </c>
      <c r="AB170" s="22">
        <f>((AA170-$AA$2000)/1.24+$H$2000/$F$2000)*F170</f>
        <v>12.293272411409726</v>
      </c>
      <c r="AC170" s="22">
        <f>(AB170/F170)/($AB$2000/$F$2000)*100</f>
        <v>96.517769505059718</v>
      </c>
      <c r="AD170" s="22"/>
    </row>
    <row r="171" spans="1:30" ht="15.75" customHeight="1" x14ac:dyDescent="0.15">
      <c r="A171" s="34">
        <v>169</v>
      </c>
      <c r="B171" s="35" t="s">
        <v>3231</v>
      </c>
      <c r="C171" s="38" t="s">
        <v>2648</v>
      </c>
      <c r="D171" s="34">
        <v>0.218</v>
      </c>
      <c r="E171" s="34">
        <v>43</v>
      </c>
      <c r="F171" s="33">
        <v>122</v>
      </c>
      <c r="G171" s="34">
        <v>110</v>
      </c>
      <c r="H171" s="34">
        <v>6</v>
      </c>
      <c r="I171" s="34">
        <v>24</v>
      </c>
      <c r="J171" s="34">
        <v>4</v>
      </c>
      <c r="K171" s="34">
        <v>0</v>
      </c>
      <c r="L171" s="34">
        <v>0</v>
      </c>
      <c r="M171" s="34">
        <v>28</v>
      </c>
      <c r="N171" s="34">
        <v>2</v>
      </c>
      <c r="O171" s="34">
        <v>0</v>
      </c>
      <c r="P171" s="34">
        <v>0</v>
      </c>
      <c r="Q171" s="34">
        <v>3</v>
      </c>
      <c r="R171" s="34">
        <v>0</v>
      </c>
      <c r="S171" s="34">
        <v>8</v>
      </c>
      <c r="T171" s="34">
        <v>0</v>
      </c>
      <c r="U171" s="34">
        <v>1</v>
      </c>
      <c r="V171" s="34">
        <v>13</v>
      </c>
      <c r="W171" s="34">
        <v>2</v>
      </c>
      <c r="X171" s="34">
        <v>0.27700000000000002</v>
      </c>
      <c r="Y171" s="34">
        <v>0.255</v>
      </c>
      <c r="Z171" s="22">
        <f>X171+Y171</f>
        <v>0.53200000000000003</v>
      </c>
      <c r="AA171" s="22">
        <f>(0.692*(S171+T171)+0.73*U171+0.865*(I171-(J171+K171+L171))+1.334+J171+1.725*K171+2.065*L171)/(G171+S171-T171+U171+R171)</f>
        <v>0.24285714285714288</v>
      </c>
      <c r="AB171" s="22">
        <f>((AA171-$AA$2000)/1.24+$H$2000/$F$2000)*F171</f>
        <v>7.1461525957415306</v>
      </c>
      <c r="AC171" s="22">
        <f>(AB171/F171)/($AB$2000/$F$2000)*100</f>
        <v>56.10635524871369</v>
      </c>
      <c r="AD171" s="22"/>
    </row>
    <row r="172" spans="1:30" ht="15.75" customHeight="1" x14ac:dyDescent="0.15">
      <c r="A172" s="30">
        <v>171</v>
      </c>
      <c r="B172" s="31" t="s">
        <v>3232</v>
      </c>
      <c r="C172" s="41" t="s">
        <v>2651</v>
      </c>
      <c r="D172" s="30">
        <v>0.25</v>
      </c>
      <c r="E172" s="30">
        <v>60</v>
      </c>
      <c r="F172" s="33">
        <v>121</v>
      </c>
      <c r="G172" s="30">
        <v>108</v>
      </c>
      <c r="H172" s="30">
        <v>8</v>
      </c>
      <c r="I172" s="30">
        <v>27</v>
      </c>
      <c r="J172" s="30">
        <v>4</v>
      </c>
      <c r="K172" s="30">
        <v>0</v>
      </c>
      <c r="L172" s="30">
        <v>0</v>
      </c>
      <c r="M172" s="30">
        <v>31</v>
      </c>
      <c r="N172" s="30">
        <v>5</v>
      </c>
      <c r="O172" s="30">
        <v>0</v>
      </c>
      <c r="P172" s="30">
        <v>0</v>
      </c>
      <c r="Q172" s="30">
        <v>1</v>
      </c>
      <c r="R172" s="30">
        <v>0</v>
      </c>
      <c r="S172" s="30">
        <v>11</v>
      </c>
      <c r="T172" s="30">
        <v>0</v>
      </c>
      <c r="U172" s="30">
        <v>1</v>
      </c>
      <c r="V172" s="30">
        <v>37</v>
      </c>
      <c r="W172" s="30">
        <v>2</v>
      </c>
      <c r="X172" s="30">
        <v>0.32500000000000001</v>
      </c>
      <c r="Y172" s="30">
        <v>0.28699999999999998</v>
      </c>
      <c r="Z172" s="22">
        <f>X172+Y172</f>
        <v>0.61199999999999999</v>
      </c>
      <c r="AA172" s="22">
        <f>(0.692*(S172+T172)+0.73*U172+0.865*(I172-(J172+K172+L172))+1.334+J172+1.725*K172+2.065*L172)/(G172+S172-T172+U172+R172)</f>
        <v>0.27975833333333333</v>
      </c>
      <c r="AB172" s="22">
        <f>((AA172-$AA$2000)/1.24+$H$2000/$F$2000)*F172</f>
        <v>10.688419548351288</v>
      </c>
      <c r="AC172" s="22">
        <f>(AB172/F172)/($AB$2000/$F$2000)*100</f>
        <v>84.611174682255736</v>
      </c>
      <c r="AD172" s="22"/>
    </row>
    <row r="173" spans="1:30" ht="15.75" customHeight="1" x14ac:dyDescent="0.15">
      <c r="A173" s="34">
        <v>172</v>
      </c>
      <c r="B173" s="35" t="s">
        <v>3234</v>
      </c>
      <c r="C173" s="43" t="s">
        <v>2649</v>
      </c>
      <c r="D173" s="34">
        <v>0.23899999999999999</v>
      </c>
      <c r="E173" s="34">
        <v>38</v>
      </c>
      <c r="F173" s="33">
        <v>116</v>
      </c>
      <c r="G173" s="34">
        <v>109</v>
      </c>
      <c r="H173" s="34">
        <v>10</v>
      </c>
      <c r="I173" s="34">
        <v>26</v>
      </c>
      <c r="J173" s="34">
        <v>4</v>
      </c>
      <c r="K173" s="34">
        <v>0</v>
      </c>
      <c r="L173" s="34">
        <v>2</v>
      </c>
      <c r="M173" s="34">
        <v>36</v>
      </c>
      <c r="N173" s="34">
        <v>11</v>
      </c>
      <c r="O173" s="34">
        <v>1</v>
      </c>
      <c r="P173" s="34">
        <v>0</v>
      </c>
      <c r="Q173" s="34">
        <v>0</v>
      </c>
      <c r="R173" s="34">
        <v>0</v>
      </c>
      <c r="S173" s="34">
        <v>4</v>
      </c>
      <c r="T173" s="34">
        <v>0</v>
      </c>
      <c r="U173" s="34">
        <v>3</v>
      </c>
      <c r="V173" s="34">
        <v>34</v>
      </c>
      <c r="W173" s="34">
        <v>0</v>
      </c>
      <c r="X173" s="34">
        <v>0.28399999999999997</v>
      </c>
      <c r="Y173" s="34">
        <v>0.33</v>
      </c>
      <c r="Z173" s="22">
        <f>X173+Y173</f>
        <v>0.61399999999999999</v>
      </c>
      <c r="AA173" s="22">
        <f>(0.692*(S173+T173)+0.73*U173+0.865*(I173-(J173+K173+L173))+1.334+J173+1.725*K173+2.065*L173)/(G173+S173-T173+U173+R173)</f>
        <v>0.2734655172413793</v>
      </c>
      <c r="AB173" s="22">
        <f>((AA173-$AA$2000)/1.24+$H$2000/$F$2000)*F173</f>
        <v>9.6580665233816472</v>
      </c>
      <c r="AC173" s="22">
        <f>(AB173/F173)/($AB$2000/$F$2000)*100</f>
        <v>79.750204504467717</v>
      </c>
      <c r="AD173" s="22"/>
    </row>
    <row r="174" spans="1:30" ht="15.75" customHeight="1" x14ac:dyDescent="0.15">
      <c r="A174" s="30">
        <v>173</v>
      </c>
      <c r="B174" s="31" t="s">
        <v>3238</v>
      </c>
      <c r="C174" s="39" t="s">
        <v>2649</v>
      </c>
      <c r="D174" s="30">
        <v>0.27600000000000002</v>
      </c>
      <c r="E174" s="30">
        <v>41</v>
      </c>
      <c r="F174" s="33">
        <v>113</v>
      </c>
      <c r="G174" s="30">
        <v>105</v>
      </c>
      <c r="H174" s="30">
        <v>12</v>
      </c>
      <c r="I174" s="30">
        <v>29</v>
      </c>
      <c r="J174" s="30">
        <v>7</v>
      </c>
      <c r="K174" s="30">
        <v>0</v>
      </c>
      <c r="L174" s="30">
        <v>1</v>
      </c>
      <c r="M174" s="30">
        <v>39</v>
      </c>
      <c r="N174" s="30">
        <v>15</v>
      </c>
      <c r="O174" s="30">
        <v>0</v>
      </c>
      <c r="P174" s="30">
        <v>2</v>
      </c>
      <c r="Q174" s="30">
        <v>0</v>
      </c>
      <c r="R174" s="30">
        <v>1</v>
      </c>
      <c r="S174" s="30">
        <v>7</v>
      </c>
      <c r="T174" s="30">
        <v>0</v>
      </c>
      <c r="U174" s="30">
        <v>0</v>
      </c>
      <c r="V174" s="30">
        <v>31</v>
      </c>
      <c r="W174" s="30">
        <v>1</v>
      </c>
      <c r="X174" s="30">
        <v>0.31900000000000001</v>
      </c>
      <c r="Y174" s="30">
        <v>0.371</v>
      </c>
      <c r="Z174" s="22">
        <f>X174+Y174</f>
        <v>0.69</v>
      </c>
      <c r="AA174" s="22">
        <f>(0.692*(S174+T174)+0.73*U174+0.865*(I174-(J174+K174+L174))+1.334+J174+1.725*K174+2.065*L174)/(G174+S174-T174+U174+R174)</f>
        <v>0.29564601769911508</v>
      </c>
      <c r="AB174" s="22">
        <f>((AA174-$AA$2000)/1.24+$H$2000/$F$2000)*F174</f>
        <v>11.429576482593417</v>
      </c>
      <c r="AC174" s="22">
        <f>(AB174/F174)/($AB$2000/$F$2000)*100</f>
        <v>96.883829526709178</v>
      </c>
      <c r="AD174" s="22"/>
    </row>
    <row r="175" spans="1:30" ht="15.75" customHeight="1" x14ac:dyDescent="0.15">
      <c r="A175" s="34">
        <v>173</v>
      </c>
      <c r="B175" s="35" t="s">
        <v>3233</v>
      </c>
      <c r="C175" s="58" t="s">
        <v>2645</v>
      </c>
      <c r="D175" s="34">
        <v>0.20599999999999999</v>
      </c>
      <c r="E175" s="34">
        <v>40</v>
      </c>
      <c r="F175" s="33">
        <v>113</v>
      </c>
      <c r="G175" s="34">
        <v>102</v>
      </c>
      <c r="H175" s="34">
        <v>8</v>
      </c>
      <c r="I175" s="34">
        <v>21</v>
      </c>
      <c r="J175" s="34">
        <v>2</v>
      </c>
      <c r="K175" s="34">
        <v>1</v>
      </c>
      <c r="L175" s="34">
        <v>0</v>
      </c>
      <c r="M175" s="34">
        <v>25</v>
      </c>
      <c r="N175" s="34">
        <v>4</v>
      </c>
      <c r="O175" s="34">
        <v>1</v>
      </c>
      <c r="P175" s="34">
        <v>1</v>
      </c>
      <c r="Q175" s="34">
        <v>4</v>
      </c>
      <c r="R175" s="34">
        <v>0</v>
      </c>
      <c r="S175" s="34">
        <v>6</v>
      </c>
      <c r="T175" s="34">
        <v>2</v>
      </c>
      <c r="U175" s="34">
        <v>1</v>
      </c>
      <c r="V175" s="34">
        <v>38</v>
      </c>
      <c r="W175" s="34">
        <v>1</v>
      </c>
      <c r="X175" s="34">
        <v>0.25700000000000001</v>
      </c>
      <c r="Y175" s="34">
        <v>0.245</v>
      </c>
      <c r="Z175" s="22">
        <f>X175+Y175</f>
        <v>0.502</v>
      </c>
      <c r="AA175" s="22">
        <f>(0.692*(S175+T175)+0.73*U175+0.865*(I175-(J175+K175+L175))+1.334+J175+1.725*K175+2.065*L175)/(G175+S175-T175+U175+R175)</f>
        <v>0.2513551401869159</v>
      </c>
      <c r="AB175" s="22">
        <f>((AA175-$AA$2000)/1.24+$H$2000/$F$2000)*F175</f>
        <v>7.3933916770462336</v>
      </c>
      <c r="AC175" s="22">
        <f>(AB175/F175)/($AB$2000/$F$2000)*100</f>
        <v>62.670747245448808</v>
      </c>
      <c r="AD175" s="22"/>
    </row>
    <row r="176" spans="1:30" ht="15.75" customHeight="1" x14ac:dyDescent="0.15">
      <c r="A176" s="30">
        <v>175</v>
      </c>
      <c r="B176" s="31" t="s">
        <v>3235</v>
      </c>
      <c r="C176" s="54" t="s">
        <v>2650</v>
      </c>
      <c r="D176" s="30">
        <v>0.216</v>
      </c>
      <c r="E176" s="30">
        <v>42</v>
      </c>
      <c r="F176" s="33">
        <v>110</v>
      </c>
      <c r="G176" s="30">
        <v>102</v>
      </c>
      <c r="H176" s="30">
        <v>4</v>
      </c>
      <c r="I176" s="30">
        <v>22</v>
      </c>
      <c r="J176" s="30">
        <v>6</v>
      </c>
      <c r="K176" s="30">
        <v>0</v>
      </c>
      <c r="L176" s="30">
        <v>1</v>
      </c>
      <c r="M176" s="30">
        <v>31</v>
      </c>
      <c r="N176" s="30">
        <v>8</v>
      </c>
      <c r="O176" s="30">
        <v>1</v>
      </c>
      <c r="P176" s="30">
        <v>1</v>
      </c>
      <c r="Q176" s="30">
        <v>0</v>
      </c>
      <c r="R176" s="30">
        <v>1</v>
      </c>
      <c r="S176" s="30">
        <v>7</v>
      </c>
      <c r="T176" s="30">
        <v>2</v>
      </c>
      <c r="U176" s="30">
        <v>0</v>
      </c>
      <c r="V176" s="30">
        <v>20</v>
      </c>
      <c r="W176" s="30">
        <v>1</v>
      </c>
      <c r="X176" s="30">
        <v>0.26400000000000001</v>
      </c>
      <c r="Y176" s="30">
        <v>0.30399999999999999</v>
      </c>
      <c r="Z176" s="22">
        <f>X176+Y176</f>
        <v>0.56800000000000006</v>
      </c>
      <c r="AA176" s="22">
        <f>(0.692*(S176+T176)+0.73*U176+0.865*(I176-(J176+K176+L176))+1.334+J176+1.725*K176+2.065*L176)/(G176+S176-T176+U176+R176)</f>
        <v>0.26483333333333331</v>
      </c>
      <c r="AB176" s="22">
        <f>((AA176-$AA$2000)/1.24+$H$2000/$F$2000)*F176</f>
        <v>8.3927531084718421</v>
      </c>
      <c r="AC176" s="22">
        <f>(AB176/F176)/($AB$2000/$F$2000)*100</f>
        <v>73.08215828588456</v>
      </c>
      <c r="AD176" s="22"/>
    </row>
    <row r="177" spans="1:30" ht="15.75" customHeight="1" x14ac:dyDescent="0.15">
      <c r="A177" s="34">
        <v>176</v>
      </c>
      <c r="B177" s="35" t="s">
        <v>3236</v>
      </c>
      <c r="C177" s="50" t="s">
        <v>198</v>
      </c>
      <c r="D177" s="34">
        <v>0.20200000000000001</v>
      </c>
      <c r="E177" s="34">
        <v>54</v>
      </c>
      <c r="F177" s="33">
        <v>109</v>
      </c>
      <c r="G177" s="34">
        <v>94</v>
      </c>
      <c r="H177" s="34">
        <v>6</v>
      </c>
      <c r="I177" s="34">
        <v>19</v>
      </c>
      <c r="J177" s="34">
        <v>2</v>
      </c>
      <c r="K177" s="34">
        <v>0</v>
      </c>
      <c r="L177" s="34">
        <v>0</v>
      </c>
      <c r="M177" s="34">
        <v>21</v>
      </c>
      <c r="N177" s="34">
        <v>4</v>
      </c>
      <c r="O177" s="34">
        <v>4</v>
      </c>
      <c r="P177" s="34">
        <v>0</v>
      </c>
      <c r="Q177" s="34">
        <v>0</v>
      </c>
      <c r="R177" s="34">
        <v>1</v>
      </c>
      <c r="S177" s="34">
        <v>12</v>
      </c>
      <c r="T177" s="34">
        <v>0</v>
      </c>
      <c r="U177" s="34">
        <v>2</v>
      </c>
      <c r="V177" s="34">
        <v>17</v>
      </c>
      <c r="W177" s="34">
        <v>0</v>
      </c>
      <c r="X177" s="34">
        <v>0.30299999999999999</v>
      </c>
      <c r="Y177" s="34">
        <v>0.223</v>
      </c>
      <c r="Z177" s="22">
        <f>X177+Y177</f>
        <v>0.52600000000000002</v>
      </c>
      <c r="AA177" s="22">
        <f>(0.692*(S177+T177)+0.73*U177+0.865*(I177-(J177+K177+L177))+1.334+J177+1.725*K177+2.065*L177)/(G177+S177-T177+U177+R177)</f>
        <v>0.25507339449541283</v>
      </c>
      <c r="AB177" s="22">
        <f>((AA177-$AA$2000)/1.24+$H$2000/$F$2000)*F177</f>
        <v>7.4585252454133988</v>
      </c>
      <c r="AC177" s="22">
        <f>(AB177/F177)/($AB$2000/$F$2000)*100</f>
        <v>65.542962648365972</v>
      </c>
      <c r="AD177" s="22"/>
    </row>
    <row r="178" spans="1:30" ht="15.75" customHeight="1" x14ac:dyDescent="0.15">
      <c r="A178" s="30">
        <v>176</v>
      </c>
      <c r="B178" s="31" t="s">
        <v>3237</v>
      </c>
      <c r="C178" s="44" t="s">
        <v>2653</v>
      </c>
      <c r="D178" s="30">
        <v>0.188</v>
      </c>
      <c r="E178" s="30">
        <v>50</v>
      </c>
      <c r="F178" s="33">
        <v>109</v>
      </c>
      <c r="G178" s="30">
        <v>101</v>
      </c>
      <c r="H178" s="30">
        <v>5</v>
      </c>
      <c r="I178" s="30">
        <v>19</v>
      </c>
      <c r="J178" s="30">
        <v>3</v>
      </c>
      <c r="K178" s="30">
        <v>0</v>
      </c>
      <c r="L178" s="30">
        <v>0</v>
      </c>
      <c r="M178" s="30">
        <v>22</v>
      </c>
      <c r="N178" s="30">
        <v>6</v>
      </c>
      <c r="O178" s="30">
        <v>0</v>
      </c>
      <c r="P178" s="30">
        <v>1</v>
      </c>
      <c r="Q178" s="30">
        <v>4</v>
      </c>
      <c r="R178" s="30">
        <v>0</v>
      </c>
      <c r="S178" s="30">
        <v>3</v>
      </c>
      <c r="T178" s="30">
        <v>0</v>
      </c>
      <c r="U178" s="30">
        <v>1</v>
      </c>
      <c r="V178" s="30">
        <v>31</v>
      </c>
      <c r="W178" s="30">
        <v>1</v>
      </c>
      <c r="X178" s="30">
        <v>0.219</v>
      </c>
      <c r="Y178" s="30">
        <v>0.218</v>
      </c>
      <c r="Z178" s="22">
        <f>X178+Y178</f>
        <v>0.437</v>
      </c>
      <c r="AA178" s="22">
        <f>(0.692*(S178+T178)+0.73*U178+0.865*(I178-(J178+K178+L178))+1.334+J178+1.725*K178+2.065*L178)/(G178+S178-T178+U178+R178)</f>
        <v>0.19980952380952383</v>
      </c>
      <c r="AB178" s="22">
        <f>((AA178-$AA$2000)/1.24+$H$2000/$F$2000)*F178</f>
        <v>2.6006527415731564</v>
      </c>
      <c r="AC178" s="22">
        <f>(AB178/F178)/($AB$2000/$F$2000)*100</f>
        <v>22.853644640690931</v>
      </c>
      <c r="AD178" s="22"/>
    </row>
    <row r="179" spans="1:30" ht="15.75" customHeight="1" x14ac:dyDescent="0.15">
      <c r="A179" s="34">
        <v>176</v>
      </c>
      <c r="B179" s="35" t="s">
        <v>3239</v>
      </c>
      <c r="C179" s="50" t="s">
        <v>198</v>
      </c>
      <c r="D179" s="34">
        <v>0.186</v>
      </c>
      <c r="E179" s="34">
        <v>29</v>
      </c>
      <c r="F179" s="33">
        <v>109</v>
      </c>
      <c r="G179" s="34">
        <v>102</v>
      </c>
      <c r="H179" s="34">
        <v>5</v>
      </c>
      <c r="I179" s="34">
        <v>19</v>
      </c>
      <c r="J179" s="34">
        <v>4</v>
      </c>
      <c r="K179" s="34">
        <v>0</v>
      </c>
      <c r="L179" s="34">
        <v>1</v>
      </c>
      <c r="M179" s="34">
        <v>26</v>
      </c>
      <c r="N179" s="34">
        <v>11</v>
      </c>
      <c r="O179" s="34">
        <v>0</v>
      </c>
      <c r="P179" s="34">
        <v>0</v>
      </c>
      <c r="Q179" s="34">
        <v>1</v>
      </c>
      <c r="R179" s="34">
        <v>0</v>
      </c>
      <c r="S179" s="34">
        <v>5</v>
      </c>
      <c r="T179" s="34">
        <v>1</v>
      </c>
      <c r="U179" s="34">
        <v>1</v>
      </c>
      <c r="V179" s="34">
        <v>36</v>
      </c>
      <c r="W179" s="34">
        <v>1</v>
      </c>
      <c r="X179" s="34">
        <v>0.23100000000000001</v>
      </c>
      <c r="Y179" s="34">
        <v>0.255</v>
      </c>
      <c r="Z179" s="22">
        <f>X179+Y179</f>
        <v>0.48599999999999999</v>
      </c>
      <c r="AA179" s="22">
        <f>(0.692*(S179+T179)+0.73*U179+0.865*(I179-(J179+K179+L179))+1.334+J179+1.725*K179+2.065*L179)/(G179+S179-T179+U179+R179)</f>
        <v>0.22795327102803736</v>
      </c>
      <c r="AB179" s="22">
        <f>((AA179-$AA$2000)/1.24+$H$2000/$F$2000)*F179</f>
        <v>5.074578908361846</v>
      </c>
      <c r="AC179" s="22">
        <f>(AB179/F179)/($AB$2000/$F$2000)*100</f>
        <v>44.593659591281742</v>
      </c>
      <c r="AD179" s="22"/>
    </row>
    <row r="180" spans="1:30" ht="15.75" customHeight="1" x14ac:dyDescent="0.15">
      <c r="A180" s="30">
        <v>179</v>
      </c>
      <c r="B180" s="31" t="s">
        <v>3240</v>
      </c>
      <c r="C180" s="52" t="s">
        <v>2646</v>
      </c>
      <c r="D180" s="30">
        <v>0.22700000000000001</v>
      </c>
      <c r="E180" s="30">
        <v>61</v>
      </c>
      <c r="F180" s="33">
        <v>107</v>
      </c>
      <c r="G180" s="30">
        <v>97</v>
      </c>
      <c r="H180" s="30">
        <v>9</v>
      </c>
      <c r="I180" s="30">
        <v>22</v>
      </c>
      <c r="J180" s="30">
        <v>4</v>
      </c>
      <c r="K180" s="30">
        <v>0</v>
      </c>
      <c r="L180" s="30">
        <v>0</v>
      </c>
      <c r="M180" s="30">
        <v>26</v>
      </c>
      <c r="N180" s="30">
        <v>5</v>
      </c>
      <c r="O180" s="30">
        <v>2</v>
      </c>
      <c r="P180" s="30">
        <v>0</v>
      </c>
      <c r="Q180" s="30">
        <v>5</v>
      </c>
      <c r="R180" s="30">
        <v>0</v>
      </c>
      <c r="S180" s="30">
        <v>5</v>
      </c>
      <c r="T180" s="30">
        <v>0</v>
      </c>
      <c r="U180" s="30">
        <v>0</v>
      </c>
      <c r="V180" s="30">
        <v>16</v>
      </c>
      <c r="W180" s="30">
        <v>0</v>
      </c>
      <c r="X180" s="30">
        <v>0.26500000000000001</v>
      </c>
      <c r="Y180" s="30">
        <v>0.26800000000000002</v>
      </c>
      <c r="Z180" s="22">
        <f>X180+Y180</f>
        <v>0.53300000000000003</v>
      </c>
      <c r="AA180" s="22">
        <f>(0.692*(S180+T180)+0.73*U180+0.865*(I180-(J180+K180+L180))+1.334+J180+1.725*K180+2.065*L180)/(G180+S180-T180+U180+R180)</f>
        <v>0.23886274509803923</v>
      </c>
      <c r="AB180" s="22">
        <f>((AA180-$AA$2000)/1.24+$H$2000/$F$2000)*F180</f>
        <v>5.9228494054445218</v>
      </c>
      <c r="AC180" s="22">
        <f>(AB180/F180)/($AB$2000/$F$2000)*100</f>
        <v>53.020829134252438</v>
      </c>
      <c r="AD180" s="22"/>
    </row>
    <row r="181" spans="1:30" ht="15.75" customHeight="1" x14ac:dyDescent="0.15">
      <c r="A181" s="34">
        <v>180</v>
      </c>
      <c r="B181" s="35" t="s">
        <v>3241</v>
      </c>
      <c r="C181" s="57" t="s">
        <v>2654</v>
      </c>
      <c r="D181" s="34">
        <v>0.21199999999999999</v>
      </c>
      <c r="E181" s="34">
        <v>45</v>
      </c>
      <c r="F181" s="33">
        <v>106</v>
      </c>
      <c r="G181" s="34">
        <v>99</v>
      </c>
      <c r="H181" s="34">
        <v>11</v>
      </c>
      <c r="I181" s="34">
        <v>21</v>
      </c>
      <c r="J181" s="34">
        <v>8</v>
      </c>
      <c r="K181" s="34">
        <v>0</v>
      </c>
      <c r="L181" s="34">
        <v>2</v>
      </c>
      <c r="M181" s="34">
        <v>35</v>
      </c>
      <c r="N181" s="34">
        <v>15</v>
      </c>
      <c r="O181" s="34">
        <v>1</v>
      </c>
      <c r="P181" s="34">
        <v>1</v>
      </c>
      <c r="Q181" s="34">
        <v>1</v>
      </c>
      <c r="R181" s="34">
        <v>0</v>
      </c>
      <c r="S181" s="34">
        <v>6</v>
      </c>
      <c r="T181" s="34">
        <v>0</v>
      </c>
      <c r="U181" s="34">
        <v>0</v>
      </c>
      <c r="V181" s="34">
        <v>31</v>
      </c>
      <c r="W181" s="34">
        <v>5</v>
      </c>
      <c r="X181" s="34">
        <v>0.25700000000000001</v>
      </c>
      <c r="Y181" s="34">
        <v>0.35399999999999998</v>
      </c>
      <c r="Z181" s="22">
        <f>X181+Y181</f>
        <v>0.61099999999999999</v>
      </c>
      <c r="AA181" s="22">
        <f>(0.692*(S181+T181)+0.73*U181+0.865*(I181-(J181+K181+L181))+1.334+J181+1.725*K181+2.065*L181)/(G181+S181-T181+U181+R181)</f>
        <v>0.25839047619047617</v>
      </c>
      <c r="AB181" s="22">
        <f>((AA181-$AA$2000)/1.24+$H$2000/$F$2000)*F181</f>
        <v>7.5368017176819988</v>
      </c>
      <c r="AC181" s="22">
        <f>(AB181/F181)/($AB$2000/$F$2000)*100</f>
        <v>68.105286886254603</v>
      </c>
      <c r="AD181" s="22"/>
    </row>
    <row r="182" spans="1:30" ht="15.75" customHeight="1" x14ac:dyDescent="0.15">
      <c r="A182" s="30">
        <v>181</v>
      </c>
      <c r="B182" s="31" t="s">
        <v>3180</v>
      </c>
      <c r="C182" s="54" t="s">
        <v>2650</v>
      </c>
      <c r="D182" s="30">
        <v>0.22700000000000001</v>
      </c>
      <c r="E182" s="30">
        <v>28</v>
      </c>
      <c r="F182" s="33">
        <v>105</v>
      </c>
      <c r="G182" s="30">
        <v>88</v>
      </c>
      <c r="H182" s="30">
        <v>12</v>
      </c>
      <c r="I182" s="30">
        <v>20</v>
      </c>
      <c r="J182" s="30">
        <v>5</v>
      </c>
      <c r="K182" s="30">
        <v>0</v>
      </c>
      <c r="L182" s="30">
        <v>1</v>
      </c>
      <c r="M182" s="30">
        <v>28</v>
      </c>
      <c r="N182" s="30">
        <v>8</v>
      </c>
      <c r="O182" s="30">
        <v>0</v>
      </c>
      <c r="P182" s="30">
        <v>0</v>
      </c>
      <c r="Q182" s="30">
        <v>1</v>
      </c>
      <c r="R182" s="30">
        <v>0</v>
      </c>
      <c r="S182" s="30">
        <v>13</v>
      </c>
      <c r="T182" s="30">
        <v>0</v>
      </c>
      <c r="U182" s="30">
        <v>3</v>
      </c>
      <c r="V182" s="30">
        <v>15</v>
      </c>
      <c r="W182" s="30">
        <v>3</v>
      </c>
      <c r="X182" s="30">
        <v>0.34599999999999997</v>
      </c>
      <c r="Y182" s="30">
        <v>0.318</v>
      </c>
      <c r="Z182" s="22">
        <f>X182+Y182</f>
        <v>0.66399999999999992</v>
      </c>
      <c r="AA182" s="22">
        <f>(0.692*(S182+T182)+0.73*U182+0.865*(I182-(J182+K182+L182))+1.334+J182+1.725*K182+2.065*L182)/(G182+S182-T182+U182+R182)</f>
        <v>0.30475961538461538</v>
      </c>
      <c r="AB182" s="22">
        <f>((AA182-$AA$2000)/1.24+$H$2000/$F$2000)*F182</f>
        <v>11.392118859350013</v>
      </c>
      <c r="AC182" s="22">
        <f>(AB182/F182)/($AB$2000/$F$2000)*100</f>
        <v>103.92375027351409</v>
      </c>
      <c r="AD182" s="22"/>
    </row>
    <row r="183" spans="1:30" ht="15.75" customHeight="1" x14ac:dyDescent="0.15">
      <c r="A183" s="34">
        <v>182</v>
      </c>
      <c r="B183" s="35" t="s">
        <v>3242</v>
      </c>
      <c r="C183" s="43" t="s">
        <v>2649</v>
      </c>
      <c r="D183" s="34">
        <v>0.27800000000000002</v>
      </c>
      <c r="E183" s="34">
        <v>53</v>
      </c>
      <c r="F183" s="33">
        <v>103</v>
      </c>
      <c r="G183" s="34">
        <v>97</v>
      </c>
      <c r="H183" s="34">
        <v>10</v>
      </c>
      <c r="I183" s="34">
        <v>27</v>
      </c>
      <c r="J183" s="34">
        <v>6</v>
      </c>
      <c r="K183" s="34">
        <v>0</v>
      </c>
      <c r="L183" s="34">
        <v>3</v>
      </c>
      <c r="M183" s="34">
        <v>42</v>
      </c>
      <c r="N183" s="34">
        <v>9</v>
      </c>
      <c r="O183" s="34">
        <v>7</v>
      </c>
      <c r="P183" s="34">
        <v>0</v>
      </c>
      <c r="Q183" s="34">
        <v>0</v>
      </c>
      <c r="R183" s="34">
        <v>1</v>
      </c>
      <c r="S183" s="34">
        <v>5</v>
      </c>
      <c r="T183" s="34">
        <v>1</v>
      </c>
      <c r="U183" s="34">
        <v>0</v>
      </c>
      <c r="V183" s="34">
        <v>19</v>
      </c>
      <c r="W183" s="34">
        <v>2</v>
      </c>
      <c r="X183" s="34">
        <v>0.311</v>
      </c>
      <c r="Y183" s="34">
        <v>0.433</v>
      </c>
      <c r="Z183" s="22">
        <f>X183+Y183</f>
        <v>0.74399999999999999</v>
      </c>
      <c r="AA183" s="22">
        <f>(0.692*(S183+T183)+0.73*U183+0.865*(I183-(J183+K183+L183))+1.334+J183+1.725*K183+2.065*L183)/(G183+S183-T183+U183+R183)</f>
        <v>0.32599019607843144</v>
      </c>
      <c r="AB183" s="22">
        <f>((AA183-$AA$2000)/1.24+$H$2000/$F$2000)*F183</f>
        <v>12.938634031642124</v>
      </c>
      <c r="AC183" s="22">
        <f>(AB183/F183)/($AB$2000/$F$2000)*100</f>
        <v>120.32359703555673</v>
      </c>
      <c r="AD183" s="22"/>
    </row>
    <row r="184" spans="1:30" ht="15.75" customHeight="1" x14ac:dyDescent="0.15">
      <c r="A184" s="30">
        <v>182</v>
      </c>
      <c r="B184" s="31" t="s">
        <v>3243</v>
      </c>
      <c r="C184" s="37" t="s">
        <v>2647</v>
      </c>
      <c r="D184" s="30">
        <v>0.16700000000000001</v>
      </c>
      <c r="E184" s="30">
        <v>35</v>
      </c>
      <c r="F184" s="33">
        <v>103</v>
      </c>
      <c r="G184" s="30">
        <v>96</v>
      </c>
      <c r="H184" s="30">
        <v>8</v>
      </c>
      <c r="I184" s="30">
        <v>16</v>
      </c>
      <c r="J184" s="30">
        <v>3</v>
      </c>
      <c r="K184" s="30">
        <v>0</v>
      </c>
      <c r="L184" s="30">
        <v>2</v>
      </c>
      <c r="M184" s="30">
        <v>25</v>
      </c>
      <c r="N184" s="30">
        <v>9</v>
      </c>
      <c r="O184" s="30">
        <v>1</v>
      </c>
      <c r="P184" s="30">
        <v>1</v>
      </c>
      <c r="Q184" s="30">
        <v>0</v>
      </c>
      <c r="R184" s="30">
        <v>1</v>
      </c>
      <c r="S184" s="30">
        <v>4</v>
      </c>
      <c r="T184" s="30">
        <v>0</v>
      </c>
      <c r="U184" s="30">
        <v>2</v>
      </c>
      <c r="V184" s="30">
        <v>20</v>
      </c>
      <c r="W184" s="30">
        <v>3</v>
      </c>
      <c r="X184" s="30">
        <v>0.214</v>
      </c>
      <c r="Y184" s="30">
        <v>0.26</v>
      </c>
      <c r="Z184" s="22">
        <f>X184+Y184</f>
        <v>0.47399999999999998</v>
      </c>
      <c r="AA184" s="22">
        <f>(0.692*(S184+T184)+0.73*U184+0.865*(I184-(J184+K184+L184))+1.334+J184+1.725*K184+2.065*L184)/(G184+S184-T184+U184+R184)</f>
        <v>0.2156019417475728</v>
      </c>
      <c r="AB184" s="22">
        <f>((AA184-$AA$2000)/1.24+$H$2000/$F$2000)*F184</f>
        <v>3.7692870993208003</v>
      </c>
      <c r="AC184" s="22">
        <f>(AB184/F184)/($AB$2000/$F$2000)*100</f>
        <v>35.052709655505851</v>
      </c>
      <c r="AD184" s="22"/>
    </row>
    <row r="185" spans="1:30" ht="15.75" customHeight="1" x14ac:dyDescent="0.15">
      <c r="A185" s="34">
        <v>184</v>
      </c>
      <c r="B185" s="35" t="s">
        <v>3246</v>
      </c>
      <c r="C185" s="43" t="s">
        <v>2649</v>
      </c>
      <c r="D185" s="34">
        <v>0.223</v>
      </c>
      <c r="E185" s="34">
        <v>37</v>
      </c>
      <c r="F185" s="33">
        <v>101</v>
      </c>
      <c r="G185" s="34">
        <v>94</v>
      </c>
      <c r="H185" s="34">
        <v>8</v>
      </c>
      <c r="I185" s="34">
        <v>21</v>
      </c>
      <c r="J185" s="34">
        <v>2</v>
      </c>
      <c r="K185" s="34">
        <v>0</v>
      </c>
      <c r="L185" s="34">
        <v>2</v>
      </c>
      <c r="M185" s="34">
        <v>29</v>
      </c>
      <c r="N185" s="34">
        <v>9</v>
      </c>
      <c r="O185" s="34">
        <v>1</v>
      </c>
      <c r="P185" s="34">
        <v>0</v>
      </c>
      <c r="Q185" s="34">
        <v>0</v>
      </c>
      <c r="R185" s="34">
        <v>1</v>
      </c>
      <c r="S185" s="34">
        <v>6</v>
      </c>
      <c r="T185" s="34">
        <v>0</v>
      </c>
      <c r="U185" s="34">
        <v>0</v>
      </c>
      <c r="V185" s="34">
        <v>34</v>
      </c>
      <c r="W185" s="34">
        <v>2</v>
      </c>
      <c r="X185" s="34">
        <v>0.26700000000000002</v>
      </c>
      <c r="Y185" s="34">
        <v>0.309</v>
      </c>
      <c r="Z185" s="22">
        <f>X185+Y185</f>
        <v>0.57600000000000007</v>
      </c>
      <c r="AA185" s="22">
        <f>(0.692*(S185+T185)+0.73*U185+0.865*(I185-(J185+K185+L185))+1.334+J185+1.725*K185+2.065*L185)/(G185+S185-T185+U185+R185)</f>
        <v>0.26060396039603956</v>
      </c>
      <c r="AB185" s="22">
        <f>((AA185-$AA$2000)/1.24+$H$2000/$F$2000)*F185</f>
        <v>7.3615840613759538</v>
      </c>
      <c r="AC185" s="22">
        <f>(AB185/F185)/($AB$2000/$F$2000)*100</f>
        <v>69.815122443979831</v>
      </c>
      <c r="AD185" s="22"/>
    </row>
    <row r="186" spans="1:30" ht="15.75" customHeight="1" x14ac:dyDescent="0.15">
      <c r="A186" s="30">
        <v>185</v>
      </c>
      <c r="B186" s="31" t="s">
        <v>3244</v>
      </c>
      <c r="C186" s="49" t="s">
        <v>2655</v>
      </c>
      <c r="D186" s="30">
        <v>0.22600000000000001</v>
      </c>
      <c r="E186" s="30">
        <v>32</v>
      </c>
      <c r="F186" s="33">
        <v>100</v>
      </c>
      <c r="G186" s="30">
        <v>84</v>
      </c>
      <c r="H186" s="30">
        <v>10</v>
      </c>
      <c r="I186" s="30">
        <v>19</v>
      </c>
      <c r="J186" s="30">
        <v>6</v>
      </c>
      <c r="K186" s="30">
        <v>0</v>
      </c>
      <c r="L186" s="30">
        <v>1</v>
      </c>
      <c r="M186" s="30">
        <v>28</v>
      </c>
      <c r="N186" s="30">
        <v>11</v>
      </c>
      <c r="O186" s="30">
        <v>0</v>
      </c>
      <c r="P186" s="30">
        <v>0</v>
      </c>
      <c r="Q186" s="30">
        <v>2</v>
      </c>
      <c r="R186" s="30">
        <v>2</v>
      </c>
      <c r="S186" s="30">
        <v>12</v>
      </c>
      <c r="T186" s="30">
        <v>1</v>
      </c>
      <c r="U186" s="30">
        <v>0</v>
      </c>
      <c r="V186" s="30">
        <v>31</v>
      </c>
      <c r="W186" s="30">
        <v>1</v>
      </c>
      <c r="X186" s="30">
        <v>0.316</v>
      </c>
      <c r="Y186" s="30">
        <v>0.33300000000000002</v>
      </c>
      <c r="Z186" s="22">
        <f>X186+Y186</f>
        <v>0.64900000000000002</v>
      </c>
      <c r="AA186" s="22">
        <f>(0.692*(S186+T186)+0.73*U186+0.865*(I186-(J186+K186+L186))+1.334+J186+1.725*K186+2.065*L186)/(G186+S186-T186+U186+R186)</f>
        <v>0.29664948453608248</v>
      </c>
      <c r="AB186" s="22">
        <f>((AA186-$AA$2000)/1.24+$H$2000/$F$2000)*F186</f>
        <v>10.195594198539219</v>
      </c>
      <c r="AC186" s="22">
        <f>(AB186/F186)/($AB$2000/$F$2000)*100</f>
        <v>97.658970941557556</v>
      </c>
      <c r="AD186" s="22"/>
    </row>
    <row r="187" spans="1:30" ht="15.75" customHeight="1" x14ac:dyDescent="0.15">
      <c r="A187" s="34">
        <v>186</v>
      </c>
      <c r="B187" s="35" t="s">
        <v>3245</v>
      </c>
      <c r="C187" s="48" t="s">
        <v>2647</v>
      </c>
      <c r="D187" s="34">
        <v>0.27</v>
      </c>
      <c r="E187" s="34">
        <v>36</v>
      </c>
      <c r="F187" s="33">
        <v>98</v>
      </c>
      <c r="G187" s="34">
        <v>89</v>
      </c>
      <c r="H187" s="34">
        <v>7</v>
      </c>
      <c r="I187" s="34">
        <v>24</v>
      </c>
      <c r="J187" s="34">
        <v>6</v>
      </c>
      <c r="K187" s="34">
        <v>2</v>
      </c>
      <c r="L187" s="34">
        <v>0</v>
      </c>
      <c r="M187" s="34">
        <v>34</v>
      </c>
      <c r="N187" s="34">
        <v>8</v>
      </c>
      <c r="O187" s="34">
        <v>0</v>
      </c>
      <c r="P187" s="34">
        <v>0</v>
      </c>
      <c r="Q187" s="34">
        <v>4</v>
      </c>
      <c r="R187" s="34">
        <v>1</v>
      </c>
      <c r="S187" s="34">
        <v>4</v>
      </c>
      <c r="T187" s="34">
        <v>0</v>
      </c>
      <c r="U187" s="34">
        <v>0</v>
      </c>
      <c r="V187" s="34">
        <v>16</v>
      </c>
      <c r="W187" s="34">
        <v>1</v>
      </c>
      <c r="X187" s="34">
        <v>0.29799999999999999</v>
      </c>
      <c r="Y187" s="34">
        <v>0.38200000000000001</v>
      </c>
      <c r="Z187" s="22">
        <f>X187+Y187</f>
        <v>0.67999999999999994</v>
      </c>
      <c r="AA187" s="22">
        <f>(0.692*(S187+T187)+0.73*U187+0.865*(I187-(J187+K187+L187))+1.334+J187+1.725*K187+2.065*L187)/(G187+S187-T187+U187+R187)</f>
        <v>0.29140425531914893</v>
      </c>
      <c r="AB187" s="22">
        <f>((AA187-$AA$2000)/1.24+$H$2000/$F$2000)*F187</f>
        <v>9.5771400054882001</v>
      </c>
      <c r="AC187" s="22">
        <f>(AB187/F187)/($AB$2000/$F$2000)*100</f>
        <v>93.607223293667957</v>
      </c>
      <c r="AD187" s="22"/>
    </row>
    <row r="188" spans="1:30" ht="15.75" customHeight="1" x14ac:dyDescent="0.15">
      <c r="A188" s="30">
        <v>187</v>
      </c>
      <c r="B188" s="31" t="s">
        <v>3247</v>
      </c>
      <c r="C188" s="46" t="s">
        <v>2648</v>
      </c>
      <c r="D188" s="30">
        <v>0.14599999999999999</v>
      </c>
      <c r="E188" s="30">
        <v>59</v>
      </c>
      <c r="F188" s="33">
        <v>95</v>
      </c>
      <c r="G188" s="30">
        <v>89</v>
      </c>
      <c r="H188" s="30">
        <v>11</v>
      </c>
      <c r="I188" s="30">
        <v>13</v>
      </c>
      <c r="J188" s="30">
        <v>1</v>
      </c>
      <c r="K188" s="30">
        <v>1</v>
      </c>
      <c r="L188" s="30">
        <v>1</v>
      </c>
      <c r="M188" s="30">
        <v>19</v>
      </c>
      <c r="N188" s="30">
        <v>5</v>
      </c>
      <c r="O188" s="30">
        <v>2</v>
      </c>
      <c r="P188" s="30">
        <v>1</v>
      </c>
      <c r="Q188" s="30">
        <v>1</v>
      </c>
      <c r="R188" s="30">
        <v>1</v>
      </c>
      <c r="S188" s="30">
        <v>4</v>
      </c>
      <c r="T188" s="30">
        <v>0</v>
      </c>
      <c r="U188" s="30">
        <v>0</v>
      </c>
      <c r="V188" s="30">
        <v>35</v>
      </c>
      <c r="W188" s="30">
        <v>1</v>
      </c>
      <c r="X188" s="30">
        <v>0.18099999999999999</v>
      </c>
      <c r="Y188" s="30">
        <v>0.21299999999999999</v>
      </c>
      <c r="Z188" s="22">
        <f>X188+Y188</f>
        <v>0.39400000000000002</v>
      </c>
      <c r="AA188" s="22">
        <f>(0.692*(S188+T188)+0.73*U188+0.865*(I188-(J188+K188+L188))+1.334+J188+1.725*K188+2.065*L188)/(G188+S188-T188+U188+R188)</f>
        <v>0.18661702127659571</v>
      </c>
      <c r="AB188" s="22">
        <f>((AA188-$AA$2000)/1.24+$H$2000/$F$2000)*F188</f>
        <v>1.2559080292160933</v>
      </c>
      <c r="AC188" s="22">
        <f>(AB188/F188)/($AB$2000/$F$2000)*100</f>
        <v>12.662919145796703</v>
      </c>
      <c r="AD188" s="22"/>
    </row>
    <row r="189" spans="1:30" ht="15.75" customHeight="1" x14ac:dyDescent="0.15">
      <c r="A189" s="34">
        <v>188</v>
      </c>
      <c r="B189" s="35" t="s">
        <v>3248</v>
      </c>
      <c r="C189" s="56" t="s">
        <v>2653</v>
      </c>
      <c r="D189" s="34">
        <v>0.222</v>
      </c>
      <c r="E189" s="34">
        <v>86</v>
      </c>
      <c r="F189" s="33">
        <v>94</v>
      </c>
      <c r="G189" s="34">
        <v>90</v>
      </c>
      <c r="H189" s="34">
        <v>8</v>
      </c>
      <c r="I189" s="34">
        <v>20</v>
      </c>
      <c r="J189" s="34">
        <v>5</v>
      </c>
      <c r="K189" s="34">
        <v>1</v>
      </c>
      <c r="L189" s="34">
        <v>0</v>
      </c>
      <c r="M189" s="34">
        <v>27</v>
      </c>
      <c r="N189" s="34">
        <v>1</v>
      </c>
      <c r="O189" s="34">
        <v>4</v>
      </c>
      <c r="P189" s="34">
        <v>0</v>
      </c>
      <c r="Q189" s="34">
        <v>2</v>
      </c>
      <c r="R189" s="34">
        <v>0</v>
      </c>
      <c r="S189" s="34">
        <v>2</v>
      </c>
      <c r="T189" s="34">
        <v>0</v>
      </c>
      <c r="U189" s="34">
        <v>0</v>
      </c>
      <c r="V189" s="34">
        <v>22</v>
      </c>
      <c r="W189" s="34">
        <v>1</v>
      </c>
      <c r="X189" s="34">
        <v>0.23899999999999999</v>
      </c>
      <c r="Y189" s="34">
        <v>0.3</v>
      </c>
      <c r="Z189" s="22">
        <f>X189+Y189</f>
        <v>0.53899999999999992</v>
      </c>
      <c r="AA189" s="22">
        <f>(0.692*(S189+T189)+0.73*U189+0.865*(I189-(J189+K189+L189))+1.334+J189+1.725*K189+2.065*L189)/(G189+S189-T189+U189+R189)</f>
        <v>0.23427173913043478</v>
      </c>
      <c r="AB189" s="22">
        <f>((AA189-$AA$2000)/1.24+$H$2000/$F$2000)*F189</f>
        <v>4.8552230078116363</v>
      </c>
      <c r="AC189" s="22">
        <f>(AB189/F189)/($AB$2000/$F$2000)*100</f>
        <v>49.474445008533877</v>
      </c>
      <c r="AD189" s="22"/>
    </row>
    <row r="190" spans="1:30" ht="15.75" customHeight="1" x14ac:dyDescent="0.15">
      <c r="A190" s="30">
        <v>189</v>
      </c>
      <c r="B190" s="31" t="s">
        <v>3249</v>
      </c>
      <c r="C190" s="54" t="s">
        <v>2650</v>
      </c>
      <c r="D190" s="30">
        <v>0.19500000000000001</v>
      </c>
      <c r="E190" s="30">
        <v>33</v>
      </c>
      <c r="F190" s="33">
        <v>92</v>
      </c>
      <c r="G190" s="30">
        <v>82</v>
      </c>
      <c r="H190" s="30">
        <v>5</v>
      </c>
      <c r="I190" s="30">
        <v>16</v>
      </c>
      <c r="J190" s="30">
        <v>6</v>
      </c>
      <c r="K190" s="30">
        <v>0</v>
      </c>
      <c r="L190" s="30">
        <v>0</v>
      </c>
      <c r="M190" s="30">
        <v>22</v>
      </c>
      <c r="N190" s="30">
        <v>4</v>
      </c>
      <c r="O190" s="30">
        <v>1</v>
      </c>
      <c r="P190" s="30">
        <v>1</v>
      </c>
      <c r="Q190" s="30">
        <v>4</v>
      </c>
      <c r="R190" s="30">
        <v>1</v>
      </c>
      <c r="S190" s="30">
        <v>5</v>
      </c>
      <c r="T190" s="30">
        <v>2</v>
      </c>
      <c r="U190" s="30">
        <v>0</v>
      </c>
      <c r="V190" s="30">
        <v>20</v>
      </c>
      <c r="W190" s="30">
        <v>0</v>
      </c>
      <c r="X190" s="30">
        <v>0.23899999999999999</v>
      </c>
      <c r="Y190" s="30">
        <v>0.26800000000000002</v>
      </c>
      <c r="Z190" s="22">
        <f>X190+Y190</f>
        <v>0.50700000000000001</v>
      </c>
      <c r="AA190" s="22">
        <f>(0.692*(S190+T190)+0.73*U190+0.865*(I190-(J190+K190+L190))+1.334+J190+1.725*K190+2.065*L190)/(G190+S190-T190+U190+R190)</f>
        <v>0.24218604651162789</v>
      </c>
      <c r="AB190" s="22">
        <f>((AA190-$AA$2000)/1.24+$H$2000/$F$2000)*F190</f>
        <v>5.3391109382610633</v>
      </c>
      <c r="AC190" s="22">
        <f>(AB190/F190)/($AB$2000/$F$2000)*100</f>
        <v>55.587957877123273</v>
      </c>
      <c r="AD190" s="22"/>
    </row>
    <row r="191" spans="1:30" ht="15.75" customHeight="1" x14ac:dyDescent="0.15">
      <c r="A191" s="34">
        <v>190</v>
      </c>
      <c r="B191" s="35" t="s">
        <v>3250</v>
      </c>
      <c r="C191" s="56" t="s">
        <v>2653</v>
      </c>
      <c r="D191" s="34">
        <v>0.20899999999999999</v>
      </c>
      <c r="E191" s="34">
        <v>41</v>
      </c>
      <c r="F191" s="33">
        <v>90</v>
      </c>
      <c r="G191" s="34">
        <v>86</v>
      </c>
      <c r="H191" s="34">
        <v>9</v>
      </c>
      <c r="I191" s="34">
        <v>18</v>
      </c>
      <c r="J191" s="34">
        <v>2</v>
      </c>
      <c r="K191" s="34">
        <v>1</v>
      </c>
      <c r="L191" s="34">
        <v>1</v>
      </c>
      <c r="M191" s="34">
        <v>25</v>
      </c>
      <c r="N191" s="34">
        <v>9</v>
      </c>
      <c r="O191" s="34">
        <v>3</v>
      </c>
      <c r="P191" s="34">
        <v>0</v>
      </c>
      <c r="Q191" s="34">
        <v>2</v>
      </c>
      <c r="R191" s="34">
        <v>0</v>
      </c>
      <c r="S191" s="34">
        <v>1</v>
      </c>
      <c r="T191" s="34">
        <v>0</v>
      </c>
      <c r="U191" s="34">
        <v>1</v>
      </c>
      <c r="V191" s="34">
        <v>20</v>
      </c>
      <c r="W191" s="34">
        <v>3</v>
      </c>
      <c r="X191" s="34">
        <v>0.22700000000000001</v>
      </c>
      <c r="Y191" s="34">
        <v>0.29099999999999998</v>
      </c>
      <c r="Z191" s="22">
        <f>X191+Y191</f>
        <v>0.51800000000000002</v>
      </c>
      <c r="AA191" s="22">
        <f>(0.692*(S191+T191)+0.73*U191+0.865*(I191-(J191+K191+L191))+1.334+J191+1.725*K191+2.065*L191)/(G191+S191-T191+U191+R191)</f>
        <v>0.23472727272727276</v>
      </c>
      <c r="AB191" s="22">
        <f>((AA191-$AA$2000)/1.24+$H$2000/$F$2000)*F191</f>
        <v>4.6816806957878168</v>
      </c>
      <c r="AC191" s="22">
        <f>(AB191/F191)/($AB$2000/$F$2000)*100</f>
        <v>49.826328044181643</v>
      </c>
      <c r="AD191" s="22"/>
    </row>
    <row r="192" spans="1:30" ht="15.75" customHeight="1" x14ac:dyDescent="0.15">
      <c r="A192" s="30">
        <v>191</v>
      </c>
      <c r="B192" s="31" t="s">
        <v>3251</v>
      </c>
      <c r="C192" s="37" t="s">
        <v>2647</v>
      </c>
      <c r="D192" s="30">
        <v>0.2</v>
      </c>
      <c r="E192" s="30">
        <v>29</v>
      </c>
      <c r="F192" s="33">
        <v>88</v>
      </c>
      <c r="G192" s="30">
        <v>80</v>
      </c>
      <c r="H192" s="30">
        <v>7</v>
      </c>
      <c r="I192" s="30">
        <v>16</v>
      </c>
      <c r="J192" s="30">
        <v>1</v>
      </c>
      <c r="K192" s="30">
        <v>0</v>
      </c>
      <c r="L192" s="30">
        <v>1</v>
      </c>
      <c r="M192" s="30">
        <v>20</v>
      </c>
      <c r="N192" s="30">
        <v>6</v>
      </c>
      <c r="O192" s="30">
        <v>0</v>
      </c>
      <c r="P192" s="30">
        <v>0</v>
      </c>
      <c r="Q192" s="30">
        <v>2</v>
      </c>
      <c r="R192" s="30">
        <v>0</v>
      </c>
      <c r="S192" s="30">
        <v>6</v>
      </c>
      <c r="T192" s="30">
        <v>0</v>
      </c>
      <c r="U192" s="30">
        <v>0</v>
      </c>
      <c r="V192" s="30">
        <v>14</v>
      </c>
      <c r="W192" s="30">
        <v>3</v>
      </c>
      <c r="X192" s="30">
        <v>0.25600000000000001</v>
      </c>
      <c r="Y192" s="30">
        <v>0.25</v>
      </c>
      <c r="Z192" s="22">
        <f>X192+Y192</f>
        <v>0.50600000000000001</v>
      </c>
      <c r="AA192" s="22">
        <f>(0.692*(S192+T192)+0.73*U192+0.865*(I192-(J192+K192+L192))+1.334+J192+1.725*K192+2.065*L192)/(G192+S192-T192+U192+R192)</f>
        <v>0.24024418604651165</v>
      </c>
      <c r="AB192" s="22">
        <f>((AA192-$AA$2000)/1.24+$H$2000/$F$2000)*F192</f>
        <v>4.9691662277127113</v>
      </c>
      <c r="AC192" s="22">
        <f>(AB192/F192)/($AB$2000/$F$2000)*100</f>
        <v>54.087941720219412</v>
      </c>
      <c r="AD192" s="22"/>
    </row>
    <row r="193" spans="1:30" ht="15.75" customHeight="1" x14ac:dyDescent="0.15">
      <c r="A193" s="34">
        <v>192</v>
      </c>
      <c r="B193" s="35" t="s">
        <v>3252</v>
      </c>
      <c r="C193" s="43" t="s">
        <v>2649</v>
      </c>
      <c r="D193" s="34">
        <v>0.17499999999999999</v>
      </c>
      <c r="E193" s="34">
        <v>38</v>
      </c>
      <c r="F193" s="33">
        <v>87</v>
      </c>
      <c r="G193" s="34">
        <v>80</v>
      </c>
      <c r="H193" s="34">
        <v>5</v>
      </c>
      <c r="I193" s="34">
        <v>14</v>
      </c>
      <c r="J193" s="34">
        <v>3</v>
      </c>
      <c r="K193" s="34">
        <v>0</v>
      </c>
      <c r="L193" s="34">
        <v>2</v>
      </c>
      <c r="M193" s="34">
        <v>23</v>
      </c>
      <c r="N193" s="34">
        <v>5</v>
      </c>
      <c r="O193" s="34">
        <v>1</v>
      </c>
      <c r="P193" s="34">
        <v>0</v>
      </c>
      <c r="Q193" s="34">
        <v>0</v>
      </c>
      <c r="R193" s="34">
        <v>1</v>
      </c>
      <c r="S193" s="34">
        <v>6</v>
      </c>
      <c r="T193" s="34">
        <v>2</v>
      </c>
      <c r="U193" s="34">
        <v>0</v>
      </c>
      <c r="V193" s="34">
        <v>29</v>
      </c>
      <c r="W193" s="34">
        <v>1</v>
      </c>
      <c r="X193" s="34">
        <v>0.23</v>
      </c>
      <c r="Y193" s="34">
        <v>0.28799999999999998</v>
      </c>
      <c r="Z193" s="22">
        <f>X193+Y193</f>
        <v>0.51800000000000002</v>
      </c>
      <c r="AA193" s="22">
        <f>(0.692*(S193+T193)+0.73*U193+0.865*(I193-(J193+K193+L193))+1.334+J193+1.725*K193+2.065*L193)/(G193+S193-T193+U193+R193)</f>
        <v>0.25629411764705884</v>
      </c>
      <c r="AB193" s="22">
        <f>((AA193-$AA$2000)/1.24+$H$2000/$F$2000)*F193</f>
        <v>6.0387823403540741</v>
      </c>
      <c r="AC193" s="22">
        <f>(AB193/F193)/($AB$2000/$F$2000)*100</f>
        <v>66.485926616925894</v>
      </c>
      <c r="AD193" s="22"/>
    </row>
    <row r="194" spans="1:30" ht="15.75" customHeight="1" x14ac:dyDescent="0.15">
      <c r="A194" s="30">
        <v>193</v>
      </c>
      <c r="B194" s="31" t="s">
        <v>3254</v>
      </c>
      <c r="C194" s="32" t="s">
        <v>2645</v>
      </c>
      <c r="D194" s="30">
        <v>0.219</v>
      </c>
      <c r="E194" s="30">
        <v>27</v>
      </c>
      <c r="F194" s="33">
        <v>83</v>
      </c>
      <c r="G194" s="30">
        <v>73</v>
      </c>
      <c r="H194" s="30">
        <v>3</v>
      </c>
      <c r="I194" s="30">
        <v>16</v>
      </c>
      <c r="J194" s="30">
        <v>2</v>
      </c>
      <c r="K194" s="30">
        <v>0</v>
      </c>
      <c r="L194" s="30">
        <v>1</v>
      </c>
      <c r="M194" s="30">
        <v>21</v>
      </c>
      <c r="N194" s="30">
        <v>4</v>
      </c>
      <c r="O194" s="30">
        <v>2</v>
      </c>
      <c r="P194" s="30">
        <v>0</v>
      </c>
      <c r="Q194" s="30">
        <v>2</v>
      </c>
      <c r="R194" s="30">
        <v>1</v>
      </c>
      <c r="S194" s="30">
        <v>4</v>
      </c>
      <c r="T194" s="30">
        <v>0</v>
      </c>
      <c r="U194" s="30">
        <v>3</v>
      </c>
      <c r="V194" s="30">
        <v>22</v>
      </c>
      <c r="W194" s="30">
        <v>2</v>
      </c>
      <c r="X194" s="30">
        <v>0.28399999999999997</v>
      </c>
      <c r="Y194" s="30">
        <v>0.28799999999999998</v>
      </c>
      <c r="Z194" s="22">
        <f>X194+Y194</f>
        <v>0.57199999999999995</v>
      </c>
      <c r="AA194" s="22">
        <f>(0.692*(S194+T194)+0.73*U194+0.865*(I194-(J194+K194+L194))+1.334+J194+1.725*K194+2.065*L194)/(G194+S194-T194+U194+R194)</f>
        <v>0.26669135802469135</v>
      </c>
      <c r="AB194" s="22">
        <f>((AA194-$AA$2000)/1.24+$H$2000/$F$2000)*F194</f>
        <v>6.4570814908799186</v>
      </c>
      <c r="AC194" s="22">
        <f>(AB194/F194)/($AB$2000/$F$2000)*100</f>
        <v>74.51741437509925</v>
      </c>
      <c r="AD194" s="22"/>
    </row>
    <row r="195" spans="1:30" ht="15.75" customHeight="1" x14ac:dyDescent="0.15">
      <c r="A195" s="34">
        <v>194</v>
      </c>
      <c r="B195" s="35" t="s">
        <v>3253</v>
      </c>
      <c r="C195" s="43" t="s">
        <v>2649</v>
      </c>
      <c r="D195" s="34">
        <v>0.24399999999999999</v>
      </c>
      <c r="E195" s="34">
        <v>38</v>
      </c>
      <c r="F195" s="33">
        <v>82</v>
      </c>
      <c r="G195" s="34">
        <v>78</v>
      </c>
      <c r="H195" s="34">
        <v>13</v>
      </c>
      <c r="I195" s="34">
        <v>19</v>
      </c>
      <c r="J195" s="34">
        <v>2</v>
      </c>
      <c r="K195" s="34">
        <v>0</v>
      </c>
      <c r="L195" s="34">
        <v>1</v>
      </c>
      <c r="M195" s="34">
        <v>24</v>
      </c>
      <c r="N195" s="34">
        <v>3</v>
      </c>
      <c r="O195" s="34">
        <v>13</v>
      </c>
      <c r="P195" s="34">
        <v>2</v>
      </c>
      <c r="Q195" s="34">
        <v>3</v>
      </c>
      <c r="R195" s="34">
        <v>0</v>
      </c>
      <c r="S195" s="34">
        <v>1</v>
      </c>
      <c r="T195" s="34">
        <v>0</v>
      </c>
      <c r="U195" s="34">
        <v>0</v>
      </c>
      <c r="V195" s="34">
        <v>11</v>
      </c>
      <c r="W195" s="34">
        <v>1</v>
      </c>
      <c r="X195" s="34">
        <v>0.253</v>
      </c>
      <c r="Y195" s="34">
        <v>0.308</v>
      </c>
      <c r="Z195" s="22">
        <f>X195+Y195</f>
        <v>0.56099999999999994</v>
      </c>
      <c r="AA195" s="22">
        <f>(0.692*(S195+T195)+0.73*U195+0.865*(I195-(J195+K195+L195))+1.334+J195+1.725*K195+2.065*L195)/(G195+S195-T195+U195+R195)</f>
        <v>0.25229113924050633</v>
      </c>
      <c r="AB195" s="22">
        <f>((AA195-$AA$2000)/1.24+$H$2000/$F$2000)*F195</f>
        <v>5.4270127958366396</v>
      </c>
      <c r="AC195" s="22">
        <f>(AB195/F195)/($AB$2000/$F$2000)*100</f>
        <v>63.393772266275064</v>
      </c>
      <c r="AD195" s="22"/>
    </row>
    <row r="196" spans="1:30" ht="15.75" customHeight="1" x14ac:dyDescent="0.15">
      <c r="A196" s="30">
        <v>195</v>
      </c>
      <c r="B196" s="31" t="s">
        <v>3255</v>
      </c>
      <c r="C196" s="39" t="s">
        <v>2649</v>
      </c>
      <c r="D196" s="30">
        <v>0.29199999999999998</v>
      </c>
      <c r="E196" s="30">
        <v>49</v>
      </c>
      <c r="F196" s="33">
        <v>80</v>
      </c>
      <c r="G196" s="30">
        <v>72</v>
      </c>
      <c r="H196" s="30">
        <v>5</v>
      </c>
      <c r="I196" s="30">
        <v>21</v>
      </c>
      <c r="J196" s="30">
        <v>5</v>
      </c>
      <c r="K196" s="30">
        <v>0</v>
      </c>
      <c r="L196" s="30">
        <v>1</v>
      </c>
      <c r="M196" s="30">
        <v>29</v>
      </c>
      <c r="N196" s="30">
        <v>8</v>
      </c>
      <c r="O196" s="30">
        <v>1</v>
      </c>
      <c r="P196" s="30">
        <v>0</v>
      </c>
      <c r="Q196" s="30">
        <v>1</v>
      </c>
      <c r="R196" s="30">
        <v>1</v>
      </c>
      <c r="S196" s="30">
        <v>4</v>
      </c>
      <c r="T196" s="30">
        <v>0</v>
      </c>
      <c r="U196" s="30">
        <v>2</v>
      </c>
      <c r="V196" s="30">
        <v>16</v>
      </c>
      <c r="W196" s="30">
        <v>1</v>
      </c>
      <c r="X196" s="30">
        <v>0.34200000000000003</v>
      </c>
      <c r="Y196" s="30">
        <v>0.40300000000000002</v>
      </c>
      <c r="Z196" s="22">
        <f>X196+Y196</f>
        <v>0.74500000000000011</v>
      </c>
      <c r="AA196" s="22">
        <f>(0.692*(S196+T196)+0.73*U196+0.865*(I196-(J196+K196+L196))+1.334+J196+1.725*K196+2.065*L196)/(G196+S196-T196+U196+R196)</f>
        <v>0.32407594936708861</v>
      </c>
      <c r="AB196" s="22">
        <f>((AA196-$AA$2000)/1.24+$H$2000/$F$2000)*F196</f>
        <v>9.9259247027672544</v>
      </c>
      <c r="AC196" s="22">
        <f>(AB196/F196)/($AB$2000/$F$2000)*100</f>
        <v>118.84491149305951</v>
      </c>
      <c r="AD196" s="22"/>
    </row>
    <row r="197" spans="1:30" ht="15.75" customHeight="1" x14ac:dyDescent="0.15">
      <c r="A197" s="34">
        <v>195</v>
      </c>
      <c r="B197" s="35" t="s">
        <v>3256</v>
      </c>
      <c r="C197" s="45" t="s">
        <v>2651</v>
      </c>
      <c r="D197" s="34">
        <v>0.17399999999999999</v>
      </c>
      <c r="E197" s="34">
        <v>33</v>
      </c>
      <c r="F197" s="33">
        <v>80</v>
      </c>
      <c r="G197" s="34">
        <v>69</v>
      </c>
      <c r="H197" s="34">
        <v>3</v>
      </c>
      <c r="I197" s="34">
        <v>12</v>
      </c>
      <c r="J197" s="34">
        <v>1</v>
      </c>
      <c r="K197" s="34">
        <v>0</v>
      </c>
      <c r="L197" s="34">
        <v>1</v>
      </c>
      <c r="M197" s="34">
        <v>16</v>
      </c>
      <c r="N197" s="34">
        <v>4</v>
      </c>
      <c r="O197" s="34">
        <v>0</v>
      </c>
      <c r="P197" s="34">
        <v>0</v>
      </c>
      <c r="Q197" s="34">
        <v>4</v>
      </c>
      <c r="R197" s="34">
        <v>0</v>
      </c>
      <c r="S197" s="34">
        <v>7</v>
      </c>
      <c r="T197" s="34">
        <v>0</v>
      </c>
      <c r="U197" s="34">
        <v>0</v>
      </c>
      <c r="V197" s="34">
        <v>18</v>
      </c>
      <c r="W197" s="34">
        <v>0</v>
      </c>
      <c r="X197" s="34">
        <v>0.25</v>
      </c>
      <c r="Y197" s="34">
        <v>0.23200000000000001</v>
      </c>
      <c r="Z197" s="22">
        <f>X197+Y197</f>
        <v>0.48199999999999998</v>
      </c>
      <c r="AA197" s="22">
        <f>(0.692*(S197+T197)+0.73*U197+0.865*(I197-(J197+K197+L197))+1.334+J197+1.725*K197+2.065*L197)/(G197+S197-T197+U197+R197)</f>
        <v>0.2354342105263158</v>
      </c>
      <c r="AB197" s="22">
        <f>((AA197-$AA$2000)/1.24+$H$2000/$F$2000)*F197</f>
        <v>4.2071028420722341</v>
      </c>
      <c r="AC197" s="22">
        <f>(AB197/F197)/($AB$2000/$F$2000)*100</f>
        <v>50.372411627188797</v>
      </c>
      <c r="AD197" s="22"/>
    </row>
    <row r="198" spans="1:30" ht="15.75" customHeight="1" x14ac:dyDescent="0.15">
      <c r="A198" s="30">
        <v>195</v>
      </c>
      <c r="B198" s="31" t="s">
        <v>3257</v>
      </c>
      <c r="C198" s="46" t="s">
        <v>2648</v>
      </c>
      <c r="D198" s="30">
        <v>0.16400000000000001</v>
      </c>
      <c r="E198" s="30">
        <v>24</v>
      </c>
      <c r="F198" s="33">
        <v>80</v>
      </c>
      <c r="G198" s="30">
        <v>73</v>
      </c>
      <c r="H198" s="30">
        <v>4</v>
      </c>
      <c r="I198" s="30">
        <v>12</v>
      </c>
      <c r="J198" s="30">
        <v>5</v>
      </c>
      <c r="K198" s="30">
        <v>0</v>
      </c>
      <c r="L198" s="30">
        <v>0</v>
      </c>
      <c r="M198" s="30">
        <v>17</v>
      </c>
      <c r="N198" s="30">
        <v>5</v>
      </c>
      <c r="O198" s="30">
        <v>0</v>
      </c>
      <c r="P198" s="30">
        <v>0</v>
      </c>
      <c r="Q198" s="30">
        <v>0</v>
      </c>
      <c r="R198" s="30">
        <v>2</v>
      </c>
      <c r="S198" s="30">
        <v>4</v>
      </c>
      <c r="T198" s="30">
        <v>0</v>
      </c>
      <c r="U198" s="30">
        <v>1</v>
      </c>
      <c r="V198" s="30">
        <v>25</v>
      </c>
      <c r="W198" s="30">
        <v>1</v>
      </c>
      <c r="X198" s="30">
        <v>0.21299999999999999</v>
      </c>
      <c r="Y198" s="30">
        <v>0.23300000000000001</v>
      </c>
      <c r="Z198" s="22">
        <f>X198+Y198</f>
        <v>0.44600000000000001</v>
      </c>
      <c r="AA198" s="22">
        <f>(0.692*(S198+T198)+0.73*U198+0.865*(I198-(J198+K198+L198))+1.334+J198+1.725*K198+2.065*L198)/(G198+S198-T198+U198+R198)</f>
        <v>0.19858749999999997</v>
      </c>
      <c r="AB198" s="22">
        <f>((AA198-$AA$2000)/1.24+$H$2000/$F$2000)*F198</f>
        <v>1.8298957113421799</v>
      </c>
      <c r="AC198" s="22">
        <f>(AB198/F198)/($AB$2000/$F$2000)*100</f>
        <v>21.909675961511262</v>
      </c>
      <c r="AD198" s="22"/>
    </row>
    <row r="199" spans="1:30" ht="15.75" customHeight="1" x14ac:dyDescent="0.15">
      <c r="A199" s="34">
        <v>198</v>
      </c>
      <c r="B199" s="35" t="s">
        <v>3258</v>
      </c>
      <c r="C199" s="45" t="s">
        <v>2651</v>
      </c>
      <c r="D199" s="34">
        <v>0.14699999999999999</v>
      </c>
      <c r="E199" s="34">
        <v>35</v>
      </c>
      <c r="F199" s="33">
        <v>77</v>
      </c>
      <c r="G199" s="34">
        <v>68</v>
      </c>
      <c r="H199" s="34">
        <v>6</v>
      </c>
      <c r="I199" s="34">
        <v>10</v>
      </c>
      <c r="J199" s="34">
        <v>2</v>
      </c>
      <c r="K199" s="34">
        <v>0</v>
      </c>
      <c r="L199" s="34">
        <v>0</v>
      </c>
      <c r="M199" s="34">
        <v>12</v>
      </c>
      <c r="N199" s="34">
        <v>2</v>
      </c>
      <c r="O199" s="34">
        <v>1</v>
      </c>
      <c r="P199" s="34">
        <v>0</v>
      </c>
      <c r="Q199" s="34">
        <v>3</v>
      </c>
      <c r="R199" s="34">
        <v>0</v>
      </c>
      <c r="S199" s="34">
        <v>5</v>
      </c>
      <c r="T199" s="34">
        <v>0</v>
      </c>
      <c r="U199" s="34">
        <v>1</v>
      </c>
      <c r="V199" s="34">
        <v>25</v>
      </c>
      <c r="W199" s="34">
        <v>0</v>
      </c>
      <c r="X199" s="34">
        <v>0.216</v>
      </c>
      <c r="Y199" s="34">
        <v>0.17599999999999999</v>
      </c>
      <c r="Z199" s="22">
        <f>X199+Y199</f>
        <v>0.39200000000000002</v>
      </c>
      <c r="AA199" s="22">
        <f>(0.692*(S199+T199)+0.73*U199+0.865*(I199-(J199+K199+L199))+1.334+J199+1.725*K199+2.065*L199)/(G199+S199-T199+U199+R199)</f>
        <v>0.19518918918918918</v>
      </c>
      <c r="AB199" s="22">
        <f>((AA199-$AA$2000)/1.24+$H$2000/$F$2000)*F199</f>
        <v>1.5502504831084365</v>
      </c>
      <c r="AC199" s="22">
        <f>(AB199/F199)/($AB$2000/$F$2000)*100</f>
        <v>19.284605203869525</v>
      </c>
      <c r="AD199" s="22"/>
    </row>
    <row r="200" spans="1:30" ht="15.75" customHeight="1" x14ac:dyDescent="0.15">
      <c r="A200" s="30">
        <v>198</v>
      </c>
      <c r="B200" s="31" t="s">
        <v>3259</v>
      </c>
      <c r="C200" s="55" t="s">
        <v>2652</v>
      </c>
      <c r="D200" s="30">
        <v>0.186</v>
      </c>
      <c r="E200" s="30">
        <v>27</v>
      </c>
      <c r="F200" s="33">
        <v>77</v>
      </c>
      <c r="G200" s="30">
        <v>70</v>
      </c>
      <c r="H200" s="30">
        <v>3</v>
      </c>
      <c r="I200" s="30">
        <v>13</v>
      </c>
      <c r="J200" s="30">
        <v>2</v>
      </c>
      <c r="K200" s="30">
        <v>1</v>
      </c>
      <c r="L200" s="30">
        <v>0</v>
      </c>
      <c r="M200" s="30">
        <v>17</v>
      </c>
      <c r="N200" s="30">
        <v>5</v>
      </c>
      <c r="O200" s="30">
        <v>0</v>
      </c>
      <c r="P200" s="30">
        <v>0</v>
      </c>
      <c r="Q200" s="30">
        <v>2</v>
      </c>
      <c r="R200" s="30">
        <v>1</v>
      </c>
      <c r="S200" s="30">
        <v>4</v>
      </c>
      <c r="T200" s="30">
        <v>0</v>
      </c>
      <c r="U200" s="30">
        <v>0</v>
      </c>
      <c r="V200" s="30">
        <v>5</v>
      </c>
      <c r="W200" s="30">
        <v>1</v>
      </c>
      <c r="X200" s="30">
        <v>0.22700000000000001</v>
      </c>
      <c r="Y200" s="30">
        <v>0.24299999999999999</v>
      </c>
      <c r="Z200" s="22">
        <f>X200+Y200</f>
        <v>0.47</v>
      </c>
      <c r="AA200" s="22">
        <f>(0.692*(S200+T200)+0.73*U200+0.865*(I200-(J200+K200+L200))+1.334+J200+1.725*K200+2.065*L200)/(G200+S200-T200+U200+R200)</f>
        <v>0.21969333333333332</v>
      </c>
      <c r="AB200" s="22">
        <f>((AA200-$AA$2000)/1.24+$H$2000/$F$2000)*F200</f>
        <v>3.0718787888335162</v>
      </c>
      <c r="AC200" s="22">
        <f>(AB200/F200)/($AB$2000/$F$2000)*100</f>
        <v>38.213159952069212</v>
      </c>
      <c r="AD200" s="22"/>
    </row>
    <row r="201" spans="1:30" ht="15.75" customHeight="1" x14ac:dyDescent="0.15">
      <c r="A201" s="34">
        <v>198</v>
      </c>
      <c r="B201" s="35" t="s">
        <v>3260</v>
      </c>
      <c r="C201" s="36" t="s">
        <v>2646</v>
      </c>
      <c r="D201" s="34">
        <v>0.19400000000000001</v>
      </c>
      <c r="E201" s="34">
        <v>25</v>
      </c>
      <c r="F201" s="33">
        <v>77</v>
      </c>
      <c r="G201" s="34">
        <v>62</v>
      </c>
      <c r="H201" s="34">
        <v>10</v>
      </c>
      <c r="I201" s="34">
        <v>12</v>
      </c>
      <c r="J201" s="34">
        <v>1</v>
      </c>
      <c r="K201" s="34">
        <v>2</v>
      </c>
      <c r="L201" s="34">
        <v>1</v>
      </c>
      <c r="M201" s="34">
        <v>20</v>
      </c>
      <c r="N201" s="34">
        <v>6</v>
      </c>
      <c r="O201" s="34">
        <v>2</v>
      </c>
      <c r="P201" s="34">
        <v>0</v>
      </c>
      <c r="Q201" s="34">
        <v>0</v>
      </c>
      <c r="R201" s="34">
        <v>0</v>
      </c>
      <c r="S201" s="34">
        <v>13</v>
      </c>
      <c r="T201" s="34">
        <v>0</v>
      </c>
      <c r="U201" s="34">
        <v>2</v>
      </c>
      <c r="V201" s="34">
        <v>21</v>
      </c>
      <c r="W201" s="34">
        <v>1</v>
      </c>
      <c r="X201" s="34">
        <v>0.35099999999999998</v>
      </c>
      <c r="Y201" s="34">
        <v>0.32300000000000001</v>
      </c>
      <c r="Z201" s="22">
        <f>X201+Y201</f>
        <v>0.67399999999999993</v>
      </c>
      <c r="AA201" s="22">
        <f>(0.692*(S201+T201)+0.73*U201+0.865*(I201-(J201+K201+L201))+1.334+J201+1.725*K201+2.065*L201)/(G201+S201-T201+U201+R201)</f>
        <v>0.32759740259740255</v>
      </c>
      <c r="AB201" s="22">
        <f>((AA201-$AA$2000)/1.24+$H$2000/$F$2000)*F201</f>
        <v>9.7723734124894275</v>
      </c>
      <c r="AC201" s="22">
        <f>(AB201/F201)/($AB$2000/$F$2000)*100</f>
        <v>121.56510526400379</v>
      </c>
      <c r="AD201" s="22"/>
    </row>
    <row r="202" spans="1:30" ht="15.75" customHeight="1" x14ac:dyDescent="0.15">
      <c r="A202" s="30">
        <v>201</v>
      </c>
      <c r="B202" s="31" t="s">
        <v>3261</v>
      </c>
      <c r="C202" s="46" t="s">
        <v>2648</v>
      </c>
      <c r="D202" s="30">
        <v>0.30299999999999999</v>
      </c>
      <c r="E202" s="30">
        <v>30</v>
      </c>
      <c r="F202" s="33">
        <v>74</v>
      </c>
      <c r="G202" s="30">
        <v>66</v>
      </c>
      <c r="H202" s="30">
        <v>11</v>
      </c>
      <c r="I202" s="30">
        <v>20</v>
      </c>
      <c r="J202" s="30">
        <v>5</v>
      </c>
      <c r="K202" s="30">
        <v>1</v>
      </c>
      <c r="L202" s="30">
        <v>2</v>
      </c>
      <c r="M202" s="30">
        <v>33</v>
      </c>
      <c r="N202" s="30">
        <v>7</v>
      </c>
      <c r="O202" s="30">
        <v>1</v>
      </c>
      <c r="P202" s="30">
        <v>0</v>
      </c>
      <c r="Q202" s="30">
        <v>1</v>
      </c>
      <c r="R202" s="30">
        <v>1</v>
      </c>
      <c r="S202" s="30">
        <v>4</v>
      </c>
      <c r="T202" s="30">
        <v>0</v>
      </c>
      <c r="U202" s="30">
        <v>2</v>
      </c>
      <c r="V202" s="30">
        <v>19</v>
      </c>
      <c r="W202" s="30">
        <v>1</v>
      </c>
      <c r="X202" s="30">
        <v>0.35599999999999998</v>
      </c>
      <c r="Y202" s="30">
        <v>0.5</v>
      </c>
      <c r="Z202" s="22">
        <f>X202+Y202</f>
        <v>0.85599999999999998</v>
      </c>
      <c r="AA202" s="22">
        <f>(0.692*(S202+T202)+0.73*U202+0.865*(I202-(J202+K202+L202))+1.334+J202+1.725*K202+2.065*L202)/(G202+S202-T202+U202+R202)</f>
        <v>0.36708219178082191</v>
      </c>
      <c r="AB202" s="22">
        <f>((AA202-$AA$2000)/1.24+$H$2000/$F$2000)*F202</f>
        <v>11.747981913459924</v>
      </c>
      <c r="AC202" s="22">
        <f>(AB202/F202)/($AB$2000/$F$2000)*100</f>
        <v>152.06566016537067</v>
      </c>
      <c r="AD202" s="22"/>
    </row>
    <row r="203" spans="1:30" ht="15.75" customHeight="1" x14ac:dyDescent="0.15">
      <c r="A203" s="34">
        <v>201</v>
      </c>
      <c r="B203" s="35" t="s">
        <v>3262</v>
      </c>
      <c r="C203" s="42" t="s">
        <v>2652</v>
      </c>
      <c r="D203" s="34">
        <v>0.11899999999999999</v>
      </c>
      <c r="E203" s="34">
        <v>20</v>
      </c>
      <c r="F203" s="33">
        <v>74</v>
      </c>
      <c r="G203" s="34">
        <v>67</v>
      </c>
      <c r="H203" s="34">
        <v>3</v>
      </c>
      <c r="I203" s="34">
        <v>8</v>
      </c>
      <c r="J203" s="34">
        <v>3</v>
      </c>
      <c r="K203" s="34">
        <v>0</v>
      </c>
      <c r="L203" s="34">
        <v>0</v>
      </c>
      <c r="M203" s="34">
        <v>11</v>
      </c>
      <c r="N203" s="34">
        <v>3</v>
      </c>
      <c r="O203" s="34">
        <v>0</v>
      </c>
      <c r="P203" s="34">
        <v>0</v>
      </c>
      <c r="Q203" s="34">
        <v>0</v>
      </c>
      <c r="R203" s="34">
        <v>1</v>
      </c>
      <c r="S203" s="34">
        <v>4</v>
      </c>
      <c r="T203" s="34">
        <v>1</v>
      </c>
      <c r="U203" s="34">
        <v>2</v>
      </c>
      <c r="V203" s="34">
        <v>19</v>
      </c>
      <c r="W203" s="34">
        <v>3</v>
      </c>
      <c r="X203" s="34">
        <v>0.189</v>
      </c>
      <c r="Y203" s="34">
        <v>0.16400000000000001</v>
      </c>
      <c r="Z203" s="22">
        <f>X203+Y203</f>
        <v>0.35299999999999998</v>
      </c>
      <c r="AA203" s="22">
        <f>(0.692*(S203+T203)+0.73*U203+0.865*(I203-(J203+K203+L203))+1.334+J203+1.725*K203+2.065*L203)/(G203+S203-T203+U203+R203)</f>
        <v>0.186013698630137</v>
      </c>
      <c r="AB203" s="22">
        <f>((AA203-$AA$2000)/1.24+$H$2000/$F$2000)*F203</f>
        <v>0.94228151575775887</v>
      </c>
      <c r="AC203" s="22">
        <f>(AB203/F203)/($AB$2000/$F$2000)*100</f>
        <v>12.196874476897239</v>
      </c>
      <c r="AD203" s="22"/>
    </row>
    <row r="204" spans="1:30" ht="15.75" customHeight="1" x14ac:dyDescent="0.15">
      <c r="A204" s="30">
        <v>203</v>
      </c>
      <c r="B204" s="31" t="s">
        <v>3263</v>
      </c>
      <c r="C204" s="54" t="s">
        <v>2650</v>
      </c>
      <c r="D204" s="30">
        <v>0.26100000000000001</v>
      </c>
      <c r="E204" s="30">
        <v>28</v>
      </c>
      <c r="F204" s="33">
        <v>73</v>
      </c>
      <c r="G204" s="30">
        <v>69</v>
      </c>
      <c r="H204" s="30">
        <v>6</v>
      </c>
      <c r="I204" s="30">
        <v>18</v>
      </c>
      <c r="J204" s="30">
        <v>3</v>
      </c>
      <c r="K204" s="30">
        <v>0</v>
      </c>
      <c r="L204" s="30">
        <v>0</v>
      </c>
      <c r="M204" s="30">
        <v>21</v>
      </c>
      <c r="N204" s="30">
        <v>8</v>
      </c>
      <c r="O204" s="30">
        <v>0</v>
      </c>
      <c r="P204" s="30">
        <v>1</v>
      </c>
      <c r="Q204" s="30">
        <v>1</v>
      </c>
      <c r="R204" s="30">
        <v>1</v>
      </c>
      <c r="S204" s="30">
        <v>2</v>
      </c>
      <c r="T204" s="30">
        <v>0</v>
      </c>
      <c r="U204" s="30">
        <v>0</v>
      </c>
      <c r="V204" s="30">
        <v>20</v>
      </c>
      <c r="W204" s="30">
        <v>3</v>
      </c>
      <c r="X204" s="30">
        <v>0.27800000000000002</v>
      </c>
      <c r="Y204" s="30">
        <v>0.30399999999999999</v>
      </c>
      <c r="Z204" s="22">
        <f>X204+Y204</f>
        <v>0.58200000000000007</v>
      </c>
      <c r="AA204" s="22">
        <f>(0.692*(S204+T204)+0.73*U204+0.865*(I204-(J204+K204+L204))+1.334+J204+1.725*K204+2.065*L204)/(G204+S204-T204+U204+R204)</f>
        <v>0.25962499999999999</v>
      </c>
      <c r="AB204" s="22">
        <f>((AA204-$AA$2000)/1.24+$H$2000/$F$2000)*F204</f>
        <v>5.2631165301481282</v>
      </c>
      <c r="AC204" s="22">
        <f>(AB204/F204)/($AB$2000/$F$2000)*100</f>
        <v>69.058911358061025</v>
      </c>
      <c r="AD204" s="22"/>
    </row>
    <row r="205" spans="1:30" ht="15.75" customHeight="1" x14ac:dyDescent="0.15">
      <c r="A205" s="34">
        <v>203</v>
      </c>
      <c r="B205" s="35" t="s">
        <v>3264</v>
      </c>
      <c r="C205" s="40" t="s">
        <v>2650</v>
      </c>
      <c r="D205" s="34">
        <v>0.20300000000000001</v>
      </c>
      <c r="E205" s="34">
        <v>28</v>
      </c>
      <c r="F205" s="33">
        <v>73</v>
      </c>
      <c r="G205" s="34">
        <v>64</v>
      </c>
      <c r="H205" s="34">
        <v>7</v>
      </c>
      <c r="I205" s="34">
        <v>13</v>
      </c>
      <c r="J205" s="34">
        <v>3</v>
      </c>
      <c r="K205" s="34">
        <v>1</v>
      </c>
      <c r="L205" s="34">
        <v>1</v>
      </c>
      <c r="M205" s="34">
        <v>21</v>
      </c>
      <c r="N205" s="34">
        <v>5</v>
      </c>
      <c r="O205" s="34">
        <v>2</v>
      </c>
      <c r="P205" s="34">
        <v>0</v>
      </c>
      <c r="Q205" s="34">
        <v>1</v>
      </c>
      <c r="R205" s="34">
        <v>0</v>
      </c>
      <c r="S205" s="34">
        <v>6</v>
      </c>
      <c r="T205" s="34">
        <v>0</v>
      </c>
      <c r="U205" s="34">
        <v>2</v>
      </c>
      <c r="V205" s="34">
        <v>18</v>
      </c>
      <c r="W205" s="34">
        <v>1</v>
      </c>
      <c r="X205" s="34">
        <v>0.29199999999999998</v>
      </c>
      <c r="Y205" s="34">
        <v>0.32800000000000001</v>
      </c>
      <c r="Z205" s="22">
        <f>X205+Y205</f>
        <v>0.62</v>
      </c>
      <c r="AA205" s="22">
        <f>(0.692*(S205+T205)+0.73*U205+0.865*(I205-(J205+K205+L205))+1.334+J205+1.725*K205+2.065*L205)/(G205+S205-T205+U205+R205)</f>
        <v>0.28688888888888892</v>
      </c>
      <c r="AB205" s="22">
        <f>((AA205-$AA$2000)/1.24+$H$2000/$F$2000)*F205</f>
        <v>6.8681680534456211</v>
      </c>
      <c r="AC205" s="22">
        <f>(AB205/F205)/($AB$2000/$F$2000)*100</f>
        <v>90.119267942908053</v>
      </c>
      <c r="AD205" s="22"/>
    </row>
    <row r="206" spans="1:30" ht="15.75" customHeight="1" x14ac:dyDescent="0.15">
      <c r="A206" s="30">
        <v>205</v>
      </c>
      <c r="B206" s="31" t="s">
        <v>3265</v>
      </c>
      <c r="C206" s="41" t="s">
        <v>2651</v>
      </c>
      <c r="D206" s="30">
        <v>0.16900000000000001</v>
      </c>
      <c r="E206" s="30">
        <v>49</v>
      </c>
      <c r="F206" s="33">
        <v>72</v>
      </c>
      <c r="G206" s="30">
        <v>65</v>
      </c>
      <c r="H206" s="30">
        <v>9</v>
      </c>
      <c r="I206" s="30">
        <v>11</v>
      </c>
      <c r="J206" s="30">
        <v>2</v>
      </c>
      <c r="K206" s="30">
        <v>0</v>
      </c>
      <c r="L206" s="30">
        <v>2</v>
      </c>
      <c r="M206" s="30">
        <v>19</v>
      </c>
      <c r="N206" s="30">
        <v>6</v>
      </c>
      <c r="O206" s="30">
        <v>0</v>
      </c>
      <c r="P206" s="30">
        <v>0</v>
      </c>
      <c r="Q206" s="30">
        <v>0</v>
      </c>
      <c r="R206" s="30">
        <v>0</v>
      </c>
      <c r="S206" s="30">
        <v>5</v>
      </c>
      <c r="T206" s="30">
        <v>0</v>
      </c>
      <c r="U206" s="30">
        <v>2</v>
      </c>
      <c r="V206" s="30">
        <v>17</v>
      </c>
      <c r="W206" s="30">
        <v>0</v>
      </c>
      <c r="X206" s="30">
        <v>0.25</v>
      </c>
      <c r="Y206" s="30">
        <v>0.29199999999999998</v>
      </c>
      <c r="Z206" s="22">
        <f>X206+Y206</f>
        <v>0.54200000000000004</v>
      </c>
      <c r="AA206" s="22">
        <f>(0.692*(S206+T206)+0.73*U206+0.865*(I206-(J206+K206+L206))+1.334+J206+1.725*K206+2.065*L206)/(G206+S206-T206+U206+R206)</f>
        <v>0.2560972222222222</v>
      </c>
      <c r="AB206" s="22">
        <f>((AA206-$AA$2000)/1.24+$H$2000/$F$2000)*F206</f>
        <v>4.9861803337563497</v>
      </c>
      <c r="AC206" s="22">
        <f>(AB206/F206)/($AB$2000/$F$2000)*100</f>
        <v>66.333832105615201</v>
      </c>
      <c r="AD206" s="22"/>
    </row>
    <row r="207" spans="1:30" ht="15.75" customHeight="1" x14ac:dyDescent="0.15">
      <c r="A207" s="34">
        <v>205</v>
      </c>
      <c r="B207" s="35" t="s">
        <v>3266</v>
      </c>
      <c r="C207" s="40" t="s">
        <v>2650</v>
      </c>
      <c r="D207" s="34">
        <v>0.35899999999999999</v>
      </c>
      <c r="E207" s="34">
        <v>27</v>
      </c>
      <c r="F207" s="33">
        <v>72</v>
      </c>
      <c r="G207" s="34">
        <v>64</v>
      </c>
      <c r="H207" s="34">
        <v>9</v>
      </c>
      <c r="I207" s="34">
        <v>23</v>
      </c>
      <c r="J207" s="34">
        <v>4</v>
      </c>
      <c r="K207" s="34">
        <v>0</v>
      </c>
      <c r="L207" s="34">
        <v>1</v>
      </c>
      <c r="M207" s="34">
        <v>30</v>
      </c>
      <c r="N207" s="34">
        <v>5</v>
      </c>
      <c r="O207" s="34">
        <v>0</v>
      </c>
      <c r="P207" s="34">
        <v>1</v>
      </c>
      <c r="Q207" s="34">
        <v>2</v>
      </c>
      <c r="R207" s="34">
        <v>0</v>
      </c>
      <c r="S207" s="34">
        <v>5</v>
      </c>
      <c r="T207" s="34">
        <v>0</v>
      </c>
      <c r="U207" s="34">
        <v>1</v>
      </c>
      <c r="V207" s="34">
        <v>10</v>
      </c>
      <c r="W207" s="34">
        <v>0</v>
      </c>
      <c r="X207" s="34">
        <v>0.41399999999999998</v>
      </c>
      <c r="Y207" s="34">
        <v>0.46899999999999997</v>
      </c>
      <c r="Z207" s="22">
        <f>X207+Y207</f>
        <v>0.88300000000000001</v>
      </c>
      <c r="AA207" s="22">
        <f>(0.692*(S207+T207)+0.73*U207+0.865*(I207-(J207+K207+L207))+1.334+J207+1.725*K207+2.065*L207)/(G207+S207-T207+U207+R207)</f>
        <v>0.38798571428571427</v>
      </c>
      <c r="AB207" s="22">
        <f>((AA207-$AA$2000)/1.24+$H$2000/$F$2000)*F207</f>
        <v>12.644221808410729</v>
      </c>
      <c r="AC207" s="22">
        <f>(AB207/F207)/($AB$2000/$F$2000)*100</f>
        <v>168.21286644348243</v>
      </c>
      <c r="AD207" s="22"/>
    </row>
    <row r="208" spans="1:30" ht="15.75" customHeight="1" x14ac:dyDescent="0.15">
      <c r="A208" s="30">
        <v>207</v>
      </c>
      <c r="B208" s="31" t="s">
        <v>3267</v>
      </c>
      <c r="C208" s="47" t="s">
        <v>2654</v>
      </c>
      <c r="D208" s="30">
        <v>0.16400000000000001</v>
      </c>
      <c r="E208" s="30">
        <v>71</v>
      </c>
      <c r="F208" s="33">
        <v>69</v>
      </c>
      <c r="G208" s="30">
        <v>61</v>
      </c>
      <c r="H208" s="30">
        <v>12</v>
      </c>
      <c r="I208" s="30">
        <v>10</v>
      </c>
      <c r="J208" s="30">
        <v>2</v>
      </c>
      <c r="K208" s="30">
        <v>1</v>
      </c>
      <c r="L208" s="30">
        <v>0</v>
      </c>
      <c r="M208" s="30">
        <v>14</v>
      </c>
      <c r="N208" s="30">
        <v>5</v>
      </c>
      <c r="O208" s="30">
        <v>3</v>
      </c>
      <c r="P208" s="30">
        <v>1</v>
      </c>
      <c r="Q208" s="30">
        <v>3</v>
      </c>
      <c r="R208" s="30">
        <v>0</v>
      </c>
      <c r="S208" s="30">
        <v>5</v>
      </c>
      <c r="T208" s="30">
        <v>2</v>
      </c>
      <c r="U208" s="30">
        <v>0</v>
      </c>
      <c r="V208" s="30">
        <v>12</v>
      </c>
      <c r="W208" s="30">
        <v>0</v>
      </c>
      <c r="X208" s="30">
        <v>0.22700000000000001</v>
      </c>
      <c r="Y208" s="30">
        <v>0.23</v>
      </c>
      <c r="Z208" s="22">
        <f>X208+Y208</f>
        <v>0.45700000000000002</v>
      </c>
      <c r="AA208" s="22">
        <f>(0.692*(S208+T208)+0.73*U208+0.865*(I208-(J208+K208+L208))+1.334+J208+1.725*K208+2.065*L208)/(G208+S208-T208+U208+R208)</f>
        <v>0.24934374999999998</v>
      </c>
      <c r="AB208" s="22">
        <f>((AA208-$AA$2000)/1.24+$H$2000/$F$2000)*F208</f>
        <v>4.4026247687745661</v>
      </c>
      <c r="AC208" s="22">
        <f>(AB208/F208)/($AB$2000/$F$2000)*100</f>
        <v>61.117021922537319</v>
      </c>
      <c r="AD208" s="22"/>
    </row>
    <row r="209" spans="1:30" ht="15.75" customHeight="1" x14ac:dyDescent="0.15">
      <c r="A209" s="34">
        <v>207</v>
      </c>
      <c r="B209" s="35" t="s">
        <v>3268</v>
      </c>
      <c r="C209" s="50" t="s">
        <v>198</v>
      </c>
      <c r="D209" s="34">
        <v>0.183</v>
      </c>
      <c r="E209" s="34">
        <v>48</v>
      </c>
      <c r="F209" s="33">
        <v>69</v>
      </c>
      <c r="G209" s="34">
        <v>60</v>
      </c>
      <c r="H209" s="34">
        <v>3</v>
      </c>
      <c r="I209" s="34">
        <v>11</v>
      </c>
      <c r="J209" s="34">
        <v>1</v>
      </c>
      <c r="K209" s="34">
        <v>1</v>
      </c>
      <c r="L209" s="34">
        <v>1</v>
      </c>
      <c r="M209" s="34">
        <v>17</v>
      </c>
      <c r="N209" s="34">
        <v>5</v>
      </c>
      <c r="O209" s="34">
        <v>0</v>
      </c>
      <c r="P209" s="34">
        <v>0</v>
      </c>
      <c r="Q209" s="34">
        <v>2</v>
      </c>
      <c r="R209" s="34">
        <v>1</v>
      </c>
      <c r="S209" s="34">
        <v>5</v>
      </c>
      <c r="T209" s="34">
        <v>0</v>
      </c>
      <c r="U209" s="34">
        <v>1</v>
      </c>
      <c r="V209" s="34">
        <v>25</v>
      </c>
      <c r="W209" s="34">
        <v>1</v>
      </c>
      <c r="X209" s="34">
        <v>0.254</v>
      </c>
      <c r="Y209" s="34">
        <v>0.28299999999999997</v>
      </c>
      <c r="Z209" s="22">
        <f>X209+Y209</f>
        <v>0.53699999999999992</v>
      </c>
      <c r="AA209" s="22">
        <f>(0.692*(S209+T209)+0.73*U209+0.865*(I209-(J209+K209+L209))+1.334+J209+1.725*K209+2.065*L209)/(G209+S209-T209+U209+R209)</f>
        <v>0.2572238805970149</v>
      </c>
      <c r="AB209" s="22">
        <f>((AA209-$AA$2000)/1.24+$H$2000/$F$2000)*F209</f>
        <v>4.8411159068342675</v>
      </c>
      <c r="AC209" s="22">
        <f>(AB209/F209)/($AB$2000/$F$2000)*100</f>
        <v>67.204134475872749</v>
      </c>
      <c r="AD209" s="22"/>
    </row>
    <row r="210" spans="1:30" ht="15.75" customHeight="1" x14ac:dyDescent="0.15">
      <c r="A210" s="30">
        <v>209</v>
      </c>
      <c r="B210" s="31" t="s">
        <v>3269</v>
      </c>
      <c r="C210" s="41" t="s">
        <v>2651</v>
      </c>
      <c r="D210" s="30">
        <v>0.26600000000000001</v>
      </c>
      <c r="E210" s="30">
        <v>27</v>
      </c>
      <c r="F210" s="33">
        <v>67</v>
      </c>
      <c r="G210" s="30">
        <v>64</v>
      </c>
      <c r="H210" s="30">
        <v>5</v>
      </c>
      <c r="I210" s="30">
        <v>17</v>
      </c>
      <c r="J210" s="30">
        <v>3</v>
      </c>
      <c r="K210" s="30">
        <v>0</v>
      </c>
      <c r="L210" s="30">
        <v>0</v>
      </c>
      <c r="M210" s="30">
        <v>20</v>
      </c>
      <c r="N210" s="30">
        <v>3</v>
      </c>
      <c r="O210" s="30">
        <v>0</v>
      </c>
      <c r="P210" s="30">
        <v>0</v>
      </c>
      <c r="Q210" s="30">
        <v>1</v>
      </c>
      <c r="R210" s="30">
        <v>0</v>
      </c>
      <c r="S210" s="30">
        <v>1</v>
      </c>
      <c r="T210" s="30">
        <v>0</v>
      </c>
      <c r="U210" s="30">
        <v>1</v>
      </c>
      <c r="V210" s="30">
        <v>12</v>
      </c>
      <c r="W210" s="30">
        <v>0</v>
      </c>
      <c r="X210" s="30">
        <v>0.28799999999999998</v>
      </c>
      <c r="Y210" s="30">
        <v>0.313</v>
      </c>
      <c r="Z210" s="22">
        <f>X210+Y210</f>
        <v>0.60099999999999998</v>
      </c>
      <c r="AA210" s="22">
        <f>(0.692*(S210+T210)+0.73*U210+0.865*(I210-(J210+K210+L210))+1.334+J210+1.725*K210+2.065*L210)/(G210+S210-T210+U210+R210)</f>
        <v>0.27069696969696971</v>
      </c>
      <c r="AB210" s="22">
        <f>((AA210-$AA$2000)/1.24+$H$2000/$F$2000)*F210</f>
        <v>5.4287751338111505</v>
      </c>
      <c r="AC210" s="22">
        <f>(AB210/F210)/($AB$2000/$F$2000)*100</f>
        <v>77.61160282717249</v>
      </c>
      <c r="AD210" s="22"/>
    </row>
    <row r="211" spans="1:30" ht="15.75" customHeight="1" x14ac:dyDescent="0.15">
      <c r="A211" s="34">
        <v>209</v>
      </c>
      <c r="B211" s="35" t="s">
        <v>3270</v>
      </c>
      <c r="C211" s="45" t="s">
        <v>2651</v>
      </c>
      <c r="D211" s="34">
        <v>0.19700000000000001</v>
      </c>
      <c r="E211" s="34">
        <v>26</v>
      </c>
      <c r="F211" s="33">
        <v>67</v>
      </c>
      <c r="G211" s="34">
        <v>61</v>
      </c>
      <c r="H211" s="34">
        <v>7</v>
      </c>
      <c r="I211" s="34">
        <v>12</v>
      </c>
      <c r="J211" s="34">
        <v>2</v>
      </c>
      <c r="K211" s="34">
        <v>0</v>
      </c>
      <c r="L211" s="34">
        <v>1</v>
      </c>
      <c r="M211" s="34">
        <v>17</v>
      </c>
      <c r="N211" s="34">
        <v>3</v>
      </c>
      <c r="O211" s="34">
        <v>1</v>
      </c>
      <c r="P211" s="34">
        <v>0</v>
      </c>
      <c r="Q211" s="34">
        <v>0</v>
      </c>
      <c r="R211" s="34">
        <v>0</v>
      </c>
      <c r="S211" s="34">
        <v>6</v>
      </c>
      <c r="T211" s="34">
        <v>1</v>
      </c>
      <c r="U211" s="34">
        <v>0</v>
      </c>
      <c r="V211" s="34">
        <v>20</v>
      </c>
      <c r="W211" s="34">
        <v>2</v>
      </c>
      <c r="X211" s="34">
        <v>0.26900000000000002</v>
      </c>
      <c r="Y211" s="34">
        <v>0.27900000000000003</v>
      </c>
      <c r="Z211" s="22">
        <f>X211+Y211</f>
        <v>0.54800000000000004</v>
      </c>
      <c r="AA211" s="22">
        <f>(0.692*(S211+T211)+0.73*U211+0.865*(I211-(J211+K211+L211))+1.334+J211+1.725*K211+2.065*L211)/(G211+S211-T211+U211+R211)</f>
        <v>0.27315151515151515</v>
      </c>
      <c r="AB211" s="22">
        <f>((AA211-$AA$2000)/1.24+$H$2000/$F$2000)*F211</f>
        <v>5.5613997672422348</v>
      </c>
      <c r="AC211" s="22">
        <f>(AB211/F211)/($AB$2000/$F$2000)*100</f>
        <v>79.507649379339497</v>
      </c>
      <c r="AD211" s="22"/>
    </row>
    <row r="212" spans="1:30" ht="15.75" customHeight="1" x14ac:dyDescent="0.15">
      <c r="A212" s="30">
        <v>211</v>
      </c>
      <c r="B212" s="31" t="s">
        <v>3271</v>
      </c>
      <c r="C212" s="49" t="s">
        <v>2655</v>
      </c>
      <c r="D212" s="30">
        <v>0.222</v>
      </c>
      <c r="E212" s="30">
        <v>87</v>
      </c>
      <c r="F212" s="33">
        <v>66</v>
      </c>
      <c r="G212" s="30">
        <v>63</v>
      </c>
      <c r="H212" s="30">
        <v>8</v>
      </c>
      <c r="I212" s="30">
        <v>14</v>
      </c>
      <c r="J212" s="30">
        <v>4</v>
      </c>
      <c r="K212" s="30">
        <v>0</v>
      </c>
      <c r="L212" s="30">
        <v>0</v>
      </c>
      <c r="M212" s="30">
        <v>18</v>
      </c>
      <c r="N212" s="30">
        <v>3</v>
      </c>
      <c r="O212" s="30">
        <v>1</v>
      </c>
      <c r="P212" s="30">
        <v>1</v>
      </c>
      <c r="Q212" s="30">
        <v>0</v>
      </c>
      <c r="R212" s="30">
        <v>0</v>
      </c>
      <c r="S212" s="30">
        <v>3</v>
      </c>
      <c r="T212" s="30">
        <v>0</v>
      </c>
      <c r="U212" s="30">
        <v>0</v>
      </c>
      <c r="V212" s="30">
        <v>23</v>
      </c>
      <c r="W212" s="30">
        <v>1</v>
      </c>
      <c r="X212" s="30">
        <v>0.25800000000000001</v>
      </c>
      <c r="Y212" s="30">
        <v>0.28599999999999998</v>
      </c>
      <c r="Z212" s="22">
        <f>X212+Y212</f>
        <v>0.54400000000000004</v>
      </c>
      <c r="AA212" s="22">
        <f>(0.692*(S212+T212)+0.73*U212+0.865*(I212-(J212+K212+L212))+1.334+J212+1.725*K212+2.065*L212)/(G212+S212-T212+U212+R212)</f>
        <v>0.24333333333333332</v>
      </c>
      <c r="AB212" s="22">
        <f>((AA212-$AA$2000)/1.24+$H$2000/$F$2000)*F212</f>
        <v>3.8912970263734286</v>
      </c>
      <c r="AC212" s="22">
        <f>(AB212/F212)/($AB$2000/$F$2000)*100</f>
        <v>56.47419496782895</v>
      </c>
      <c r="AD212" s="22"/>
    </row>
    <row r="213" spans="1:30" ht="15.75" customHeight="1" x14ac:dyDescent="0.15">
      <c r="A213" s="34">
        <v>211</v>
      </c>
      <c r="B213" s="35" t="s">
        <v>3272</v>
      </c>
      <c r="C213" s="45" t="s">
        <v>2651</v>
      </c>
      <c r="D213" s="34">
        <v>0.23</v>
      </c>
      <c r="E213" s="34">
        <v>25</v>
      </c>
      <c r="F213" s="33">
        <v>66</v>
      </c>
      <c r="G213" s="34">
        <v>61</v>
      </c>
      <c r="H213" s="34">
        <v>6</v>
      </c>
      <c r="I213" s="34">
        <v>14</v>
      </c>
      <c r="J213" s="34">
        <v>2</v>
      </c>
      <c r="K213" s="34">
        <v>0</v>
      </c>
      <c r="L213" s="34">
        <v>2</v>
      </c>
      <c r="M213" s="34">
        <v>22</v>
      </c>
      <c r="N213" s="34">
        <v>4</v>
      </c>
      <c r="O213" s="34">
        <v>2</v>
      </c>
      <c r="P213" s="34">
        <v>0</v>
      </c>
      <c r="Q213" s="34">
        <v>0</v>
      </c>
      <c r="R213" s="34">
        <v>0</v>
      </c>
      <c r="S213" s="34">
        <v>5</v>
      </c>
      <c r="T213" s="34">
        <v>2</v>
      </c>
      <c r="U213" s="34">
        <v>0</v>
      </c>
      <c r="V213" s="34">
        <v>20</v>
      </c>
      <c r="W213" s="34">
        <v>0</v>
      </c>
      <c r="X213" s="34">
        <v>0.28799999999999998</v>
      </c>
      <c r="Y213" s="34">
        <v>0.36099999999999999</v>
      </c>
      <c r="Z213" s="22">
        <f>X213+Y213</f>
        <v>0.64900000000000002</v>
      </c>
      <c r="AA213" s="22">
        <f>(0.692*(S213+T213)+0.73*U213+0.865*(I213-(J213+K213+L213))+1.334+J213+1.725*K213+2.065*L213)/(G213+S213-T213+U213+R213)</f>
        <v>0.32746874999999998</v>
      </c>
      <c r="AB213" s="22">
        <f>((AA213-$AA$2000)/1.24+$H$2000/$F$2000)*F213</f>
        <v>8.3694724295992344</v>
      </c>
      <c r="AC213" s="22">
        <f>(AB213/F213)/($AB$2000/$F$2000)*100</f>
        <v>121.46572583989057</v>
      </c>
      <c r="AD213" s="22"/>
    </row>
    <row r="214" spans="1:30" ht="15.75" customHeight="1" x14ac:dyDescent="0.15">
      <c r="A214" s="30">
        <v>211</v>
      </c>
      <c r="B214" s="31" t="s">
        <v>3273</v>
      </c>
      <c r="C214" s="41" t="s">
        <v>2651</v>
      </c>
      <c r="D214" s="30">
        <v>0.19400000000000001</v>
      </c>
      <c r="E214" s="30">
        <v>21</v>
      </c>
      <c r="F214" s="33">
        <v>66</v>
      </c>
      <c r="G214" s="30">
        <v>62</v>
      </c>
      <c r="H214" s="30">
        <v>4</v>
      </c>
      <c r="I214" s="30">
        <v>12</v>
      </c>
      <c r="J214" s="30">
        <v>1</v>
      </c>
      <c r="K214" s="30">
        <v>1</v>
      </c>
      <c r="L214" s="30">
        <v>0</v>
      </c>
      <c r="M214" s="30">
        <v>15</v>
      </c>
      <c r="N214" s="30">
        <v>2</v>
      </c>
      <c r="O214" s="30">
        <v>1</v>
      </c>
      <c r="P214" s="30">
        <v>0</v>
      </c>
      <c r="Q214" s="30">
        <v>0</v>
      </c>
      <c r="R214" s="30">
        <v>0</v>
      </c>
      <c r="S214" s="30">
        <v>4</v>
      </c>
      <c r="T214" s="30">
        <v>0</v>
      </c>
      <c r="U214" s="30">
        <v>0</v>
      </c>
      <c r="V214" s="30">
        <v>13</v>
      </c>
      <c r="W214" s="30">
        <v>1</v>
      </c>
      <c r="X214" s="30">
        <v>0.24199999999999999</v>
      </c>
      <c r="Y214" s="30">
        <v>0.24199999999999999</v>
      </c>
      <c r="Z214" s="22">
        <f>X214+Y214</f>
        <v>0.48399999999999999</v>
      </c>
      <c r="AA214" s="22">
        <f>(0.692*(S214+T214)+0.73*U214+0.865*(I214-(J214+K214+L214))+1.334+J214+1.725*K214+2.065*L214)/(G214+S214-T214+U214+R214)</f>
        <v>0.23449999999999999</v>
      </c>
      <c r="AB214" s="22">
        <f>((AA214-$AA$2000)/1.24+$H$2000/$F$2000)*F214</f>
        <v>3.4211357360508483</v>
      </c>
      <c r="AC214" s="22">
        <f>(AB214/F214)/($AB$2000/$F$2000)*100</f>
        <v>49.65076817824022</v>
      </c>
      <c r="AD214" s="22"/>
    </row>
    <row r="215" spans="1:30" ht="15.75" customHeight="1" x14ac:dyDescent="0.15">
      <c r="A215" s="34">
        <v>214</v>
      </c>
      <c r="B215" s="35" t="s">
        <v>3274</v>
      </c>
      <c r="C215" s="43" t="s">
        <v>2649</v>
      </c>
      <c r="D215" s="34">
        <v>0.19</v>
      </c>
      <c r="E215" s="34">
        <v>32</v>
      </c>
      <c r="F215" s="33">
        <v>65</v>
      </c>
      <c r="G215" s="34">
        <v>58</v>
      </c>
      <c r="H215" s="34">
        <v>2</v>
      </c>
      <c r="I215" s="34">
        <v>11</v>
      </c>
      <c r="J215" s="34">
        <v>5</v>
      </c>
      <c r="K215" s="34">
        <v>0</v>
      </c>
      <c r="L215" s="34">
        <v>0</v>
      </c>
      <c r="M215" s="34">
        <v>16</v>
      </c>
      <c r="N215" s="34">
        <v>1</v>
      </c>
      <c r="O215" s="34">
        <v>0</v>
      </c>
      <c r="P215" s="34">
        <v>0</v>
      </c>
      <c r="Q215" s="34">
        <v>2</v>
      </c>
      <c r="R215" s="34">
        <v>0</v>
      </c>
      <c r="S215" s="34">
        <v>4</v>
      </c>
      <c r="T215" s="34">
        <v>1</v>
      </c>
      <c r="U215" s="34">
        <v>1</v>
      </c>
      <c r="V215" s="34">
        <v>5</v>
      </c>
      <c r="W215" s="34">
        <v>3</v>
      </c>
      <c r="X215" s="34">
        <v>0.254</v>
      </c>
      <c r="Y215" s="34">
        <v>0.27600000000000002</v>
      </c>
      <c r="Z215" s="22">
        <f>X215+Y215</f>
        <v>0.53</v>
      </c>
      <c r="AA215" s="22">
        <f>(0.692*(S215+T215)+0.73*U215+0.865*(I215-(J215+K215+L215))+1.334+J215+1.725*K215+2.065*L215)/(G215+S215-T215+U215+R215)</f>
        <v>0.25345161290322576</v>
      </c>
      <c r="AB215" s="22">
        <f>((AA215-$AA$2000)/1.24+$H$2000/$F$2000)*F215</f>
        <v>4.3627316676507446</v>
      </c>
      <c r="AC215" s="22">
        <f>(AB215/F215)/($AB$2000/$F$2000)*100</f>
        <v>64.290195709159434</v>
      </c>
      <c r="AD215" s="22"/>
    </row>
    <row r="216" spans="1:30" ht="15.75" customHeight="1" x14ac:dyDescent="0.15">
      <c r="A216" s="30">
        <v>214</v>
      </c>
      <c r="B216" s="31" t="s">
        <v>3276</v>
      </c>
      <c r="C216" s="39" t="s">
        <v>2649</v>
      </c>
      <c r="D216" s="30">
        <v>0.158</v>
      </c>
      <c r="E216" s="30">
        <v>28</v>
      </c>
      <c r="F216" s="33">
        <v>65</v>
      </c>
      <c r="G216" s="30">
        <v>57</v>
      </c>
      <c r="H216" s="30">
        <v>8</v>
      </c>
      <c r="I216" s="30">
        <v>9</v>
      </c>
      <c r="J216" s="30">
        <v>2</v>
      </c>
      <c r="K216" s="30">
        <v>0</v>
      </c>
      <c r="L216" s="30">
        <v>1</v>
      </c>
      <c r="M216" s="30">
        <v>14</v>
      </c>
      <c r="N216" s="30">
        <v>2</v>
      </c>
      <c r="O216" s="30">
        <v>1</v>
      </c>
      <c r="P216" s="30">
        <v>0</v>
      </c>
      <c r="Q216" s="30">
        <v>1</v>
      </c>
      <c r="R216" s="30">
        <v>0</v>
      </c>
      <c r="S216" s="30">
        <v>7</v>
      </c>
      <c r="T216" s="30">
        <v>0</v>
      </c>
      <c r="U216" s="30">
        <v>0</v>
      </c>
      <c r="V216" s="30">
        <v>19</v>
      </c>
      <c r="W216" s="30">
        <v>0</v>
      </c>
      <c r="X216" s="30">
        <v>0.25</v>
      </c>
      <c r="Y216" s="30">
        <v>0.246</v>
      </c>
      <c r="Z216" s="22">
        <f>X216+Y216</f>
        <v>0.496</v>
      </c>
      <c r="AA216" s="22">
        <f>(0.692*(S216+T216)+0.73*U216+0.865*(I216-(J216+K216+L216))+1.334+J216+1.725*K216+2.065*L216)/(G216+S216-T216+U216+R216)</f>
        <v>0.24114062499999997</v>
      </c>
      <c r="AB216" s="22">
        <f>((AA216-$AA$2000)/1.24+$H$2000/$F$2000)*F216</f>
        <v>3.7173976243364892</v>
      </c>
      <c r="AC216" s="22">
        <f>(AB216/F216)/($AB$2000/$F$2000)*100</f>
        <v>54.780408011215229</v>
      </c>
      <c r="AD216" s="22"/>
    </row>
    <row r="217" spans="1:30" ht="15.75" customHeight="1" x14ac:dyDescent="0.15">
      <c r="A217" s="34">
        <v>216</v>
      </c>
      <c r="B217" s="35" t="s">
        <v>3275</v>
      </c>
      <c r="C217" s="48" t="s">
        <v>2647</v>
      </c>
      <c r="D217" s="34">
        <v>0.23300000000000001</v>
      </c>
      <c r="E217" s="34">
        <v>26</v>
      </c>
      <c r="F217" s="33">
        <v>64</v>
      </c>
      <c r="G217" s="34">
        <v>60</v>
      </c>
      <c r="H217" s="34">
        <v>2</v>
      </c>
      <c r="I217" s="34">
        <v>14</v>
      </c>
      <c r="J217" s="34">
        <v>4</v>
      </c>
      <c r="K217" s="34">
        <v>0</v>
      </c>
      <c r="L217" s="34">
        <v>1</v>
      </c>
      <c r="M217" s="34">
        <v>21</v>
      </c>
      <c r="N217" s="34">
        <v>8</v>
      </c>
      <c r="O217" s="34">
        <v>0</v>
      </c>
      <c r="P217" s="34">
        <v>0</v>
      </c>
      <c r="Q217" s="34">
        <v>0</v>
      </c>
      <c r="R217" s="34">
        <v>0</v>
      </c>
      <c r="S217" s="34">
        <v>4</v>
      </c>
      <c r="T217" s="34">
        <v>0</v>
      </c>
      <c r="U217" s="34">
        <v>0</v>
      </c>
      <c r="V217" s="34">
        <v>22</v>
      </c>
      <c r="W217" s="34">
        <v>0</v>
      </c>
      <c r="X217" s="34">
        <v>0.28100000000000003</v>
      </c>
      <c r="Y217" s="34">
        <v>0.35</v>
      </c>
      <c r="Z217" s="22">
        <f>X217+Y217</f>
        <v>0.63100000000000001</v>
      </c>
      <c r="AA217" s="22">
        <f>(0.692*(S217+T217)+0.73*U217+0.865*(I217-(J217+K217+L217))+1.334+J217+1.725*K217+2.065*L217)/(G217+S217-T217+U217+R217)</f>
        <v>0.28050000000000003</v>
      </c>
      <c r="AB217" s="22">
        <f>((AA217-$AA$2000)/1.24+$H$2000/$F$2000)*F217</f>
        <v>5.6916585045576182</v>
      </c>
      <c r="AC217" s="22">
        <f>(AB217/F217)/($AB$2000/$F$2000)*100</f>
        <v>85.184085044777831</v>
      </c>
      <c r="AD217" s="22"/>
    </row>
    <row r="218" spans="1:30" ht="15.75" customHeight="1" x14ac:dyDescent="0.15">
      <c r="A218" s="30">
        <v>217</v>
      </c>
      <c r="B218" s="31" t="s">
        <v>3277</v>
      </c>
      <c r="C218" s="49" t="s">
        <v>2655</v>
      </c>
      <c r="D218" s="30">
        <v>0.26800000000000002</v>
      </c>
      <c r="E218" s="30">
        <v>18</v>
      </c>
      <c r="F218" s="33">
        <v>62</v>
      </c>
      <c r="G218" s="30">
        <v>56</v>
      </c>
      <c r="H218" s="30">
        <v>7</v>
      </c>
      <c r="I218" s="30">
        <v>15</v>
      </c>
      <c r="J218" s="30">
        <v>2</v>
      </c>
      <c r="K218" s="30">
        <v>0</v>
      </c>
      <c r="L218" s="30">
        <v>3</v>
      </c>
      <c r="M218" s="30">
        <v>26</v>
      </c>
      <c r="N218" s="30">
        <v>7</v>
      </c>
      <c r="O218" s="30">
        <v>0</v>
      </c>
      <c r="P218" s="30">
        <v>0</v>
      </c>
      <c r="Q218" s="30">
        <v>0</v>
      </c>
      <c r="R218" s="30">
        <v>0</v>
      </c>
      <c r="S218" s="30">
        <v>3</v>
      </c>
      <c r="T218" s="30">
        <v>0</v>
      </c>
      <c r="U218" s="30">
        <v>3</v>
      </c>
      <c r="V218" s="30">
        <v>14</v>
      </c>
      <c r="W218" s="30">
        <v>1</v>
      </c>
      <c r="X218" s="30">
        <v>0.33900000000000002</v>
      </c>
      <c r="Y218" s="30">
        <v>0.46400000000000002</v>
      </c>
      <c r="Z218" s="22">
        <f>X218+Y218</f>
        <v>0.80300000000000005</v>
      </c>
      <c r="AA218" s="22">
        <f>(0.692*(S218+T218)+0.73*U218+0.865*(I218-(J218+K218+L218))+1.334+J218+1.725*K218+2.065*L218)/(G218+S218-T218+U218+R218)</f>
        <v>0.36201612903225805</v>
      </c>
      <c r="AB218" s="22">
        <f>((AA218-$AA$2000)/1.24+$H$2000/$F$2000)*F218</f>
        <v>9.5896006279030939</v>
      </c>
      <c r="AC218" s="22">
        <f>(AB218/F218)/($AB$2000/$F$2000)*100</f>
        <v>148.15231205862105</v>
      </c>
      <c r="AD218" s="22"/>
    </row>
    <row r="219" spans="1:30" ht="15.75" customHeight="1" x14ac:dyDescent="0.15">
      <c r="A219" s="34">
        <v>217</v>
      </c>
      <c r="B219" s="35" t="s">
        <v>3278</v>
      </c>
      <c r="C219" s="38" t="s">
        <v>2648</v>
      </c>
      <c r="D219" s="34">
        <v>0.19</v>
      </c>
      <c r="E219" s="34">
        <v>16</v>
      </c>
      <c r="F219" s="33">
        <v>62</v>
      </c>
      <c r="G219" s="34">
        <v>58</v>
      </c>
      <c r="H219" s="34">
        <v>6</v>
      </c>
      <c r="I219" s="34">
        <v>11</v>
      </c>
      <c r="J219" s="34">
        <v>0</v>
      </c>
      <c r="K219" s="34">
        <v>0</v>
      </c>
      <c r="L219" s="34">
        <v>1</v>
      </c>
      <c r="M219" s="34">
        <v>14</v>
      </c>
      <c r="N219" s="34">
        <v>4</v>
      </c>
      <c r="O219" s="34">
        <v>0</v>
      </c>
      <c r="P219" s="34">
        <v>1</v>
      </c>
      <c r="Q219" s="34">
        <v>0</v>
      </c>
      <c r="R219" s="34">
        <v>1</v>
      </c>
      <c r="S219" s="34">
        <v>3</v>
      </c>
      <c r="T219" s="34">
        <v>0</v>
      </c>
      <c r="U219" s="34">
        <v>0</v>
      </c>
      <c r="V219" s="34">
        <v>20</v>
      </c>
      <c r="W219" s="34">
        <v>4</v>
      </c>
      <c r="X219" s="34">
        <v>0.22600000000000001</v>
      </c>
      <c r="Y219" s="34">
        <v>0.24099999999999999</v>
      </c>
      <c r="Z219" s="22">
        <f>X219+Y219</f>
        <v>0.46699999999999997</v>
      </c>
      <c r="AA219" s="22">
        <f>(0.692*(S219+T219)+0.73*U219+0.865*(I219-(J219+K219+L219))+1.334+J219+1.725*K219+2.065*L219)/(G219+S219-T219+U219+R219)</f>
        <v>0.22782258064516125</v>
      </c>
      <c r="AB219" s="22">
        <f>((AA219-$AA$2000)/1.24+$H$2000/$F$2000)*F219</f>
        <v>2.879923208548254</v>
      </c>
      <c r="AC219" s="22">
        <f>(AB219/F219)/($AB$2000/$F$2000)*100</f>
        <v>44.49270605245249</v>
      </c>
      <c r="AD219" s="22"/>
    </row>
    <row r="220" spans="1:30" ht="15.75" customHeight="1" x14ac:dyDescent="0.15">
      <c r="A220" s="30">
        <v>219</v>
      </c>
      <c r="B220" s="31" t="s">
        <v>3281</v>
      </c>
      <c r="C220" s="39" t="s">
        <v>2649</v>
      </c>
      <c r="D220" s="30">
        <v>0.26800000000000002</v>
      </c>
      <c r="E220" s="30">
        <v>30</v>
      </c>
      <c r="F220" s="33">
        <v>60</v>
      </c>
      <c r="G220" s="30">
        <v>56</v>
      </c>
      <c r="H220" s="30">
        <v>5</v>
      </c>
      <c r="I220" s="30">
        <v>15</v>
      </c>
      <c r="J220" s="30">
        <v>1</v>
      </c>
      <c r="K220" s="30">
        <v>0</v>
      </c>
      <c r="L220" s="30">
        <v>2</v>
      </c>
      <c r="M220" s="30">
        <v>22</v>
      </c>
      <c r="N220" s="30">
        <v>6</v>
      </c>
      <c r="O220" s="30">
        <v>0</v>
      </c>
      <c r="P220" s="30">
        <v>0</v>
      </c>
      <c r="Q220" s="30">
        <v>0</v>
      </c>
      <c r="R220" s="30">
        <v>0</v>
      </c>
      <c r="S220" s="30">
        <v>4</v>
      </c>
      <c r="T220" s="30">
        <v>0</v>
      </c>
      <c r="U220" s="30">
        <v>0</v>
      </c>
      <c r="V220" s="30">
        <v>8</v>
      </c>
      <c r="W220" s="30">
        <v>1</v>
      </c>
      <c r="X220" s="30">
        <v>0.317</v>
      </c>
      <c r="Y220" s="30">
        <v>0.39300000000000002</v>
      </c>
      <c r="Z220" s="22">
        <f>X220+Y220</f>
        <v>0.71</v>
      </c>
      <c r="AA220" s="22">
        <f>(0.692*(S220+T220)+0.73*U220+0.865*(I220-(J220+K220+L220))+1.334+J220+1.725*K220+2.065*L220)/(G220+S220-T220+U220+R220)</f>
        <v>0.32686666666666664</v>
      </c>
      <c r="AB220" s="22">
        <f>((AA220-$AA$2000)/1.24+$H$2000/$F$2000)*F220</f>
        <v>7.579478235119538</v>
      </c>
      <c r="AC220" s="22">
        <f>(AB220/F220)/($AB$2000/$F$2000)*100</f>
        <v>121.00063849503415</v>
      </c>
      <c r="AD220" s="22"/>
    </row>
    <row r="221" spans="1:30" ht="15.75" customHeight="1" x14ac:dyDescent="0.15">
      <c r="A221" s="34">
        <v>220</v>
      </c>
      <c r="B221" s="35" t="s">
        <v>3279</v>
      </c>
      <c r="C221" s="57" t="s">
        <v>2654</v>
      </c>
      <c r="D221" s="34">
        <v>0.2</v>
      </c>
      <c r="E221" s="34">
        <v>31</v>
      </c>
      <c r="F221" s="33">
        <v>59</v>
      </c>
      <c r="G221" s="34">
        <v>55</v>
      </c>
      <c r="H221" s="34">
        <v>7</v>
      </c>
      <c r="I221" s="34">
        <v>11</v>
      </c>
      <c r="J221" s="34">
        <v>1</v>
      </c>
      <c r="K221" s="34">
        <v>1</v>
      </c>
      <c r="L221" s="34">
        <v>1</v>
      </c>
      <c r="M221" s="34">
        <v>17</v>
      </c>
      <c r="N221" s="34">
        <v>9</v>
      </c>
      <c r="O221" s="34">
        <v>0</v>
      </c>
      <c r="P221" s="34">
        <v>0</v>
      </c>
      <c r="Q221" s="34">
        <v>0</v>
      </c>
      <c r="R221" s="34">
        <v>0</v>
      </c>
      <c r="S221" s="34">
        <v>4</v>
      </c>
      <c r="T221" s="34">
        <v>0</v>
      </c>
      <c r="U221" s="34">
        <v>0</v>
      </c>
      <c r="V221" s="34">
        <v>12</v>
      </c>
      <c r="W221" s="34">
        <v>1</v>
      </c>
      <c r="X221" s="34">
        <v>0.254</v>
      </c>
      <c r="Y221" s="34">
        <v>0.309</v>
      </c>
      <c r="Z221" s="22">
        <f>X221+Y221</f>
        <v>0.56299999999999994</v>
      </c>
      <c r="AA221" s="22">
        <f>(0.692*(S221+T221)+0.73*U221+0.865*(I221-(J221+K221+L221))+1.334+J221+1.725*K221+2.065*L221)/(G221+S221-T221+U221+R221)</f>
        <v>0.26799999999999996</v>
      </c>
      <c r="AB221" s="22">
        <f>((AA221-$AA$2000)/1.24+$H$2000/$F$2000)*F221</f>
        <v>4.6522396193729216</v>
      </c>
      <c r="AC221" s="22">
        <f>(AB221/F221)/($AB$2000/$F$2000)*100</f>
        <v>75.528292418001257</v>
      </c>
      <c r="AD221" s="22"/>
    </row>
    <row r="222" spans="1:30" ht="15.75" customHeight="1" x14ac:dyDescent="0.15">
      <c r="A222" s="30">
        <v>221</v>
      </c>
      <c r="B222" s="31" t="s">
        <v>3280</v>
      </c>
      <c r="C222" s="53" t="s">
        <v>198</v>
      </c>
      <c r="D222" s="30">
        <v>0.16700000000000001</v>
      </c>
      <c r="E222" s="30">
        <v>44</v>
      </c>
      <c r="F222" s="33">
        <v>58</v>
      </c>
      <c r="G222" s="30">
        <v>48</v>
      </c>
      <c r="H222" s="30">
        <v>10</v>
      </c>
      <c r="I222" s="30">
        <v>8</v>
      </c>
      <c r="J222" s="30">
        <v>0</v>
      </c>
      <c r="K222" s="30">
        <v>0</v>
      </c>
      <c r="L222" s="30">
        <v>1</v>
      </c>
      <c r="M222" s="30">
        <v>11</v>
      </c>
      <c r="N222" s="30">
        <v>5</v>
      </c>
      <c r="O222" s="30">
        <v>2</v>
      </c>
      <c r="P222" s="30">
        <v>1</v>
      </c>
      <c r="Q222" s="30">
        <v>2</v>
      </c>
      <c r="R222" s="30">
        <v>1</v>
      </c>
      <c r="S222" s="30">
        <v>7</v>
      </c>
      <c r="T222" s="30">
        <v>0</v>
      </c>
      <c r="U222" s="30">
        <v>0</v>
      </c>
      <c r="V222" s="30">
        <v>17</v>
      </c>
      <c r="W222" s="30">
        <v>0</v>
      </c>
      <c r="X222" s="30">
        <v>0.26800000000000002</v>
      </c>
      <c r="Y222" s="30">
        <v>0.22900000000000001</v>
      </c>
      <c r="Z222" s="22">
        <f>X222+Y222</f>
        <v>0.497</v>
      </c>
      <c r="AA222" s="22">
        <f>(0.692*(S222+T222)+0.73*U222+0.865*(I222-(J222+K222+L222))+1.334+J222+1.725*K222+2.065*L222)/(G222+S222-T222+U222+R222)</f>
        <v>0.25532142857142853</v>
      </c>
      <c r="AB222" s="22">
        <f>((AA222-$AA$2000)/1.24+$H$2000/$F$2000)*F222</f>
        <v>3.9803581464834492</v>
      </c>
      <c r="AC222" s="22">
        <f>(AB222/F222)/($AB$2000/$F$2000)*100</f>
        <v>65.734559896556519</v>
      </c>
      <c r="AD222" s="22"/>
    </row>
    <row r="223" spans="1:30" ht="15.75" customHeight="1" x14ac:dyDescent="0.15">
      <c r="A223" s="34">
        <v>222</v>
      </c>
      <c r="B223" s="35" t="s">
        <v>3282</v>
      </c>
      <c r="C223" s="36" t="s">
        <v>2646</v>
      </c>
      <c r="D223" s="34">
        <v>0.22</v>
      </c>
      <c r="E223" s="34">
        <v>23</v>
      </c>
      <c r="F223" s="33">
        <v>56</v>
      </c>
      <c r="G223" s="34">
        <v>50</v>
      </c>
      <c r="H223" s="34">
        <v>6</v>
      </c>
      <c r="I223" s="34">
        <v>11</v>
      </c>
      <c r="J223" s="34">
        <v>3</v>
      </c>
      <c r="K223" s="34">
        <v>0</v>
      </c>
      <c r="L223" s="34">
        <v>0</v>
      </c>
      <c r="M223" s="34">
        <v>14</v>
      </c>
      <c r="N223" s="34">
        <v>4</v>
      </c>
      <c r="O223" s="34">
        <v>0</v>
      </c>
      <c r="P223" s="34">
        <v>1</v>
      </c>
      <c r="Q223" s="34">
        <v>3</v>
      </c>
      <c r="R223" s="34">
        <v>0</v>
      </c>
      <c r="S223" s="34">
        <v>3</v>
      </c>
      <c r="T223" s="34">
        <v>0</v>
      </c>
      <c r="U223" s="34">
        <v>0</v>
      </c>
      <c r="V223" s="34">
        <v>8</v>
      </c>
      <c r="W223" s="34">
        <v>1</v>
      </c>
      <c r="X223" s="34">
        <v>0.26400000000000001</v>
      </c>
      <c r="Y223" s="34">
        <v>0.28000000000000003</v>
      </c>
      <c r="Z223" s="22">
        <f>X223+Y223</f>
        <v>0.54400000000000004</v>
      </c>
      <c r="AA223" s="22">
        <f>(0.692*(S223+T223)+0.73*U223+0.865*(I223-(J223+K223+L223))+1.334+J223+1.725*K223+2.065*L223)/(G223+S223-T223+U223+R223)</f>
        <v>0.25150943396226411</v>
      </c>
      <c r="AB223" s="22">
        <f>((AA223-$AA$2000)/1.24+$H$2000/$F$2000)*F223</f>
        <v>3.6709498220417776</v>
      </c>
      <c r="AC223" s="22">
        <f>(AB223/F223)/($AB$2000/$F$2000)*100</f>
        <v>62.789933541317978</v>
      </c>
      <c r="AD223" s="22"/>
    </row>
    <row r="224" spans="1:30" ht="15.75" customHeight="1" x14ac:dyDescent="0.15">
      <c r="A224" s="30">
        <v>222</v>
      </c>
      <c r="B224" s="31" t="s">
        <v>3283</v>
      </c>
      <c r="C224" s="53" t="s">
        <v>198</v>
      </c>
      <c r="D224" s="30">
        <v>0.154</v>
      </c>
      <c r="E224" s="30">
        <v>16</v>
      </c>
      <c r="F224" s="33">
        <v>56</v>
      </c>
      <c r="G224" s="30">
        <v>52</v>
      </c>
      <c r="H224" s="30">
        <v>3</v>
      </c>
      <c r="I224" s="30">
        <v>8</v>
      </c>
      <c r="J224" s="30">
        <v>1</v>
      </c>
      <c r="K224" s="30">
        <v>0</v>
      </c>
      <c r="L224" s="30">
        <v>2</v>
      </c>
      <c r="M224" s="30">
        <v>15</v>
      </c>
      <c r="N224" s="30">
        <v>5</v>
      </c>
      <c r="O224" s="30">
        <v>0</v>
      </c>
      <c r="P224" s="30">
        <v>0</v>
      </c>
      <c r="Q224" s="30">
        <v>0</v>
      </c>
      <c r="R224" s="30">
        <v>0</v>
      </c>
      <c r="S224" s="30">
        <v>4</v>
      </c>
      <c r="T224" s="30">
        <v>0</v>
      </c>
      <c r="U224" s="30">
        <v>0</v>
      </c>
      <c r="V224" s="30">
        <v>17</v>
      </c>
      <c r="W224" s="30">
        <v>1</v>
      </c>
      <c r="X224" s="30">
        <v>0.214</v>
      </c>
      <c r="Y224" s="30">
        <v>0.28799999999999998</v>
      </c>
      <c r="Z224" s="22">
        <f>X224+Y224</f>
        <v>0.502</v>
      </c>
      <c r="AA224" s="22">
        <f>(0.692*(S224+T224)+0.73*U224+0.865*(I224-(J224+K224+L224))+1.334+J224+1.725*K224+2.065*L224)/(G224+S224-T224+U224+R224)</f>
        <v>0.2420892857142857</v>
      </c>
      <c r="AB224" s="22">
        <f>((AA224-$AA$2000)/1.24+$H$2000/$F$2000)*F224</f>
        <v>3.2455237721330752</v>
      </c>
      <c r="AC224" s="22">
        <f>(AB224/F224)/($AB$2000/$F$2000)*100</f>
        <v>55.51321370164024</v>
      </c>
      <c r="AD224" s="22"/>
    </row>
    <row r="225" spans="1:30" ht="15.75" customHeight="1" x14ac:dyDescent="0.15">
      <c r="A225" s="34">
        <v>224</v>
      </c>
      <c r="B225" s="35" t="s">
        <v>3284</v>
      </c>
      <c r="C225" s="42" t="s">
        <v>2652</v>
      </c>
      <c r="D225" s="34">
        <v>0.16300000000000001</v>
      </c>
      <c r="E225" s="34">
        <v>34</v>
      </c>
      <c r="F225" s="33">
        <v>55</v>
      </c>
      <c r="G225" s="34">
        <v>49</v>
      </c>
      <c r="H225" s="34">
        <v>4</v>
      </c>
      <c r="I225" s="34">
        <v>8</v>
      </c>
      <c r="J225" s="34">
        <v>2</v>
      </c>
      <c r="K225" s="34">
        <v>0</v>
      </c>
      <c r="L225" s="34">
        <v>0</v>
      </c>
      <c r="M225" s="34">
        <v>10</v>
      </c>
      <c r="N225" s="34">
        <v>3</v>
      </c>
      <c r="O225" s="34">
        <v>0</v>
      </c>
      <c r="P225" s="34">
        <v>0</v>
      </c>
      <c r="Q225" s="34">
        <v>2</v>
      </c>
      <c r="R225" s="34">
        <v>0</v>
      </c>
      <c r="S225" s="34">
        <v>3</v>
      </c>
      <c r="T225" s="34">
        <v>0</v>
      </c>
      <c r="U225" s="34">
        <v>1</v>
      </c>
      <c r="V225" s="34">
        <v>10</v>
      </c>
      <c r="W225" s="34">
        <v>0</v>
      </c>
      <c r="X225" s="34">
        <v>0.22600000000000001</v>
      </c>
      <c r="Y225" s="34">
        <v>0.20399999999999999</v>
      </c>
      <c r="Z225" s="22">
        <f>X225+Y225</f>
        <v>0.43</v>
      </c>
      <c r="AA225" s="22">
        <f>(0.692*(S225+T225)+0.73*U225+0.865*(I225-(J225+K225+L225))+1.334+J225+1.725*K225+2.065*L225)/(G225+S225-T225+U225+R225)</f>
        <v>0.21377358490566034</v>
      </c>
      <c r="AB225" s="22">
        <f>((AA225-$AA$2000)/1.24+$H$2000/$F$2000)*F225</f>
        <v>1.9316296481697814</v>
      </c>
      <c r="AC225" s="22">
        <f>(AB225/F225)/($AB$2000/$F$2000)*100</f>
        <v>33.640370894445475</v>
      </c>
      <c r="AD225" s="22"/>
    </row>
    <row r="226" spans="1:30" ht="15.75" customHeight="1" x14ac:dyDescent="0.15">
      <c r="A226" s="30">
        <v>224</v>
      </c>
      <c r="B226" s="31" t="s">
        <v>3285</v>
      </c>
      <c r="C226" s="37" t="s">
        <v>2647</v>
      </c>
      <c r="D226" s="30">
        <v>0.314</v>
      </c>
      <c r="E226" s="30">
        <v>30</v>
      </c>
      <c r="F226" s="33">
        <v>55</v>
      </c>
      <c r="G226" s="30">
        <v>51</v>
      </c>
      <c r="H226" s="30">
        <v>7</v>
      </c>
      <c r="I226" s="30">
        <v>16</v>
      </c>
      <c r="J226" s="30">
        <v>2</v>
      </c>
      <c r="K226" s="30">
        <v>0</v>
      </c>
      <c r="L226" s="30">
        <v>1</v>
      </c>
      <c r="M226" s="30">
        <v>21</v>
      </c>
      <c r="N226" s="30">
        <v>2</v>
      </c>
      <c r="O226" s="30">
        <v>0</v>
      </c>
      <c r="P226" s="30">
        <v>0</v>
      </c>
      <c r="Q226" s="30">
        <v>3</v>
      </c>
      <c r="R226" s="30">
        <v>0</v>
      </c>
      <c r="S226" s="30">
        <v>1</v>
      </c>
      <c r="T226" s="30">
        <v>0</v>
      </c>
      <c r="U226" s="30">
        <v>0</v>
      </c>
      <c r="V226" s="30">
        <v>9</v>
      </c>
      <c r="W226" s="30">
        <v>4</v>
      </c>
      <c r="X226" s="30">
        <v>0.32700000000000001</v>
      </c>
      <c r="Y226" s="30">
        <v>0.41199999999999998</v>
      </c>
      <c r="Z226" s="22">
        <f>X226+Y226</f>
        <v>0.73899999999999999</v>
      </c>
      <c r="AA226" s="22">
        <f>(0.692*(S226+T226)+0.73*U226+0.865*(I226-(J226+K226+L226))+1.334+J226+1.725*K226+2.065*L226)/(G226+S226-T226+U226+R226)</f>
        <v>0.33338461538461533</v>
      </c>
      <c r="AB226" s="22">
        <f>((AA226-$AA$2000)/1.24+$H$2000/$F$2000)*F226</f>
        <v>7.23695761296214</v>
      </c>
      <c r="AC226" s="22">
        <f>(AB226/F226)/($AB$2000/$F$2000)*100</f>
        <v>126.03551538883228</v>
      </c>
      <c r="AD226" s="22"/>
    </row>
    <row r="227" spans="1:30" ht="15.75" customHeight="1" x14ac:dyDescent="0.15">
      <c r="A227" s="34">
        <v>226</v>
      </c>
      <c r="B227" s="35" t="s">
        <v>3286</v>
      </c>
      <c r="C227" s="36" t="s">
        <v>2646</v>
      </c>
      <c r="D227" s="34">
        <v>0.16300000000000001</v>
      </c>
      <c r="E227" s="34">
        <v>19</v>
      </c>
      <c r="F227" s="33">
        <v>53</v>
      </c>
      <c r="G227" s="34">
        <v>49</v>
      </c>
      <c r="H227" s="34">
        <v>3</v>
      </c>
      <c r="I227" s="34">
        <v>8</v>
      </c>
      <c r="J227" s="34">
        <v>1</v>
      </c>
      <c r="K227" s="34">
        <v>0</v>
      </c>
      <c r="L227" s="34">
        <v>2</v>
      </c>
      <c r="M227" s="34">
        <v>15</v>
      </c>
      <c r="N227" s="34">
        <v>3</v>
      </c>
      <c r="O227" s="34">
        <v>1</v>
      </c>
      <c r="P227" s="34">
        <v>0</v>
      </c>
      <c r="Q227" s="34">
        <v>0</v>
      </c>
      <c r="R227" s="34">
        <v>0</v>
      </c>
      <c r="S227" s="34">
        <v>4</v>
      </c>
      <c r="T227" s="34">
        <v>0</v>
      </c>
      <c r="U227" s="34">
        <v>0</v>
      </c>
      <c r="V227" s="34">
        <v>16</v>
      </c>
      <c r="W227" s="34">
        <v>0</v>
      </c>
      <c r="X227" s="34">
        <v>0.22600000000000001</v>
      </c>
      <c r="Y227" s="34">
        <v>0.30599999999999999</v>
      </c>
      <c r="Z227" s="22">
        <f>X227+Y227</f>
        <v>0.53200000000000003</v>
      </c>
      <c r="AA227" s="22">
        <f>(0.692*(S227+T227)+0.73*U227+0.865*(I227-(J227+K227+L227))+1.334+J227+1.725*K227+2.065*L227)/(G227+S227-T227+U227+R227)</f>
        <v>0.25579245283018864</v>
      </c>
      <c r="AB227" s="22">
        <f>((AA227-$AA$2000)/1.24+$H$2000/$F$2000)*F227</f>
        <v>3.6573563119900006</v>
      </c>
      <c r="AC227" s="22">
        <f>(AB227/F227)/($AB$2000/$F$2000)*100</f>
        <v>66.098408901738011</v>
      </c>
      <c r="AD227" s="22"/>
    </row>
    <row r="228" spans="1:30" ht="15.75" customHeight="1" x14ac:dyDescent="0.15">
      <c r="A228" s="30">
        <v>226</v>
      </c>
      <c r="B228" s="31" t="s">
        <v>3287</v>
      </c>
      <c r="C228" s="55" t="s">
        <v>2652</v>
      </c>
      <c r="D228" s="30">
        <v>0.188</v>
      </c>
      <c r="E228" s="30">
        <v>19</v>
      </c>
      <c r="F228" s="33">
        <v>53</v>
      </c>
      <c r="G228" s="30">
        <v>48</v>
      </c>
      <c r="H228" s="30">
        <v>5</v>
      </c>
      <c r="I228" s="30">
        <v>9</v>
      </c>
      <c r="J228" s="30">
        <v>3</v>
      </c>
      <c r="K228" s="30">
        <v>0</v>
      </c>
      <c r="L228" s="30">
        <v>3</v>
      </c>
      <c r="M228" s="30">
        <v>21</v>
      </c>
      <c r="N228" s="30">
        <v>8</v>
      </c>
      <c r="O228" s="30">
        <v>0</v>
      </c>
      <c r="P228" s="30">
        <v>0</v>
      </c>
      <c r="Q228" s="30">
        <v>0</v>
      </c>
      <c r="R228" s="30">
        <v>1</v>
      </c>
      <c r="S228" s="30">
        <v>4</v>
      </c>
      <c r="T228" s="30">
        <v>1</v>
      </c>
      <c r="U228" s="30">
        <v>0</v>
      </c>
      <c r="V228" s="30">
        <v>17</v>
      </c>
      <c r="W228" s="30">
        <v>3</v>
      </c>
      <c r="X228" s="30">
        <v>0.245</v>
      </c>
      <c r="Y228" s="30">
        <v>0.438</v>
      </c>
      <c r="Z228" s="22">
        <f>X228+Y228</f>
        <v>0.68300000000000005</v>
      </c>
      <c r="AA228" s="22">
        <f>(0.692*(S228+T228)+0.73*U228+0.865*(I228-(J228+K228+L228))+1.334+J228+1.725*K228+2.065*L228)/(G228+S228-T228+U228+R228)</f>
        <v>0.31892307692307692</v>
      </c>
      <c r="AB228" s="22">
        <f>((AA228-$AA$2000)/1.24+$H$2000/$F$2000)*F228</f>
        <v>6.3556813740247415</v>
      </c>
      <c r="AC228" s="22">
        <f>(AB228/F228)/($AB$2000/$F$2000)*100</f>
        <v>114.86450607293087</v>
      </c>
      <c r="AD228" s="22"/>
    </row>
    <row r="229" spans="1:30" ht="15.75" customHeight="1" x14ac:dyDescent="0.15">
      <c r="A229" s="34">
        <v>228</v>
      </c>
      <c r="B229" s="35" t="s">
        <v>3288</v>
      </c>
      <c r="C229" s="38" t="s">
        <v>2648</v>
      </c>
      <c r="D229" s="34">
        <v>0.22900000000000001</v>
      </c>
      <c r="E229" s="34">
        <v>22</v>
      </c>
      <c r="F229" s="33">
        <v>51</v>
      </c>
      <c r="G229" s="34">
        <v>48</v>
      </c>
      <c r="H229" s="34">
        <v>2</v>
      </c>
      <c r="I229" s="34">
        <v>11</v>
      </c>
      <c r="J229" s="34">
        <v>2</v>
      </c>
      <c r="K229" s="34">
        <v>0</v>
      </c>
      <c r="L229" s="34">
        <v>0</v>
      </c>
      <c r="M229" s="34">
        <v>13</v>
      </c>
      <c r="N229" s="34">
        <v>4</v>
      </c>
      <c r="O229" s="34">
        <v>0</v>
      </c>
      <c r="P229" s="34">
        <v>0</v>
      </c>
      <c r="Q229" s="34">
        <v>1</v>
      </c>
      <c r="R229" s="34">
        <v>0</v>
      </c>
      <c r="S229" s="34">
        <v>2</v>
      </c>
      <c r="T229" s="34">
        <v>0</v>
      </c>
      <c r="U229" s="34">
        <v>0</v>
      </c>
      <c r="V229" s="34">
        <v>9</v>
      </c>
      <c r="W229" s="34">
        <v>2</v>
      </c>
      <c r="X229" s="34">
        <v>0.26</v>
      </c>
      <c r="Y229" s="34">
        <v>0.27100000000000002</v>
      </c>
      <c r="Z229" s="22">
        <f>X229+Y229</f>
        <v>0.53100000000000003</v>
      </c>
      <c r="AA229" s="22">
        <f>(0.692*(S229+T229)+0.73*U229+0.865*(I229-(J229+K229+L229))+1.334+J229+1.725*K229+2.065*L229)/(G229+S229-T229+U229+R229)</f>
        <v>0.25006</v>
      </c>
      <c r="AB229" s="22">
        <f>((AA229-$AA$2000)/1.24+$H$2000/$F$2000)*F229</f>
        <v>3.2835726288838667</v>
      </c>
      <c r="AC229" s="22">
        <f>(AB229/F229)/($AB$2000/$F$2000)*100</f>
        <v>61.670298840051643</v>
      </c>
      <c r="AD229" s="22"/>
    </row>
    <row r="230" spans="1:30" ht="15.75" customHeight="1" x14ac:dyDescent="0.15">
      <c r="A230" s="30">
        <v>228</v>
      </c>
      <c r="B230" s="31" t="s">
        <v>3289</v>
      </c>
      <c r="C230" s="39" t="s">
        <v>2649</v>
      </c>
      <c r="D230" s="30">
        <v>0.191</v>
      </c>
      <c r="E230" s="30">
        <v>21</v>
      </c>
      <c r="F230" s="33">
        <v>51</v>
      </c>
      <c r="G230" s="30">
        <v>47</v>
      </c>
      <c r="H230" s="30">
        <v>2</v>
      </c>
      <c r="I230" s="30">
        <v>9</v>
      </c>
      <c r="J230" s="30">
        <v>3</v>
      </c>
      <c r="K230" s="30">
        <v>0</v>
      </c>
      <c r="L230" s="30">
        <v>1</v>
      </c>
      <c r="M230" s="30">
        <v>15</v>
      </c>
      <c r="N230" s="30">
        <v>2</v>
      </c>
      <c r="O230" s="30">
        <v>0</v>
      </c>
      <c r="P230" s="30">
        <v>0</v>
      </c>
      <c r="Q230" s="30">
        <v>0</v>
      </c>
      <c r="R230" s="30">
        <v>0</v>
      </c>
      <c r="S230" s="30">
        <v>2</v>
      </c>
      <c r="T230" s="30">
        <v>0</v>
      </c>
      <c r="U230" s="30">
        <v>2</v>
      </c>
      <c r="V230" s="30">
        <v>16</v>
      </c>
      <c r="W230" s="30">
        <v>1</v>
      </c>
      <c r="X230" s="30">
        <v>0.255</v>
      </c>
      <c r="Y230" s="30">
        <v>0.31900000000000001</v>
      </c>
      <c r="Z230" s="22">
        <f>X230+Y230</f>
        <v>0.57400000000000007</v>
      </c>
      <c r="AA230" s="22">
        <f>(0.692*(S230+T230)+0.73*U230+0.865*(I230-(J230+K230+L230))+1.334+J230+1.725*K230+2.065*L230)/(G230+S230-T230+U230+R230)</f>
        <v>0.26603921568627448</v>
      </c>
      <c r="AB230" s="22">
        <f>((AA230-$AA$2000)/1.24+$H$2000/$F$2000)*F230</f>
        <v>3.9407823063032206</v>
      </c>
      <c r="AC230" s="22">
        <f>(AB230/F230)/($AB$2000/$F$2000)*100</f>
        <v>74.013658280467695</v>
      </c>
      <c r="AD230" s="22"/>
    </row>
    <row r="231" spans="1:30" ht="15.75" customHeight="1" x14ac:dyDescent="0.15">
      <c r="A231" s="34">
        <v>230</v>
      </c>
      <c r="B231" s="35" t="s">
        <v>3290</v>
      </c>
      <c r="C231" s="56" t="s">
        <v>2653</v>
      </c>
      <c r="D231" s="34">
        <v>0.13300000000000001</v>
      </c>
      <c r="E231" s="34">
        <v>26</v>
      </c>
      <c r="F231" s="33">
        <v>50</v>
      </c>
      <c r="G231" s="34">
        <v>45</v>
      </c>
      <c r="H231" s="34">
        <v>3</v>
      </c>
      <c r="I231" s="34">
        <v>6</v>
      </c>
      <c r="J231" s="34">
        <v>1</v>
      </c>
      <c r="K231" s="34">
        <v>0</v>
      </c>
      <c r="L231" s="34">
        <v>0</v>
      </c>
      <c r="M231" s="34">
        <v>7</v>
      </c>
      <c r="N231" s="34">
        <v>0</v>
      </c>
      <c r="O231" s="34">
        <v>2</v>
      </c>
      <c r="P231" s="34">
        <v>0</v>
      </c>
      <c r="Q231" s="34">
        <v>1</v>
      </c>
      <c r="R231" s="34">
        <v>0</v>
      </c>
      <c r="S231" s="34">
        <v>4</v>
      </c>
      <c r="T231" s="34">
        <v>1</v>
      </c>
      <c r="U231" s="34">
        <v>0</v>
      </c>
      <c r="V231" s="34">
        <v>14</v>
      </c>
      <c r="W231" s="34">
        <v>1</v>
      </c>
      <c r="X231" s="34">
        <v>0.20399999999999999</v>
      </c>
      <c r="Y231" s="34">
        <v>0.156</v>
      </c>
      <c r="Z231" s="22">
        <f>X231+Y231</f>
        <v>0.36</v>
      </c>
      <c r="AA231" s="22">
        <f>(0.692*(S231+T231)+0.73*U231+0.865*(I231-(J231+K231+L231))+1.334+J231+1.725*K231+2.065*L231)/(G231+S231-T231+U231+R231)</f>
        <v>0.21081249999999999</v>
      </c>
      <c r="AB231" s="22">
        <f>((AA231-$AA$2000)/1.24+$H$2000/$F$2000)*F231</f>
        <v>1.6366283679759599</v>
      </c>
      <c r="AC231" s="22">
        <f>(AB231/F231)/($AB$2000/$F$2000)*100</f>
        <v>31.353041150498711</v>
      </c>
      <c r="AD231" s="22"/>
    </row>
    <row r="232" spans="1:30" ht="15.75" customHeight="1" x14ac:dyDescent="0.15">
      <c r="A232" s="30">
        <v>230</v>
      </c>
      <c r="B232" s="31" t="s">
        <v>3291</v>
      </c>
      <c r="C232" s="52" t="s">
        <v>2646</v>
      </c>
      <c r="D232" s="30">
        <v>0.22700000000000001</v>
      </c>
      <c r="E232" s="30">
        <v>17</v>
      </c>
      <c r="F232" s="33">
        <v>50</v>
      </c>
      <c r="G232" s="30">
        <v>44</v>
      </c>
      <c r="H232" s="30">
        <v>7</v>
      </c>
      <c r="I232" s="30">
        <v>10</v>
      </c>
      <c r="J232" s="30">
        <v>1</v>
      </c>
      <c r="K232" s="30">
        <v>0</v>
      </c>
      <c r="L232" s="30">
        <v>4</v>
      </c>
      <c r="M232" s="30">
        <v>23</v>
      </c>
      <c r="N232" s="30">
        <v>9</v>
      </c>
      <c r="O232" s="30">
        <v>1</v>
      </c>
      <c r="P232" s="30">
        <v>0</v>
      </c>
      <c r="Q232" s="30">
        <v>0</v>
      </c>
      <c r="R232" s="30">
        <v>0</v>
      </c>
      <c r="S232" s="30">
        <v>6</v>
      </c>
      <c r="T232" s="30">
        <v>0</v>
      </c>
      <c r="U232" s="30">
        <v>0</v>
      </c>
      <c r="V232" s="30">
        <v>11</v>
      </c>
      <c r="W232" s="30">
        <v>2</v>
      </c>
      <c r="X232" s="30">
        <v>0.32</v>
      </c>
      <c r="Y232" s="30">
        <v>0.52300000000000002</v>
      </c>
      <c r="Z232" s="22">
        <f>X232+Y232</f>
        <v>0.84299999999999997</v>
      </c>
      <c r="AA232" s="22">
        <f>(0.692*(S232+T232)+0.73*U232+0.865*(I232-(J232+K232+L232))+1.334+J232+1.725*K232+2.065*L232)/(G232+S232-T232+U232+R232)</f>
        <v>0.38141999999999998</v>
      </c>
      <c r="AB232" s="22">
        <f>((AA232-$AA$2000)/1.24+$H$2000/$F$2000)*F232</f>
        <v>8.5159630453953135</v>
      </c>
      <c r="AC232" s="22">
        <f>(AB232/F232)/($AB$2000/$F$2000)*100</f>
        <v>163.14109239632069</v>
      </c>
      <c r="AD232" s="22"/>
    </row>
    <row r="233" spans="1:30" ht="15.75" customHeight="1" x14ac:dyDescent="0.15">
      <c r="A233" s="34">
        <v>232</v>
      </c>
      <c r="B233" s="35" t="s">
        <v>3292</v>
      </c>
      <c r="C233" s="38" t="s">
        <v>2648</v>
      </c>
      <c r="D233" s="34">
        <v>0.16300000000000001</v>
      </c>
      <c r="E233" s="34">
        <v>28</v>
      </c>
      <c r="F233" s="33">
        <v>47</v>
      </c>
      <c r="G233" s="34">
        <v>43</v>
      </c>
      <c r="H233" s="34">
        <v>5</v>
      </c>
      <c r="I233" s="34">
        <v>7</v>
      </c>
      <c r="J233" s="34">
        <v>1</v>
      </c>
      <c r="K233" s="34">
        <v>0</v>
      </c>
      <c r="L233" s="34">
        <v>0</v>
      </c>
      <c r="M233" s="34">
        <v>8</v>
      </c>
      <c r="N233" s="34">
        <v>0</v>
      </c>
      <c r="O233" s="34">
        <v>2</v>
      </c>
      <c r="P233" s="34">
        <v>2</v>
      </c>
      <c r="Q233" s="34">
        <v>2</v>
      </c>
      <c r="R233" s="34">
        <v>0</v>
      </c>
      <c r="S233" s="34">
        <v>2</v>
      </c>
      <c r="T233" s="34">
        <v>0</v>
      </c>
      <c r="U233" s="34">
        <v>0</v>
      </c>
      <c r="V233" s="34">
        <v>10</v>
      </c>
      <c r="W233" s="34">
        <v>1</v>
      </c>
      <c r="X233" s="34">
        <v>0.2</v>
      </c>
      <c r="Y233" s="34">
        <v>0.186</v>
      </c>
      <c r="Z233" s="22">
        <f>X233+Y233</f>
        <v>0.38600000000000001</v>
      </c>
      <c r="AA233" s="22">
        <f>(0.692*(S233+T233)+0.73*U233+0.865*(I233-(J233+K233+L233))+1.334+J233+1.725*K233+2.065*L233)/(G233+S233-T233+U233+R233)</f>
        <v>0.19795555555555555</v>
      </c>
      <c r="AB233" s="22">
        <f>((AA233-$AA$2000)/1.24+$H$2000/$F$2000)*F233</f>
        <v>1.0511109974386217</v>
      </c>
      <c r="AC233" s="22">
        <f>(AB233/F233)/($AB$2000/$F$2000)*100</f>
        <v>21.421522000935369</v>
      </c>
      <c r="AD233" s="22"/>
    </row>
    <row r="234" spans="1:30" ht="15.75" customHeight="1" x14ac:dyDescent="0.15">
      <c r="A234" s="30">
        <v>232</v>
      </c>
      <c r="B234" s="31" t="s">
        <v>3293</v>
      </c>
      <c r="C234" s="54" t="s">
        <v>2650</v>
      </c>
      <c r="D234" s="30">
        <v>0.20499999999999999</v>
      </c>
      <c r="E234" s="30">
        <v>22</v>
      </c>
      <c r="F234" s="33">
        <v>47</v>
      </c>
      <c r="G234" s="30">
        <v>44</v>
      </c>
      <c r="H234" s="30">
        <v>5</v>
      </c>
      <c r="I234" s="30">
        <v>9</v>
      </c>
      <c r="J234" s="30">
        <v>1</v>
      </c>
      <c r="K234" s="30">
        <v>0</v>
      </c>
      <c r="L234" s="30">
        <v>2</v>
      </c>
      <c r="M234" s="30">
        <v>16</v>
      </c>
      <c r="N234" s="30">
        <v>6</v>
      </c>
      <c r="O234" s="30">
        <v>0</v>
      </c>
      <c r="P234" s="30">
        <v>1</v>
      </c>
      <c r="Q234" s="30">
        <v>0</v>
      </c>
      <c r="R234" s="30">
        <v>0</v>
      </c>
      <c r="S234" s="30">
        <v>3</v>
      </c>
      <c r="T234" s="30">
        <v>0</v>
      </c>
      <c r="U234" s="30">
        <v>0</v>
      </c>
      <c r="V234" s="30">
        <v>19</v>
      </c>
      <c r="W234" s="30">
        <v>0</v>
      </c>
      <c r="X234" s="30">
        <v>0.255</v>
      </c>
      <c r="Y234" s="30">
        <v>0.36399999999999999</v>
      </c>
      <c r="Z234" s="22">
        <f>X234+Y234</f>
        <v>0.61899999999999999</v>
      </c>
      <c r="AA234" s="22">
        <f>(0.692*(S234+T234)+0.73*U234+0.865*(I234-(J234+K234+L234))+1.334+J234+1.725*K234+2.065*L234)/(G234+S234-T234+U234+R234)</f>
        <v>0.29212765957446807</v>
      </c>
      <c r="AB234" s="22">
        <f>((AA234-$AA$2000)/1.24+$H$2000/$F$2000)*F234</f>
        <v>4.6205375207361117</v>
      </c>
      <c r="AC234" s="22">
        <f>(AB234/F234)/($AB$2000/$F$2000)*100</f>
        <v>94.166026611643105</v>
      </c>
      <c r="AD234" s="22"/>
    </row>
    <row r="235" spans="1:30" ht="15.75" customHeight="1" x14ac:dyDescent="0.15">
      <c r="A235" s="34">
        <v>234</v>
      </c>
      <c r="B235" s="35" t="s">
        <v>3294</v>
      </c>
      <c r="C235" s="51" t="s">
        <v>2655</v>
      </c>
      <c r="D235" s="34">
        <v>0.13600000000000001</v>
      </c>
      <c r="E235" s="34">
        <v>31</v>
      </c>
      <c r="F235" s="33">
        <v>46</v>
      </c>
      <c r="G235" s="34">
        <v>44</v>
      </c>
      <c r="H235" s="34">
        <v>0</v>
      </c>
      <c r="I235" s="34">
        <v>6</v>
      </c>
      <c r="J235" s="34">
        <v>2</v>
      </c>
      <c r="K235" s="34">
        <v>0</v>
      </c>
      <c r="L235" s="34">
        <v>0</v>
      </c>
      <c r="M235" s="34">
        <v>8</v>
      </c>
      <c r="N235" s="34">
        <v>3</v>
      </c>
      <c r="O235" s="34">
        <v>0</v>
      </c>
      <c r="P235" s="34">
        <v>0</v>
      </c>
      <c r="Q235" s="34">
        <v>0</v>
      </c>
      <c r="R235" s="34">
        <v>0</v>
      </c>
      <c r="S235" s="34">
        <v>2</v>
      </c>
      <c r="T235" s="34">
        <v>0</v>
      </c>
      <c r="U235" s="34">
        <v>0</v>
      </c>
      <c r="V235" s="34">
        <v>6</v>
      </c>
      <c r="W235" s="34">
        <v>1</v>
      </c>
      <c r="X235" s="34">
        <v>0.17399999999999999</v>
      </c>
      <c r="Y235" s="34">
        <v>0.182</v>
      </c>
      <c r="Z235" s="22">
        <f>X235+Y235</f>
        <v>0.35599999999999998</v>
      </c>
      <c r="AA235" s="22">
        <f>(0.692*(S235+T235)+0.73*U235+0.865*(I235-(J235+K235+L235))+1.334+J235+1.725*K235+2.065*L235)/(G235+S235-T235+U235+R235)</f>
        <v>0.17778260869565216</v>
      </c>
      <c r="AB235" s="22">
        <f>((AA235-$AA$2000)/1.24+$H$2000/$F$2000)*F235</f>
        <v>0.28039567918304431</v>
      </c>
      <c r="AC235" s="22">
        <f>(AB235/F235)/($AB$2000/$F$2000)*100</f>
        <v>5.838658676918584</v>
      </c>
      <c r="AD235" s="22"/>
    </row>
    <row r="236" spans="1:30" ht="15.75" customHeight="1" x14ac:dyDescent="0.15">
      <c r="A236" s="30">
        <v>235</v>
      </c>
      <c r="B236" s="31" t="s">
        <v>3295</v>
      </c>
      <c r="C236" s="49" t="s">
        <v>2655</v>
      </c>
      <c r="D236" s="30">
        <v>9.5000000000000001E-2</v>
      </c>
      <c r="E236" s="30">
        <v>103</v>
      </c>
      <c r="F236" s="33">
        <v>45</v>
      </c>
      <c r="G236" s="30">
        <v>42</v>
      </c>
      <c r="H236" s="30">
        <v>14</v>
      </c>
      <c r="I236" s="30">
        <v>4</v>
      </c>
      <c r="J236" s="30">
        <v>1</v>
      </c>
      <c r="K236" s="30">
        <v>0</v>
      </c>
      <c r="L236" s="30">
        <v>0</v>
      </c>
      <c r="M236" s="30">
        <v>5</v>
      </c>
      <c r="N236" s="30">
        <v>1</v>
      </c>
      <c r="O236" s="30">
        <v>2</v>
      </c>
      <c r="P236" s="30">
        <v>2</v>
      </c>
      <c r="Q236" s="30">
        <v>1</v>
      </c>
      <c r="R236" s="30">
        <v>0</v>
      </c>
      <c r="S236" s="30">
        <v>2</v>
      </c>
      <c r="T236" s="30">
        <v>0</v>
      </c>
      <c r="U236" s="30">
        <v>0</v>
      </c>
      <c r="V236" s="30">
        <v>11</v>
      </c>
      <c r="W236" s="30">
        <v>0</v>
      </c>
      <c r="X236" s="30">
        <v>0.13600000000000001</v>
      </c>
      <c r="Y236" s="30">
        <v>0.11899999999999999</v>
      </c>
      <c r="Z236" s="22">
        <f>X236+Y236</f>
        <v>0.255</v>
      </c>
      <c r="AA236" s="22">
        <f>(0.692*(S236+T236)+0.73*U236+0.865*(I236-(J236+K236+L236))+1.334+J236+1.725*K236+2.065*L236)/(G236+S236-T236+U236+R236)</f>
        <v>0.14347727272727273</v>
      </c>
      <c r="AB236" s="22">
        <f>((AA236-$AA$2000)/1.24+$H$2000/$F$2000)*F236</f>
        <v>-0.9706515875899635</v>
      </c>
      <c r="AC236" s="22">
        <f>(AB236/F236)/($AB$2000/$F$2000)*100</f>
        <v>-20.660958131286957</v>
      </c>
      <c r="AD236" s="22"/>
    </row>
    <row r="237" spans="1:30" ht="15.75" customHeight="1" x14ac:dyDescent="0.15">
      <c r="A237" s="34">
        <v>236</v>
      </c>
      <c r="B237" s="35" t="s">
        <v>3296</v>
      </c>
      <c r="C237" s="56" t="s">
        <v>2653</v>
      </c>
      <c r="D237" s="34">
        <v>0.125</v>
      </c>
      <c r="E237" s="34">
        <v>45</v>
      </c>
      <c r="F237" s="33">
        <v>41</v>
      </c>
      <c r="G237" s="34">
        <v>40</v>
      </c>
      <c r="H237" s="34">
        <v>6</v>
      </c>
      <c r="I237" s="34">
        <v>5</v>
      </c>
      <c r="J237" s="34">
        <v>1</v>
      </c>
      <c r="K237" s="34">
        <v>0</v>
      </c>
      <c r="L237" s="34">
        <v>1</v>
      </c>
      <c r="M237" s="34">
        <v>9</v>
      </c>
      <c r="N237" s="34">
        <v>1</v>
      </c>
      <c r="O237" s="34">
        <v>0</v>
      </c>
      <c r="P237" s="34">
        <v>0</v>
      </c>
      <c r="Q237" s="34">
        <v>0</v>
      </c>
      <c r="R237" s="34">
        <v>0</v>
      </c>
      <c r="S237" s="34">
        <v>1</v>
      </c>
      <c r="T237" s="34">
        <v>0</v>
      </c>
      <c r="U237" s="34">
        <v>0</v>
      </c>
      <c r="V237" s="34">
        <v>17</v>
      </c>
      <c r="W237" s="34">
        <v>0</v>
      </c>
      <c r="X237" s="34">
        <v>0.14599999999999999</v>
      </c>
      <c r="Y237" s="34">
        <v>0.22500000000000001</v>
      </c>
      <c r="Z237" s="22">
        <f>X237+Y237</f>
        <v>0.371</v>
      </c>
      <c r="AA237" s="22">
        <f>(0.692*(S237+T237)+0.73*U237+0.865*(I237-(J237+K237+L237))+1.334+J237+1.725*K237+2.065*L237)/(G237+S237-T237+U237+R237)</f>
        <v>0.18746341463414634</v>
      </c>
      <c r="AB237" s="22">
        <f>((AA237-$AA$2000)/1.24+$H$2000/$F$2000)*F237</f>
        <v>0.57000905206286823</v>
      </c>
      <c r="AC237" s="22">
        <f>(AB237/F237)/($AB$2000/$F$2000)*100</f>
        <v>13.3167270450919</v>
      </c>
      <c r="AD237" s="22"/>
    </row>
    <row r="238" spans="1:30" ht="15.75" customHeight="1" x14ac:dyDescent="0.15">
      <c r="A238" s="30">
        <v>236</v>
      </c>
      <c r="B238" s="31" t="s">
        <v>3297</v>
      </c>
      <c r="C238" s="32" t="s">
        <v>2645</v>
      </c>
      <c r="D238" s="30">
        <v>0.19500000000000001</v>
      </c>
      <c r="E238" s="30">
        <v>30</v>
      </c>
      <c r="F238" s="33">
        <v>41</v>
      </c>
      <c r="G238" s="30">
        <v>41</v>
      </c>
      <c r="H238" s="30">
        <v>1</v>
      </c>
      <c r="I238" s="30">
        <v>8</v>
      </c>
      <c r="J238" s="30">
        <v>0</v>
      </c>
      <c r="K238" s="30">
        <v>0</v>
      </c>
      <c r="L238" s="30">
        <v>1</v>
      </c>
      <c r="M238" s="30">
        <v>11</v>
      </c>
      <c r="N238" s="30">
        <v>5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14</v>
      </c>
      <c r="W238" s="30">
        <v>0</v>
      </c>
      <c r="X238" s="30">
        <v>0.19500000000000001</v>
      </c>
      <c r="Y238" s="30">
        <v>0.26800000000000002</v>
      </c>
      <c r="Z238" s="22">
        <f>X238+Y238</f>
        <v>0.46300000000000002</v>
      </c>
      <c r="AA238" s="22">
        <f>(0.692*(S238+T238)+0.73*U238+0.865*(I238-(J238+K238+L238))+1.334+J238+1.725*K238+2.065*L238)/(G238+S238-T238+U238+R238)</f>
        <v>0.23058536585365852</v>
      </c>
      <c r="AB238" s="22">
        <f>((AA238-$AA$2000)/1.24+$H$2000/$F$2000)*F238</f>
        <v>1.995815503675771</v>
      </c>
      <c r="AC238" s="22">
        <f>(AB238/F238)/($AB$2000/$F$2000)*100</f>
        <v>46.626856536098494</v>
      </c>
      <c r="AD238" s="22"/>
    </row>
    <row r="239" spans="1:30" ht="15.75" customHeight="1" x14ac:dyDescent="0.15">
      <c r="A239" s="34">
        <v>236</v>
      </c>
      <c r="B239" s="35" t="s">
        <v>3423</v>
      </c>
      <c r="C239" s="36" t="s">
        <v>2646</v>
      </c>
      <c r="D239" s="34">
        <v>0.13900000000000001</v>
      </c>
      <c r="E239" s="34">
        <v>21</v>
      </c>
      <c r="F239" s="33">
        <v>41</v>
      </c>
      <c r="G239" s="34">
        <v>36</v>
      </c>
      <c r="H239" s="34">
        <v>2</v>
      </c>
      <c r="I239" s="34">
        <v>5</v>
      </c>
      <c r="J239" s="34">
        <v>0</v>
      </c>
      <c r="K239" s="34">
        <v>0</v>
      </c>
      <c r="L239" s="34">
        <v>2</v>
      </c>
      <c r="M239" s="34">
        <v>11</v>
      </c>
      <c r="N239" s="34">
        <v>4</v>
      </c>
      <c r="O239" s="34">
        <v>0</v>
      </c>
      <c r="P239" s="34">
        <v>0</v>
      </c>
      <c r="Q239" s="34">
        <v>0</v>
      </c>
      <c r="R239" s="34">
        <v>0</v>
      </c>
      <c r="S239" s="34">
        <v>4</v>
      </c>
      <c r="T239" s="34">
        <v>1</v>
      </c>
      <c r="U239" s="34">
        <v>1</v>
      </c>
      <c r="V239" s="34">
        <v>14</v>
      </c>
      <c r="W239" s="34">
        <v>1</v>
      </c>
      <c r="X239" s="34">
        <v>0.24399999999999999</v>
      </c>
      <c r="Y239" s="34">
        <v>0.30599999999999999</v>
      </c>
      <c r="Z239" s="22">
        <f>X239+Y239</f>
        <v>0.55000000000000004</v>
      </c>
      <c r="AA239" s="22">
        <f>(0.692*(S239+T239)+0.73*U239+0.865*(I239-(J239+K239+L239))+1.334+J239+1.725*K239+2.065*L239)/(G239+S239-T239+U239+R239)</f>
        <v>0.30622499999999997</v>
      </c>
      <c r="AB239" s="22">
        <f>((AA239-$AA$2000)/1.24+$H$2000/$F$2000)*F239</f>
        <v>4.4968034069015772</v>
      </c>
      <c r="AC239" s="22">
        <f>(AB239/F239)/($AB$2000/$F$2000)*100</f>
        <v>105.05570627068386</v>
      </c>
      <c r="AD239" s="22"/>
    </row>
    <row r="240" spans="1:30" ht="15.75" customHeight="1" x14ac:dyDescent="0.15">
      <c r="A240" s="30">
        <v>236</v>
      </c>
      <c r="B240" s="31" t="s">
        <v>3298</v>
      </c>
      <c r="C240" s="49" t="s">
        <v>2655</v>
      </c>
      <c r="D240" s="30">
        <v>0.222</v>
      </c>
      <c r="E240" s="30">
        <v>17</v>
      </c>
      <c r="F240" s="33">
        <v>41</v>
      </c>
      <c r="G240" s="30">
        <v>36</v>
      </c>
      <c r="H240" s="30">
        <v>5</v>
      </c>
      <c r="I240" s="30">
        <v>8</v>
      </c>
      <c r="J240" s="30">
        <v>2</v>
      </c>
      <c r="K240" s="30">
        <v>1</v>
      </c>
      <c r="L240" s="30">
        <v>1</v>
      </c>
      <c r="M240" s="30">
        <v>15</v>
      </c>
      <c r="N240" s="30">
        <v>2</v>
      </c>
      <c r="O240" s="30">
        <v>0</v>
      </c>
      <c r="P240" s="30">
        <v>0</v>
      </c>
      <c r="Q240" s="30">
        <v>0</v>
      </c>
      <c r="R240" s="30">
        <v>0</v>
      </c>
      <c r="S240" s="30">
        <v>5</v>
      </c>
      <c r="T240" s="30">
        <v>0</v>
      </c>
      <c r="U240" s="30">
        <v>0</v>
      </c>
      <c r="V240" s="30">
        <v>12</v>
      </c>
      <c r="W240" s="30">
        <v>0</v>
      </c>
      <c r="X240" s="30">
        <v>0.317</v>
      </c>
      <c r="Y240" s="30">
        <v>0.41699999999999998</v>
      </c>
      <c r="Z240" s="22">
        <f>X240+Y240</f>
        <v>0.73399999999999999</v>
      </c>
      <c r="AA240" s="22">
        <f>(0.692*(S240+T240)+0.73*U240+0.865*(I240-(J240+K240+L240))+1.334+J240+1.725*K240+2.065*L240)/(G240+S240-T240+U240+R240)</f>
        <v>0.34253658536585363</v>
      </c>
      <c r="AB240" s="22">
        <f>((AA240-$AA$2000)/1.24+$H$2000/$F$2000)*F240</f>
        <v>5.6974284069015768</v>
      </c>
      <c r="AC240" s="22">
        <f>(AB240/F240)/($AB$2000/$F$2000)*100</f>
        <v>133.10507733005795</v>
      </c>
      <c r="AD240" s="22"/>
    </row>
    <row r="241" spans="1:30" ht="15.75" customHeight="1" x14ac:dyDescent="0.15">
      <c r="A241" s="34">
        <v>236</v>
      </c>
      <c r="B241" s="35" t="s">
        <v>3299</v>
      </c>
      <c r="C241" s="57" t="s">
        <v>2654</v>
      </c>
      <c r="D241" s="34">
        <v>0.17599999999999999</v>
      </c>
      <c r="E241" s="34">
        <v>14</v>
      </c>
      <c r="F241" s="33">
        <v>41</v>
      </c>
      <c r="G241" s="34">
        <v>34</v>
      </c>
      <c r="H241" s="34">
        <v>5</v>
      </c>
      <c r="I241" s="34">
        <v>6</v>
      </c>
      <c r="J241" s="34">
        <v>1</v>
      </c>
      <c r="K241" s="34">
        <v>0</v>
      </c>
      <c r="L241" s="34">
        <v>3</v>
      </c>
      <c r="M241" s="34">
        <v>16</v>
      </c>
      <c r="N241" s="34">
        <v>7</v>
      </c>
      <c r="O241" s="34">
        <v>0</v>
      </c>
      <c r="P241" s="34">
        <v>0</v>
      </c>
      <c r="Q241" s="34">
        <v>0</v>
      </c>
      <c r="R241" s="34">
        <v>0</v>
      </c>
      <c r="S241" s="34">
        <v>4</v>
      </c>
      <c r="T241" s="34">
        <v>1</v>
      </c>
      <c r="U241" s="34">
        <v>3</v>
      </c>
      <c r="V241" s="34">
        <v>16</v>
      </c>
      <c r="W241" s="34">
        <v>0</v>
      </c>
      <c r="X241" s="34">
        <v>0.317</v>
      </c>
      <c r="Y241" s="34">
        <v>0.47099999999999997</v>
      </c>
      <c r="Z241" s="22">
        <f>X241+Y241</f>
        <v>0.78800000000000003</v>
      </c>
      <c r="AA241" s="22">
        <f>(0.692*(S241+T241)+0.73*U241+0.865*(I241-(J241+K241+L241))+1.334+J241+1.725*K241+2.065*L241)/(G241+S241-T241+U241+R241)</f>
        <v>0.397725</v>
      </c>
      <c r="AB241" s="22">
        <f>((AA241-$AA$2000)/1.24+$H$2000/$F$2000)*F241</f>
        <v>7.5222066327080288</v>
      </c>
      <c r="AC241" s="22">
        <f>(AB241/F241)/($AB$2000/$F$2000)*100</f>
        <v>175.73610829868801</v>
      </c>
      <c r="AD241" s="22"/>
    </row>
    <row r="242" spans="1:30" ht="15.75" customHeight="1" x14ac:dyDescent="0.15">
      <c r="A242" s="30">
        <v>241</v>
      </c>
      <c r="B242" s="31" t="s">
        <v>3301</v>
      </c>
      <c r="C242" s="39" t="s">
        <v>2649</v>
      </c>
      <c r="D242" s="30">
        <v>0.22600000000000001</v>
      </c>
      <c r="E242" s="30">
        <v>24</v>
      </c>
      <c r="F242" s="33">
        <v>40</v>
      </c>
      <c r="G242" s="30">
        <v>31</v>
      </c>
      <c r="H242" s="30">
        <v>5</v>
      </c>
      <c r="I242" s="30">
        <v>7</v>
      </c>
      <c r="J242" s="30">
        <v>1</v>
      </c>
      <c r="K242" s="30">
        <v>0</v>
      </c>
      <c r="L242" s="30">
        <v>0</v>
      </c>
      <c r="M242" s="30">
        <v>8</v>
      </c>
      <c r="N242" s="30">
        <v>2</v>
      </c>
      <c r="O242" s="30">
        <v>0</v>
      </c>
      <c r="P242" s="30">
        <v>0</v>
      </c>
      <c r="Q242" s="30">
        <v>1</v>
      </c>
      <c r="R242" s="30">
        <v>0</v>
      </c>
      <c r="S242" s="30">
        <v>7</v>
      </c>
      <c r="T242" s="30">
        <v>0</v>
      </c>
      <c r="U242" s="30">
        <v>1</v>
      </c>
      <c r="V242" s="30">
        <v>9</v>
      </c>
      <c r="W242" s="30">
        <v>0</v>
      </c>
      <c r="X242" s="30">
        <v>0.38500000000000001</v>
      </c>
      <c r="Y242" s="30">
        <v>0.25800000000000001</v>
      </c>
      <c r="Z242" s="22">
        <f>X242+Y242</f>
        <v>0.64300000000000002</v>
      </c>
      <c r="AA242" s="22">
        <f>(0.692*(S242+T242)+0.73*U242+0.865*(I242-(J242+K242+L242))+1.334+J242+1.725*K242+2.065*L242)/(G242+S242-T242+U242+R242)</f>
        <v>0.33584615384615379</v>
      </c>
      <c r="AB242" s="22">
        <f>((AA242-$AA$2000)/1.24+$H$2000/$F$2000)*F242</f>
        <v>5.342646366837343</v>
      </c>
      <c r="AC242" s="22">
        <f>(AB242/F242)/($AB$2000/$F$2000)*100</f>
        <v>127.93696378302828</v>
      </c>
      <c r="AD242" s="22"/>
    </row>
    <row r="243" spans="1:30" ht="15.75" customHeight="1" x14ac:dyDescent="0.15">
      <c r="A243" s="34">
        <v>242</v>
      </c>
      <c r="B243" s="35" t="s">
        <v>3300</v>
      </c>
      <c r="C243" s="38" t="s">
        <v>2648</v>
      </c>
      <c r="D243" s="34">
        <v>0.216</v>
      </c>
      <c r="E243" s="34">
        <v>27</v>
      </c>
      <c r="F243" s="33">
        <v>39</v>
      </c>
      <c r="G243" s="34">
        <v>37</v>
      </c>
      <c r="H243" s="34">
        <v>3</v>
      </c>
      <c r="I243" s="34">
        <v>8</v>
      </c>
      <c r="J243" s="34">
        <v>2</v>
      </c>
      <c r="K243" s="34">
        <v>0</v>
      </c>
      <c r="L243" s="34">
        <v>0</v>
      </c>
      <c r="M243" s="34">
        <v>10</v>
      </c>
      <c r="N243" s="34">
        <v>2</v>
      </c>
      <c r="O243" s="34">
        <v>0</v>
      </c>
      <c r="P243" s="34">
        <v>0</v>
      </c>
      <c r="Q243" s="34">
        <v>0</v>
      </c>
      <c r="R243" s="34">
        <v>0</v>
      </c>
      <c r="S243" s="34">
        <v>2</v>
      </c>
      <c r="T243" s="34">
        <v>1</v>
      </c>
      <c r="U243" s="34">
        <v>0</v>
      </c>
      <c r="V243" s="34">
        <v>9</v>
      </c>
      <c r="W243" s="34">
        <v>1</v>
      </c>
      <c r="X243" s="34">
        <v>0.25600000000000001</v>
      </c>
      <c r="Y243" s="34">
        <v>0.27</v>
      </c>
      <c r="Z243" s="22">
        <f>X243+Y243</f>
        <v>0.52600000000000002</v>
      </c>
      <c r="AA243" s="22">
        <f>(0.692*(S243+T243)+0.73*U243+0.865*(I243-(J243+K243+L243))+1.334+J243+1.725*K243+2.065*L243)/(G243+S243-T243+U243+R243)</f>
        <v>0.27894736842105261</v>
      </c>
      <c r="AB243" s="22">
        <f>((AA243-$AA$2000)/1.24+$H$2000/$F$2000)*F243</f>
        <v>3.4195216338124199</v>
      </c>
      <c r="AC243" s="22">
        <f>(AB243/F243)/($AB$2000/$F$2000)*100</f>
        <v>83.984733960609773</v>
      </c>
      <c r="AD243" s="22"/>
    </row>
    <row r="244" spans="1:30" ht="15.75" customHeight="1" x14ac:dyDescent="0.15">
      <c r="A244" s="30">
        <v>243</v>
      </c>
      <c r="B244" s="31" t="s">
        <v>3304</v>
      </c>
      <c r="C244" s="39" t="s">
        <v>2649</v>
      </c>
      <c r="D244" s="30">
        <v>0.26500000000000001</v>
      </c>
      <c r="E244" s="30">
        <v>16</v>
      </c>
      <c r="F244" s="33">
        <v>38</v>
      </c>
      <c r="G244" s="30">
        <v>34</v>
      </c>
      <c r="H244" s="30">
        <v>5</v>
      </c>
      <c r="I244" s="30">
        <v>9</v>
      </c>
      <c r="J244" s="30">
        <v>3</v>
      </c>
      <c r="K244" s="30">
        <v>0</v>
      </c>
      <c r="L244" s="30">
        <v>0</v>
      </c>
      <c r="M244" s="30">
        <v>12</v>
      </c>
      <c r="N244" s="30">
        <v>5</v>
      </c>
      <c r="O244" s="30">
        <v>0</v>
      </c>
      <c r="P244" s="30">
        <v>0</v>
      </c>
      <c r="Q244" s="30">
        <v>1</v>
      </c>
      <c r="R244" s="30">
        <v>0</v>
      </c>
      <c r="S244" s="30">
        <v>3</v>
      </c>
      <c r="T244" s="30">
        <v>0</v>
      </c>
      <c r="U244" s="30">
        <v>0</v>
      </c>
      <c r="V244" s="30">
        <v>7</v>
      </c>
      <c r="W244" s="30">
        <v>1</v>
      </c>
      <c r="X244" s="30">
        <v>0.32400000000000001</v>
      </c>
      <c r="Y244" s="30">
        <v>0.35299999999999998</v>
      </c>
      <c r="Z244" s="22">
        <f>X244+Y244</f>
        <v>0.67700000000000005</v>
      </c>
      <c r="AA244" s="22">
        <f>(0.692*(S244+T244)+0.73*U244+0.865*(I244-(J244+K244+L244))+1.334+J244+1.725*K244+2.065*L244)/(G244+S244-T244+U244+R244)</f>
        <v>0.31351351351351353</v>
      </c>
      <c r="AB244" s="22">
        <f>((AA244-$AA$2000)/1.24+$H$2000/$F$2000)*F244</f>
        <v>4.391126683462951</v>
      </c>
      <c r="AC244" s="22">
        <f>(AB244/F244)/($AB$2000/$F$2000)*100</f>
        <v>110.68581627419948</v>
      </c>
      <c r="AD244" s="22"/>
    </row>
    <row r="245" spans="1:30" ht="15.75" customHeight="1" x14ac:dyDescent="0.15">
      <c r="A245" s="34">
        <v>244</v>
      </c>
      <c r="B245" s="35" t="s">
        <v>3302</v>
      </c>
      <c r="C245" s="36" t="s">
        <v>2646</v>
      </c>
      <c r="D245" s="34">
        <v>0.125</v>
      </c>
      <c r="E245" s="34">
        <v>21</v>
      </c>
      <c r="F245" s="33">
        <v>37</v>
      </c>
      <c r="G245" s="34">
        <v>32</v>
      </c>
      <c r="H245" s="34">
        <v>2</v>
      </c>
      <c r="I245" s="34">
        <v>4</v>
      </c>
      <c r="J245" s="34">
        <v>1</v>
      </c>
      <c r="K245" s="34">
        <v>0</v>
      </c>
      <c r="L245" s="34">
        <v>1</v>
      </c>
      <c r="M245" s="34">
        <v>8</v>
      </c>
      <c r="N245" s="34">
        <v>4</v>
      </c>
      <c r="O245" s="34">
        <v>0</v>
      </c>
      <c r="P245" s="34">
        <v>0</v>
      </c>
      <c r="Q245" s="34">
        <v>1</v>
      </c>
      <c r="R245" s="34">
        <v>0</v>
      </c>
      <c r="S245" s="34">
        <v>4</v>
      </c>
      <c r="T245" s="34">
        <v>0</v>
      </c>
      <c r="U245" s="34">
        <v>0</v>
      </c>
      <c r="V245" s="34">
        <v>6</v>
      </c>
      <c r="W245" s="34">
        <v>0</v>
      </c>
      <c r="X245" s="34">
        <v>0.222</v>
      </c>
      <c r="Y245" s="34">
        <v>0.25</v>
      </c>
      <c r="Z245" s="22">
        <f>X245+Y245</f>
        <v>0.47199999999999998</v>
      </c>
      <c r="AA245" s="22">
        <f>(0.692*(S245+T245)+0.73*U245+0.865*(I245-(J245+K245+L245))+1.334+J245+1.725*K245+2.065*L245)/(G245+S245-T245+U245+R245)</f>
        <v>0.24713888888888885</v>
      </c>
      <c r="AB245" s="22">
        <f>((AA245-$AA$2000)/1.24+$H$2000/$F$2000)*F245</f>
        <v>2.2950375639867975</v>
      </c>
      <c r="AC245" s="22">
        <f>(AB245/F245)/($AB$2000/$F$2000)*100</f>
        <v>59.413847389758679</v>
      </c>
      <c r="AD245" s="22"/>
    </row>
    <row r="246" spans="1:30" ht="15.75" customHeight="1" x14ac:dyDescent="0.15">
      <c r="A246" s="30">
        <v>244</v>
      </c>
      <c r="B246" s="31" t="s">
        <v>3303</v>
      </c>
      <c r="C246" s="44" t="s">
        <v>2653</v>
      </c>
      <c r="D246" s="30">
        <v>0.121</v>
      </c>
      <c r="E246" s="30">
        <v>16</v>
      </c>
      <c r="F246" s="33">
        <v>37</v>
      </c>
      <c r="G246" s="30">
        <v>33</v>
      </c>
      <c r="H246" s="30">
        <v>2</v>
      </c>
      <c r="I246" s="30">
        <v>4</v>
      </c>
      <c r="J246" s="30">
        <v>1</v>
      </c>
      <c r="K246" s="30">
        <v>0</v>
      </c>
      <c r="L246" s="30">
        <v>1</v>
      </c>
      <c r="M246" s="30">
        <v>8</v>
      </c>
      <c r="N246" s="30">
        <v>7</v>
      </c>
      <c r="O246" s="30">
        <v>0</v>
      </c>
      <c r="P246" s="30">
        <v>0</v>
      </c>
      <c r="Q246" s="30">
        <v>0</v>
      </c>
      <c r="R246" s="30">
        <v>0</v>
      </c>
      <c r="S246" s="30">
        <v>3</v>
      </c>
      <c r="T246" s="30">
        <v>0</v>
      </c>
      <c r="U246" s="30">
        <v>1</v>
      </c>
      <c r="V246" s="30">
        <v>17</v>
      </c>
      <c r="W246" s="30">
        <v>1</v>
      </c>
      <c r="X246" s="30">
        <v>0.216</v>
      </c>
      <c r="Y246" s="30">
        <v>0.24199999999999999</v>
      </c>
      <c r="Z246" s="22">
        <f>X246+Y246</f>
        <v>0.45799999999999996</v>
      </c>
      <c r="AA246" s="22">
        <f>(0.692*(S246+T246)+0.73*U246+0.865*(I246-(J246+K246+L246))+1.334+J246+1.725*K246+2.065*L246)/(G246+S246-T246+U246+R246)</f>
        <v>0.24148648648648646</v>
      </c>
      <c r="AB246" s="22">
        <f>((AA246-$AA$2000)/1.24+$H$2000/$F$2000)*F246</f>
        <v>2.126377169721565</v>
      </c>
      <c r="AC246" s="22">
        <f>(AB246/F246)/($AB$2000/$F$2000)*100</f>
        <v>55.047573354503413</v>
      </c>
      <c r="AD246" s="22"/>
    </row>
    <row r="247" spans="1:30" ht="15.75" customHeight="1" x14ac:dyDescent="0.15">
      <c r="A247" s="34">
        <v>246</v>
      </c>
      <c r="B247" s="35" t="s">
        <v>3305</v>
      </c>
      <c r="C247" s="38" t="s">
        <v>2648</v>
      </c>
      <c r="D247" s="34">
        <v>0.125</v>
      </c>
      <c r="E247" s="34">
        <v>28</v>
      </c>
      <c r="F247" s="33">
        <v>36</v>
      </c>
      <c r="G247" s="34">
        <v>32</v>
      </c>
      <c r="H247" s="34">
        <v>1</v>
      </c>
      <c r="I247" s="34">
        <v>4</v>
      </c>
      <c r="J247" s="34">
        <v>1</v>
      </c>
      <c r="K247" s="34">
        <v>0</v>
      </c>
      <c r="L247" s="34">
        <v>1</v>
      </c>
      <c r="M247" s="34">
        <v>8</v>
      </c>
      <c r="N247" s="34">
        <v>2</v>
      </c>
      <c r="O247" s="34">
        <v>0</v>
      </c>
      <c r="P247" s="34">
        <v>0</v>
      </c>
      <c r="Q247" s="34">
        <v>3</v>
      </c>
      <c r="R247" s="34">
        <v>0</v>
      </c>
      <c r="S247" s="34">
        <v>1</v>
      </c>
      <c r="T247" s="34">
        <v>0</v>
      </c>
      <c r="U247" s="34">
        <v>0</v>
      </c>
      <c r="V247" s="34">
        <v>11</v>
      </c>
      <c r="W247" s="34">
        <v>2</v>
      </c>
      <c r="X247" s="34">
        <v>0.152</v>
      </c>
      <c r="Y247" s="34">
        <v>0.25</v>
      </c>
      <c r="Z247" s="22">
        <f>X247+Y247</f>
        <v>0.40200000000000002</v>
      </c>
      <c r="AA247" s="22">
        <f>(0.692*(S247+T247)+0.73*U247+0.865*(I247-(J247+K247+L247))+1.334+J247+1.725*K247+2.065*L247)/(G247+S247-T247+U247+R247)</f>
        <v>0.20669696969696968</v>
      </c>
      <c r="AB247" s="22">
        <f>((AA247-$AA$2000)/1.24+$H$2000/$F$2000)*F247</f>
        <v>1.0588892871127793</v>
      </c>
      <c r="AC247" s="22">
        <f>(AB247/F247)/($AB$2000/$F$2000)*100</f>
        <v>28.173944578076693</v>
      </c>
      <c r="AD247" s="22"/>
    </row>
    <row r="248" spans="1:30" ht="15.75" customHeight="1" x14ac:dyDescent="0.15">
      <c r="A248" s="30">
        <v>246</v>
      </c>
      <c r="B248" s="31" t="s">
        <v>3306</v>
      </c>
      <c r="C248" s="55" t="s">
        <v>2652</v>
      </c>
      <c r="D248" s="30">
        <v>0.13300000000000001</v>
      </c>
      <c r="E248" s="30">
        <v>22</v>
      </c>
      <c r="F248" s="33">
        <v>36</v>
      </c>
      <c r="G248" s="30">
        <v>30</v>
      </c>
      <c r="H248" s="30">
        <v>1</v>
      </c>
      <c r="I248" s="30">
        <v>4</v>
      </c>
      <c r="J248" s="30">
        <v>0</v>
      </c>
      <c r="K248" s="30">
        <v>0</v>
      </c>
      <c r="L248" s="30">
        <v>1</v>
      </c>
      <c r="M248" s="30">
        <v>7</v>
      </c>
      <c r="N248" s="30">
        <v>2</v>
      </c>
      <c r="O248" s="30">
        <v>0</v>
      </c>
      <c r="P248" s="30">
        <v>0</v>
      </c>
      <c r="Q248" s="30">
        <v>2</v>
      </c>
      <c r="R248" s="30">
        <v>0</v>
      </c>
      <c r="S248" s="30">
        <v>3</v>
      </c>
      <c r="T248" s="30">
        <v>0</v>
      </c>
      <c r="U248" s="30">
        <v>1</v>
      </c>
      <c r="V248" s="30">
        <v>10</v>
      </c>
      <c r="W248" s="30">
        <v>0</v>
      </c>
      <c r="X248" s="30">
        <v>0.23499999999999999</v>
      </c>
      <c r="Y248" s="30">
        <v>0.23300000000000001</v>
      </c>
      <c r="Z248" s="22">
        <f>X248+Y248</f>
        <v>0.46799999999999997</v>
      </c>
      <c r="AA248" s="22">
        <f>(0.692*(S248+T248)+0.73*U248+0.865*(I248-(J248+K248+L248))+1.334+J248+1.725*K248+2.065*L248)/(G248+S248-T248+U248+R248)</f>
        <v>0.25882352941176467</v>
      </c>
      <c r="AB248" s="22">
        <f>((AA248-$AA$2000)/1.24+$H$2000/$F$2000)*F248</f>
        <v>2.5722410207681179</v>
      </c>
      <c r="AC248" s="22">
        <f>(AB248/F248)/($AB$2000/$F$2000)*100</f>
        <v>68.439804654344158</v>
      </c>
      <c r="AD248" s="22"/>
    </row>
    <row r="249" spans="1:30" ht="15.75" customHeight="1" x14ac:dyDescent="0.15">
      <c r="A249" s="34">
        <v>246</v>
      </c>
      <c r="B249" s="35" t="s">
        <v>3307</v>
      </c>
      <c r="C249" s="42" t="s">
        <v>2652</v>
      </c>
      <c r="D249" s="34">
        <v>0.11799999999999999</v>
      </c>
      <c r="E249" s="34">
        <v>20</v>
      </c>
      <c r="F249" s="33">
        <v>36</v>
      </c>
      <c r="G249" s="34">
        <v>34</v>
      </c>
      <c r="H249" s="34">
        <v>0</v>
      </c>
      <c r="I249" s="34">
        <v>4</v>
      </c>
      <c r="J249" s="34">
        <v>1</v>
      </c>
      <c r="K249" s="34">
        <v>0</v>
      </c>
      <c r="L249" s="34">
        <v>0</v>
      </c>
      <c r="M249" s="34">
        <v>5</v>
      </c>
      <c r="N249" s="34">
        <v>0</v>
      </c>
      <c r="O249" s="34">
        <v>0</v>
      </c>
      <c r="P249" s="34">
        <v>0</v>
      </c>
      <c r="Q249" s="34">
        <v>1</v>
      </c>
      <c r="R249" s="34">
        <v>0</v>
      </c>
      <c r="S249" s="34">
        <v>0</v>
      </c>
      <c r="T249" s="34">
        <v>0</v>
      </c>
      <c r="U249" s="34">
        <v>1</v>
      </c>
      <c r="V249" s="34">
        <v>14</v>
      </c>
      <c r="W249" s="34">
        <v>0</v>
      </c>
      <c r="X249" s="34">
        <v>0.14299999999999999</v>
      </c>
      <c r="Y249" s="34">
        <v>0.14699999999999999</v>
      </c>
      <c r="Z249" s="22">
        <f>X249+Y249</f>
        <v>0.28999999999999998</v>
      </c>
      <c r="AA249" s="22">
        <f>(0.692*(S249+T249)+0.73*U249+0.865*(I249-(J249+K249+L249))+1.334+J249+1.725*K249+2.065*L249)/(G249+S249-T249+U249+R249)</f>
        <v>0.16168571428571429</v>
      </c>
      <c r="AB249" s="22">
        <f>((AA249-$AA$2000)/1.24+$H$2000/$F$2000)*F249</f>
        <v>-0.24788909579463519</v>
      </c>
      <c r="AC249" s="22">
        <f>(AB249/F249)/($AB$2000/$F$2000)*100</f>
        <v>-6.5956032716796651</v>
      </c>
      <c r="AD249" s="22"/>
    </row>
    <row r="250" spans="1:30" ht="15.75" customHeight="1" x14ac:dyDescent="0.15">
      <c r="A250" s="30">
        <v>246</v>
      </c>
      <c r="B250" s="31" t="s">
        <v>3308</v>
      </c>
      <c r="C250" s="49" t="s">
        <v>2655</v>
      </c>
      <c r="D250" s="30">
        <v>0.152</v>
      </c>
      <c r="E250" s="30">
        <v>15</v>
      </c>
      <c r="F250" s="33">
        <v>36</v>
      </c>
      <c r="G250" s="30">
        <v>33</v>
      </c>
      <c r="H250" s="30">
        <v>3</v>
      </c>
      <c r="I250" s="30">
        <v>5</v>
      </c>
      <c r="J250" s="30">
        <v>4</v>
      </c>
      <c r="K250" s="30">
        <v>0</v>
      </c>
      <c r="L250" s="30">
        <v>0</v>
      </c>
      <c r="M250" s="30">
        <v>9</v>
      </c>
      <c r="N250" s="30">
        <v>4</v>
      </c>
      <c r="O250" s="30">
        <v>0</v>
      </c>
      <c r="P250" s="30">
        <v>1</v>
      </c>
      <c r="Q250" s="30">
        <v>0</v>
      </c>
      <c r="R250" s="30">
        <v>1</v>
      </c>
      <c r="S250" s="30">
        <v>2</v>
      </c>
      <c r="T250" s="30">
        <v>0</v>
      </c>
      <c r="U250" s="30">
        <v>0</v>
      </c>
      <c r="V250" s="30">
        <v>8</v>
      </c>
      <c r="W250" s="30">
        <v>1</v>
      </c>
      <c r="X250" s="30">
        <v>0.19400000000000001</v>
      </c>
      <c r="Y250" s="30">
        <v>0.27300000000000002</v>
      </c>
      <c r="Z250" s="22">
        <f>X250+Y250</f>
        <v>0.46700000000000003</v>
      </c>
      <c r="AA250" s="22">
        <f>(0.692*(S250+T250)+0.73*U250+0.865*(I250-(J250+K250+L250))+1.334+J250+1.725*K250+2.065*L250)/(G250+S250-T250+U250+R250)</f>
        <v>0.2106388888888889</v>
      </c>
      <c r="AB250" s="22">
        <f>((AA250-$AA$2000)/1.24+$H$2000/$F$2000)*F250</f>
        <v>1.1733321023620469</v>
      </c>
      <c r="AC250" s="22">
        <f>(AB250/F250)/($AB$2000/$F$2000)*100</f>
        <v>31.218932919571284</v>
      </c>
      <c r="AD250" s="22"/>
    </row>
    <row r="251" spans="1:30" ht="15.75" customHeight="1" x14ac:dyDescent="0.15">
      <c r="A251" s="34">
        <v>250</v>
      </c>
      <c r="B251" s="35" t="s">
        <v>3309</v>
      </c>
      <c r="C251" s="58" t="s">
        <v>2645</v>
      </c>
      <c r="D251" s="34">
        <v>0.129</v>
      </c>
      <c r="E251" s="34">
        <v>19</v>
      </c>
      <c r="F251" s="33">
        <v>35</v>
      </c>
      <c r="G251" s="34">
        <v>31</v>
      </c>
      <c r="H251" s="34">
        <v>2</v>
      </c>
      <c r="I251" s="34">
        <v>4</v>
      </c>
      <c r="J251" s="34">
        <v>1</v>
      </c>
      <c r="K251" s="34">
        <v>0</v>
      </c>
      <c r="L251" s="34">
        <v>2</v>
      </c>
      <c r="M251" s="34">
        <v>11</v>
      </c>
      <c r="N251" s="34">
        <v>7</v>
      </c>
      <c r="O251" s="34">
        <v>0</v>
      </c>
      <c r="P251" s="34">
        <v>0</v>
      </c>
      <c r="Q251" s="34">
        <v>0</v>
      </c>
      <c r="R251" s="34">
        <v>0</v>
      </c>
      <c r="S251" s="34">
        <v>2</v>
      </c>
      <c r="T251" s="34">
        <v>0</v>
      </c>
      <c r="U251" s="34">
        <v>2</v>
      </c>
      <c r="V251" s="34">
        <v>16</v>
      </c>
      <c r="W251" s="34">
        <v>0</v>
      </c>
      <c r="X251" s="34">
        <v>0.22900000000000001</v>
      </c>
      <c r="Y251" s="34">
        <v>0.35499999999999998</v>
      </c>
      <c r="Z251" s="22">
        <f>X251+Y251</f>
        <v>0.58399999999999996</v>
      </c>
      <c r="AA251" s="22">
        <f>(0.692*(S251+T251)+0.73*U251+0.865*(I251-(J251+K251+L251))+1.334+J251+1.725*K251+2.065*L251)/(G251+S251-T251+U251+R251)</f>
        <v>0.29065714285714278</v>
      </c>
      <c r="AB251" s="22">
        <f>((AA251-$AA$2000)/1.24+$H$2000/$F$2000)*F251</f>
        <v>3.3993192930670411</v>
      </c>
      <c r="AC251" s="22">
        <f>(AB251/F251)/($AB$2000/$F$2000)*100</f>
        <v>93.030106253507014</v>
      </c>
      <c r="AD251" s="22"/>
    </row>
    <row r="252" spans="1:30" ht="15.75" customHeight="1" x14ac:dyDescent="0.15">
      <c r="A252" s="30">
        <v>250</v>
      </c>
      <c r="B252" s="31" t="s">
        <v>3310</v>
      </c>
      <c r="C252" s="37" t="s">
        <v>2647</v>
      </c>
      <c r="D252" s="30">
        <v>0.129</v>
      </c>
      <c r="E252" s="30">
        <v>11</v>
      </c>
      <c r="F252" s="33">
        <v>35</v>
      </c>
      <c r="G252" s="30">
        <v>31</v>
      </c>
      <c r="H252" s="30">
        <v>4</v>
      </c>
      <c r="I252" s="30">
        <v>4</v>
      </c>
      <c r="J252" s="30">
        <v>0</v>
      </c>
      <c r="K252" s="30">
        <v>0</v>
      </c>
      <c r="L252" s="30">
        <v>1</v>
      </c>
      <c r="M252" s="30">
        <v>7</v>
      </c>
      <c r="N252" s="30">
        <v>3</v>
      </c>
      <c r="O252" s="30">
        <v>0</v>
      </c>
      <c r="P252" s="30">
        <v>0</v>
      </c>
      <c r="Q252" s="30">
        <v>0</v>
      </c>
      <c r="R252" s="30">
        <v>0</v>
      </c>
      <c r="S252" s="30">
        <v>4</v>
      </c>
      <c r="T252" s="30">
        <v>0</v>
      </c>
      <c r="U252" s="30">
        <v>0</v>
      </c>
      <c r="V252" s="30">
        <v>17</v>
      </c>
      <c r="W252" s="30">
        <v>0</v>
      </c>
      <c r="X252" s="30">
        <v>0.22900000000000001</v>
      </c>
      <c r="Y252" s="30">
        <v>0.22600000000000001</v>
      </c>
      <c r="Z252" s="22">
        <f>X252+Y252</f>
        <v>0.45500000000000002</v>
      </c>
      <c r="AA252" s="22">
        <f>(0.692*(S252+T252)+0.73*U252+0.865*(I252-(J252+K252+L252))+1.334+J252+1.725*K252+2.065*L252)/(G252+S252-T252+U252+R252)</f>
        <v>0.25034285714285709</v>
      </c>
      <c r="AB252" s="22">
        <f>((AA252-$AA$2000)/1.24+$H$2000/$F$2000)*F252</f>
        <v>2.2614160672605901</v>
      </c>
      <c r="AC252" s="22">
        <f>(AB252/F252)/($AB$2000/$F$2000)*100</f>
        <v>61.888795633206072</v>
      </c>
      <c r="AD252" s="22"/>
    </row>
    <row r="253" spans="1:30" ht="15.75" customHeight="1" x14ac:dyDescent="0.15">
      <c r="A253" s="34">
        <v>252</v>
      </c>
      <c r="B253" s="35" t="s">
        <v>3311</v>
      </c>
      <c r="C253" s="58" t="s">
        <v>2645</v>
      </c>
      <c r="D253" s="34">
        <v>0.152</v>
      </c>
      <c r="E253" s="34">
        <v>15</v>
      </c>
      <c r="F253" s="33">
        <v>34</v>
      </c>
      <c r="G253" s="34">
        <v>33</v>
      </c>
      <c r="H253" s="34">
        <v>5</v>
      </c>
      <c r="I253" s="34">
        <v>5</v>
      </c>
      <c r="J253" s="34">
        <v>2</v>
      </c>
      <c r="K253" s="34">
        <v>0</v>
      </c>
      <c r="L253" s="34">
        <v>0</v>
      </c>
      <c r="M253" s="34">
        <v>7</v>
      </c>
      <c r="N253" s="34">
        <v>1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4">
        <v>0</v>
      </c>
      <c r="U253" s="34">
        <v>1</v>
      </c>
      <c r="V253" s="34">
        <v>11</v>
      </c>
      <c r="W253" s="34">
        <v>0</v>
      </c>
      <c r="X253" s="34">
        <v>0.17599999999999999</v>
      </c>
      <c r="Y253" s="34">
        <v>0.21199999999999999</v>
      </c>
      <c r="Z253" s="22">
        <f>X253+Y253</f>
        <v>0.38800000000000001</v>
      </c>
      <c r="AA253" s="22">
        <f>(0.692*(S253+T253)+0.73*U253+0.865*(I253-(J253+K253+L253))+1.334+J253+1.725*K253+2.065*L253)/(G253+S253-T253+U253+R253)</f>
        <v>0.19585294117647059</v>
      </c>
      <c r="AB253" s="22">
        <f>((AA253-$AA$2000)/1.24+$H$2000/$F$2000)*F253</f>
        <v>0.70272583861075022</v>
      </c>
      <c r="AC253" s="22">
        <f>(AB253/F253)/($AB$2000/$F$2000)*100</f>
        <v>19.797329327453539</v>
      </c>
      <c r="AD253" s="22"/>
    </row>
    <row r="254" spans="1:30" ht="15.75" customHeight="1" x14ac:dyDescent="0.15">
      <c r="A254" s="30">
        <v>253</v>
      </c>
      <c r="B254" s="31" t="s">
        <v>3312</v>
      </c>
      <c r="C254" s="37" t="s">
        <v>2647</v>
      </c>
      <c r="D254" s="30">
        <v>0.22600000000000001</v>
      </c>
      <c r="E254" s="30">
        <v>26</v>
      </c>
      <c r="F254" s="33">
        <v>33</v>
      </c>
      <c r="G254" s="30">
        <v>31</v>
      </c>
      <c r="H254" s="30">
        <v>5</v>
      </c>
      <c r="I254" s="30">
        <v>7</v>
      </c>
      <c r="J254" s="30">
        <v>2</v>
      </c>
      <c r="K254" s="30">
        <v>3</v>
      </c>
      <c r="L254" s="30">
        <v>0</v>
      </c>
      <c r="M254" s="30">
        <v>15</v>
      </c>
      <c r="N254" s="30">
        <v>3</v>
      </c>
      <c r="O254" s="30">
        <v>0</v>
      </c>
      <c r="P254" s="30">
        <v>0</v>
      </c>
      <c r="Q254" s="30">
        <v>0</v>
      </c>
      <c r="R254" s="30">
        <v>1</v>
      </c>
      <c r="S254" s="30">
        <v>1</v>
      </c>
      <c r="T254" s="30">
        <v>0</v>
      </c>
      <c r="U254" s="30">
        <v>0</v>
      </c>
      <c r="V254" s="30">
        <v>6</v>
      </c>
      <c r="W254" s="30">
        <v>0</v>
      </c>
      <c r="X254" s="30">
        <v>0.24199999999999999</v>
      </c>
      <c r="Y254" s="30">
        <v>0.48399999999999999</v>
      </c>
      <c r="Z254" s="22">
        <f>X254+Y254</f>
        <v>0.72599999999999998</v>
      </c>
      <c r="AA254" s="22">
        <f>(0.692*(S254+T254)+0.73*U254+0.865*(I254-(J254+K254+L254))+1.334+J254+1.725*K254+2.065*L254)/(G254+S254-T254+U254+R254)</f>
        <v>0.33124242424242428</v>
      </c>
      <c r="AB254" s="22">
        <f>((AA254-$AA$2000)/1.24+$H$2000/$F$2000)*F254</f>
        <v>4.285164642218974</v>
      </c>
      <c r="AC254" s="22">
        <f>(AB254/F254)/($AB$2000/$F$2000)*100</f>
        <v>124.38075111395915</v>
      </c>
      <c r="AD254" s="22"/>
    </row>
    <row r="255" spans="1:30" ht="15.75" customHeight="1" x14ac:dyDescent="0.15">
      <c r="A255" s="34">
        <v>253</v>
      </c>
      <c r="B255" s="35" t="s">
        <v>3313</v>
      </c>
      <c r="C255" s="57" t="s">
        <v>2654</v>
      </c>
      <c r="D255" s="34">
        <v>9.0999999999999998E-2</v>
      </c>
      <c r="E255" s="34">
        <v>14</v>
      </c>
      <c r="F255" s="33">
        <v>33</v>
      </c>
      <c r="G255" s="34">
        <v>33</v>
      </c>
      <c r="H255" s="34">
        <v>1</v>
      </c>
      <c r="I255" s="34">
        <v>3</v>
      </c>
      <c r="J255" s="34">
        <v>0</v>
      </c>
      <c r="K255" s="34">
        <v>0</v>
      </c>
      <c r="L255" s="34">
        <v>0</v>
      </c>
      <c r="M255" s="34">
        <v>3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v>0</v>
      </c>
      <c r="U255" s="34">
        <v>0</v>
      </c>
      <c r="V255" s="34">
        <v>11</v>
      </c>
      <c r="W255" s="34">
        <v>2</v>
      </c>
      <c r="X255" s="34">
        <v>9.0999999999999998E-2</v>
      </c>
      <c r="Y255" s="34">
        <v>9.0999999999999998E-2</v>
      </c>
      <c r="Z255" s="22">
        <f>X255+Y255</f>
        <v>0.182</v>
      </c>
      <c r="AA255" s="22">
        <f>(0.692*(S255+T255)+0.73*U255+0.865*(I255-(J255+K255+L255))+1.334+J255+1.725*K255+2.065*L255)/(G255+S255-T255+U255+R255)</f>
        <v>0.11906060606060606</v>
      </c>
      <c r="AB255" s="22">
        <f>((AA255-$AA$2000)/1.24+$H$2000/$F$2000)*F255</f>
        <v>-1.3616095513294149</v>
      </c>
      <c r="AC255" s="22">
        <f>(AB255/F255)/($AB$2000/$F$2000)*100</f>
        <v>-39.521939728923776</v>
      </c>
      <c r="AD255" s="22"/>
    </row>
    <row r="256" spans="1:30" ht="15.75" customHeight="1" x14ac:dyDescent="0.15">
      <c r="A256" s="30">
        <v>255</v>
      </c>
      <c r="B256" s="31" t="s">
        <v>3314</v>
      </c>
      <c r="C256" s="54" t="s">
        <v>2650</v>
      </c>
      <c r="D256" s="30">
        <v>0.25</v>
      </c>
      <c r="E256" s="30">
        <v>21</v>
      </c>
      <c r="F256" s="33">
        <v>31</v>
      </c>
      <c r="G256" s="30">
        <v>28</v>
      </c>
      <c r="H256" s="30">
        <v>1</v>
      </c>
      <c r="I256" s="30">
        <v>7</v>
      </c>
      <c r="J256" s="30">
        <v>0</v>
      </c>
      <c r="K256" s="30">
        <v>0</v>
      </c>
      <c r="L256" s="30">
        <v>1</v>
      </c>
      <c r="M256" s="30">
        <v>10</v>
      </c>
      <c r="N256" s="30">
        <v>6</v>
      </c>
      <c r="O256" s="30">
        <v>0</v>
      </c>
      <c r="P256" s="30">
        <v>0</v>
      </c>
      <c r="Q256" s="30">
        <v>0</v>
      </c>
      <c r="R256" s="30">
        <v>1</v>
      </c>
      <c r="S256" s="30">
        <v>2</v>
      </c>
      <c r="T256" s="30">
        <v>1</v>
      </c>
      <c r="U256" s="30">
        <v>0</v>
      </c>
      <c r="V256" s="30">
        <v>5</v>
      </c>
      <c r="W256" s="30">
        <v>0</v>
      </c>
      <c r="X256" s="30">
        <v>0.28999999999999998</v>
      </c>
      <c r="Y256" s="30">
        <v>0.35699999999999998</v>
      </c>
      <c r="Z256" s="22">
        <f>X256+Y256</f>
        <v>0.64700000000000002</v>
      </c>
      <c r="AA256" s="22">
        <f>(0.692*(S256+T256)+0.73*U256+0.865*(I256-(J256+K256+L256))+1.334+J256+1.725*K256+2.065*L256)/(G256+S256-T256+U256+R256)</f>
        <v>0.35549999999999998</v>
      </c>
      <c r="AB256" s="22">
        <f>((AA256-$AA$2000)/1.24+$H$2000/$F$2000)*F256</f>
        <v>4.6318970881450952</v>
      </c>
      <c r="AC256" s="22">
        <f>(AB256/F256)/($AB$2000/$F$2000)*100</f>
        <v>143.11884080543692</v>
      </c>
      <c r="AD256" s="22"/>
    </row>
    <row r="257" spans="1:30" ht="15.75" customHeight="1" x14ac:dyDescent="0.15">
      <c r="A257" s="34">
        <v>256</v>
      </c>
      <c r="B257" s="35" t="s">
        <v>3315</v>
      </c>
      <c r="C257" s="56" t="s">
        <v>2653</v>
      </c>
      <c r="D257" s="34">
        <v>0.217</v>
      </c>
      <c r="E257" s="34">
        <v>30</v>
      </c>
      <c r="F257" s="33">
        <v>29</v>
      </c>
      <c r="G257" s="34">
        <v>23</v>
      </c>
      <c r="H257" s="34">
        <v>3</v>
      </c>
      <c r="I257" s="34">
        <v>5</v>
      </c>
      <c r="J257" s="34">
        <v>0</v>
      </c>
      <c r="K257" s="34">
        <v>0</v>
      </c>
      <c r="L257" s="34">
        <v>0</v>
      </c>
      <c r="M257" s="34">
        <v>5</v>
      </c>
      <c r="N257" s="34">
        <v>1</v>
      </c>
      <c r="O257" s="34">
        <v>4</v>
      </c>
      <c r="P257" s="34">
        <v>1</v>
      </c>
      <c r="Q257" s="34">
        <v>2</v>
      </c>
      <c r="R257" s="34">
        <v>0</v>
      </c>
      <c r="S257" s="34">
        <v>4</v>
      </c>
      <c r="T257" s="34">
        <v>0</v>
      </c>
      <c r="U257" s="34">
        <v>0</v>
      </c>
      <c r="V257" s="34">
        <v>5</v>
      </c>
      <c r="W257" s="34">
        <v>0</v>
      </c>
      <c r="X257" s="34">
        <v>0.33300000000000002</v>
      </c>
      <c r="Y257" s="34">
        <v>0.217</v>
      </c>
      <c r="Z257" s="22">
        <f>X257+Y257</f>
        <v>0.55000000000000004</v>
      </c>
      <c r="AA257" s="22">
        <f>(0.692*(S257+T257)+0.73*U257+0.865*(I257-(J257+K257+L257))+1.334+J257+1.725*K257+2.065*L257)/(G257+S257-T257+U257+R257)</f>
        <v>0.31211111111111112</v>
      </c>
      <c r="AB257" s="22">
        <f>((AA257-$AA$2000)/1.24+$H$2000/$F$2000)*F257</f>
        <v>3.3183248745730105</v>
      </c>
      <c r="AC257" s="22">
        <f>(AB257/F257)/($AB$2000/$F$2000)*100</f>
        <v>109.6025117320482</v>
      </c>
      <c r="AD257" s="22"/>
    </row>
    <row r="258" spans="1:30" ht="15.75" customHeight="1" x14ac:dyDescent="0.15">
      <c r="A258" s="30">
        <v>256</v>
      </c>
      <c r="B258" s="31" t="s">
        <v>3316</v>
      </c>
      <c r="C258" s="47" t="s">
        <v>2654</v>
      </c>
      <c r="D258" s="30">
        <v>0.17899999999999999</v>
      </c>
      <c r="E258" s="30">
        <v>21</v>
      </c>
      <c r="F258" s="33">
        <v>29</v>
      </c>
      <c r="G258" s="30">
        <v>28</v>
      </c>
      <c r="H258" s="30">
        <v>1</v>
      </c>
      <c r="I258" s="30">
        <v>5</v>
      </c>
      <c r="J258" s="30">
        <v>1</v>
      </c>
      <c r="K258" s="30">
        <v>0</v>
      </c>
      <c r="L258" s="30">
        <v>0</v>
      </c>
      <c r="M258" s="30">
        <v>6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1</v>
      </c>
      <c r="T258" s="30">
        <v>0</v>
      </c>
      <c r="U258" s="30">
        <v>0</v>
      </c>
      <c r="V258" s="30">
        <v>8</v>
      </c>
      <c r="W258" s="30">
        <v>0</v>
      </c>
      <c r="X258" s="30">
        <v>0.20699999999999999</v>
      </c>
      <c r="Y258" s="30">
        <v>0.214</v>
      </c>
      <c r="Z258" s="22">
        <f>X258+Y258</f>
        <v>0.42099999999999999</v>
      </c>
      <c r="AA258" s="22">
        <f>(0.692*(S258+T258)+0.73*U258+0.865*(I258-(J258+K258+L258))+1.334+J258+1.725*K258+2.065*L258)/(G258+S258-T258+U258+R258)</f>
        <v>0.22365517241379312</v>
      </c>
      <c r="AB258" s="22">
        <f>((AA258-$AA$2000)/1.24+$H$2000/$F$2000)*F258</f>
        <v>1.2495972760067029</v>
      </c>
      <c r="AC258" s="22">
        <f>(AB258/F258)/($AB$2000/$F$2000)*100</f>
        <v>41.273535678595522</v>
      </c>
      <c r="AD258" s="22"/>
    </row>
    <row r="259" spans="1:30" ht="15.75" customHeight="1" x14ac:dyDescent="0.15">
      <c r="A259" s="34">
        <v>256</v>
      </c>
      <c r="B259" s="35" t="s">
        <v>3317</v>
      </c>
      <c r="C259" s="57" t="s">
        <v>2654</v>
      </c>
      <c r="D259" s="34">
        <v>0.27600000000000002</v>
      </c>
      <c r="E259" s="34">
        <v>15</v>
      </c>
      <c r="F259" s="33">
        <v>29</v>
      </c>
      <c r="G259" s="34">
        <v>29</v>
      </c>
      <c r="H259" s="34">
        <v>4</v>
      </c>
      <c r="I259" s="34">
        <v>8</v>
      </c>
      <c r="J259" s="34">
        <v>1</v>
      </c>
      <c r="K259" s="34">
        <v>0</v>
      </c>
      <c r="L259" s="34">
        <v>0</v>
      </c>
      <c r="M259" s="34">
        <v>9</v>
      </c>
      <c r="N259" s="34">
        <v>2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4">
        <v>0</v>
      </c>
      <c r="U259" s="34">
        <v>0</v>
      </c>
      <c r="V259" s="34">
        <v>4</v>
      </c>
      <c r="W259" s="34">
        <v>1</v>
      </c>
      <c r="X259" s="34">
        <v>0.27600000000000002</v>
      </c>
      <c r="Y259" s="34">
        <v>0.31</v>
      </c>
      <c r="Z259" s="22">
        <f>X259+Y259</f>
        <v>0.58600000000000008</v>
      </c>
      <c r="AA259" s="22">
        <f>(0.692*(S259+T259)+0.73*U259+0.865*(I259-(J259+K259+L259))+1.334+J259+1.725*K259+2.065*L259)/(G259+S259-T259+U259+R259)</f>
        <v>0.28927586206896549</v>
      </c>
      <c r="AB259" s="22">
        <f>((AA259-$AA$2000)/1.24+$H$2000/$F$2000)*F259</f>
        <v>2.7842746953615403</v>
      </c>
      <c r="AC259" s="22">
        <f>(AB259/F259)/($AB$2000/$F$2000)*100</f>
        <v>91.963117385507786</v>
      </c>
      <c r="AD259" s="22"/>
    </row>
    <row r="260" spans="1:30" ht="15.75" customHeight="1" x14ac:dyDescent="0.15">
      <c r="A260" s="30">
        <v>259</v>
      </c>
      <c r="B260" s="31" t="s">
        <v>3318</v>
      </c>
      <c r="C260" s="39" t="s">
        <v>2649</v>
      </c>
      <c r="D260" s="30">
        <v>0.23100000000000001</v>
      </c>
      <c r="E260" s="30">
        <v>21</v>
      </c>
      <c r="F260" s="33">
        <v>28</v>
      </c>
      <c r="G260" s="30">
        <v>26</v>
      </c>
      <c r="H260" s="30">
        <v>2</v>
      </c>
      <c r="I260" s="30">
        <v>6</v>
      </c>
      <c r="J260" s="30">
        <v>0</v>
      </c>
      <c r="K260" s="30">
        <v>1</v>
      </c>
      <c r="L260" s="30">
        <v>0</v>
      </c>
      <c r="M260" s="30">
        <v>8</v>
      </c>
      <c r="N260" s="30">
        <v>3</v>
      </c>
      <c r="O260" s="30">
        <v>0</v>
      </c>
      <c r="P260" s="30">
        <v>1</v>
      </c>
      <c r="Q260" s="30">
        <v>1</v>
      </c>
      <c r="R260" s="30">
        <v>0</v>
      </c>
      <c r="S260" s="30">
        <v>1</v>
      </c>
      <c r="T260" s="30">
        <v>0</v>
      </c>
      <c r="U260" s="30">
        <v>0</v>
      </c>
      <c r="V260" s="30">
        <v>3</v>
      </c>
      <c r="W260" s="30">
        <v>0</v>
      </c>
      <c r="X260" s="30">
        <v>0.25900000000000001</v>
      </c>
      <c r="Y260" s="30">
        <v>0.308</v>
      </c>
      <c r="Z260" s="22">
        <f>X260+Y260</f>
        <v>0.56699999999999995</v>
      </c>
      <c r="AA260" s="22">
        <f>(0.692*(S260+T260)+0.73*U260+0.865*(I260-(J260+K260+L260))+1.334+J260+1.725*K260+2.065*L260)/(G260+S260-T260+U260+R260)</f>
        <v>0.29911111111111111</v>
      </c>
      <c r="AB260" s="22">
        <f>((AA260-$AA$2000)/1.24+$H$2000/$F$2000)*F260</f>
        <v>2.9103514918013049</v>
      </c>
      <c r="AC260" s="22">
        <f>(AB260/F260)/($AB$2000/$F$2000)*100</f>
        <v>99.560487400200628</v>
      </c>
      <c r="AD260" s="22"/>
    </row>
    <row r="261" spans="1:30" ht="15.75" customHeight="1" x14ac:dyDescent="0.15">
      <c r="A261" s="34">
        <v>259</v>
      </c>
      <c r="B261" s="35" t="s">
        <v>3319</v>
      </c>
      <c r="C261" s="43" t="s">
        <v>2649</v>
      </c>
      <c r="D261" s="34">
        <v>0.185</v>
      </c>
      <c r="E261" s="34">
        <v>10</v>
      </c>
      <c r="F261" s="33">
        <v>28</v>
      </c>
      <c r="G261" s="34">
        <v>27</v>
      </c>
      <c r="H261" s="34">
        <v>1</v>
      </c>
      <c r="I261" s="34">
        <v>5</v>
      </c>
      <c r="J261" s="34">
        <v>2</v>
      </c>
      <c r="K261" s="34">
        <v>0</v>
      </c>
      <c r="L261" s="34">
        <v>0</v>
      </c>
      <c r="M261" s="34">
        <v>7</v>
      </c>
      <c r="N261" s="34">
        <v>2</v>
      </c>
      <c r="O261" s="34">
        <v>0</v>
      </c>
      <c r="P261" s="34">
        <v>0</v>
      </c>
      <c r="Q261" s="34">
        <v>0</v>
      </c>
      <c r="R261" s="34">
        <v>0</v>
      </c>
      <c r="S261" s="34">
        <v>1</v>
      </c>
      <c r="T261" s="34">
        <v>0</v>
      </c>
      <c r="U261" s="34">
        <v>0</v>
      </c>
      <c r="V261" s="34">
        <v>4</v>
      </c>
      <c r="W261" s="34">
        <v>0</v>
      </c>
      <c r="X261" s="34">
        <v>0.214</v>
      </c>
      <c r="Y261" s="34">
        <v>0.25900000000000001</v>
      </c>
      <c r="Z261" s="22">
        <f>X261+Y261</f>
        <v>0.47299999999999998</v>
      </c>
      <c r="AA261" s="22">
        <f>(0.692*(S261+T261)+0.73*U261+0.865*(I261-(J261+K261+L261))+1.334+J261+1.725*K261+2.065*L261)/(G261+S261-T261+U261+R261)</f>
        <v>0.23646428571428574</v>
      </c>
      <c r="AB261" s="22">
        <f>((AA261-$AA$2000)/1.24+$H$2000/$F$2000)*F261</f>
        <v>1.4957457570342805</v>
      </c>
      <c r="AC261" s="22">
        <f>(AB261/F261)/($AB$2000/$F$2000)*100</f>
        <v>51.168107019590849</v>
      </c>
      <c r="AD261" s="22"/>
    </row>
    <row r="262" spans="1:30" ht="15.75" customHeight="1" x14ac:dyDescent="0.15">
      <c r="A262" s="30">
        <v>259</v>
      </c>
      <c r="B262" s="31" t="s">
        <v>3320</v>
      </c>
      <c r="C262" s="47" t="s">
        <v>2654</v>
      </c>
      <c r="D262" s="30">
        <v>0.185</v>
      </c>
      <c r="E262" s="30">
        <v>9</v>
      </c>
      <c r="F262" s="33">
        <v>28</v>
      </c>
      <c r="G262" s="30">
        <v>27</v>
      </c>
      <c r="H262" s="30">
        <v>2</v>
      </c>
      <c r="I262" s="30">
        <v>5</v>
      </c>
      <c r="J262" s="30">
        <v>1</v>
      </c>
      <c r="K262" s="30">
        <v>0</v>
      </c>
      <c r="L262" s="30">
        <v>1</v>
      </c>
      <c r="M262" s="30">
        <v>9</v>
      </c>
      <c r="N262" s="30">
        <v>1</v>
      </c>
      <c r="O262" s="30">
        <v>0</v>
      </c>
      <c r="P262" s="30">
        <v>1</v>
      </c>
      <c r="Q262" s="30">
        <v>0</v>
      </c>
      <c r="R262" s="30">
        <v>0</v>
      </c>
      <c r="S262" s="30">
        <v>1</v>
      </c>
      <c r="T262" s="30">
        <v>1</v>
      </c>
      <c r="U262" s="30">
        <v>0</v>
      </c>
      <c r="V262" s="30">
        <v>6</v>
      </c>
      <c r="W262" s="30">
        <v>2</v>
      </c>
      <c r="X262" s="30">
        <v>0.214</v>
      </c>
      <c r="Y262" s="30">
        <v>0.33300000000000002</v>
      </c>
      <c r="Z262" s="22">
        <f>X262+Y262</f>
        <v>0.54700000000000004</v>
      </c>
      <c r="AA262" s="22">
        <f>(0.692*(S262+T262)+0.73*U262+0.865*(I262-(J262+K262+L262))+1.334+J262+1.725*K262+2.065*L262)/(G262+S262-T262+U262+R262)</f>
        <v>0.31029629629629629</v>
      </c>
      <c r="AB262" s="22">
        <f>((AA262-$AA$2000)/1.24+$H$2000/$F$2000)*F262</f>
        <v>3.1629201895312926</v>
      </c>
      <c r="AC262" s="22">
        <f>(AB262/F262)/($AB$2000/$F$2000)*100</f>
        <v>108.2006336914199</v>
      </c>
      <c r="AD262" s="22"/>
    </row>
    <row r="263" spans="1:30" ht="15.75" customHeight="1" x14ac:dyDescent="0.15">
      <c r="A263" s="34">
        <v>262</v>
      </c>
      <c r="B263" s="35" t="s">
        <v>3321</v>
      </c>
      <c r="C263" s="58" t="s">
        <v>2645</v>
      </c>
      <c r="D263" s="34">
        <v>0.16</v>
      </c>
      <c r="E263" s="34">
        <v>19</v>
      </c>
      <c r="F263" s="33">
        <v>27</v>
      </c>
      <c r="G263" s="34">
        <v>25</v>
      </c>
      <c r="H263" s="34">
        <v>1</v>
      </c>
      <c r="I263" s="34">
        <v>4</v>
      </c>
      <c r="J263" s="34">
        <v>0</v>
      </c>
      <c r="K263" s="34">
        <v>0</v>
      </c>
      <c r="L263" s="34">
        <v>1</v>
      </c>
      <c r="M263" s="34">
        <v>7</v>
      </c>
      <c r="N263" s="34">
        <v>2</v>
      </c>
      <c r="O263" s="34">
        <v>0</v>
      </c>
      <c r="P263" s="34">
        <v>0</v>
      </c>
      <c r="Q263" s="34">
        <v>0</v>
      </c>
      <c r="R263" s="34">
        <v>0</v>
      </c>
      <c r="S263" s="34">
        <v>2</v>
      </c>
      <c r="T263" s="34">
        <v>0</v>
      </c>
      <c r="U263" s="34">
        <v>0</v>
      </c>
      <c r="V263" s="34">
        <v>12</v>
      </c>
      <c r="W263" s="34">
        <v>0</v>
      </c>
      <c r="X263" s="34">
        <v>0.222</v>
      </c>
      <c r="Y263" s="34">
        <v>0.28000000000000003</v>
      </c>
      <c r="Z263" s="22">
        <f>X263+Y263</f>
        <v>0.502</v>
      </c>
      <c r="AA263" s="22">
        <f>(0.692*(S263+T263)+0.73*U263+0.865*(I263-(J263+K263+L263))+1.334+J263+1.725*K263+2.065*L263)/(G263+S263-T263+U263+R263)</f>
        <v>0.27325925925925926</v>
      </c>
      <c r="AB263" s="22">
        <f>((AA263-$AA$2000)/1.24+$H$2000/$F$2000)*F263</f>
        <v>2.2435071412876639</v>
      </c>
      <c r="AC263" s="22">
        <f>(AB263/F263)/($AB$2000/$F$2000)*100</f>
        <v>79.590877760230242</v>
      </c>
      <c r="AD263" s="22"/>
    </row>
    <row r="264" spans="1:30" ht="15.75" customHeight="1" x14ac:dyDescent="0.15">
      <c r="A264" s="30">
        <v>262</v>
      </c>
      <c r="B264" s="31" t="s">
        <v>3322</v>
      </c>
      <c r="C264" s="46" t="s">
        <v>2648</v>
      </c>
      <c r="D264" s="30">
        <v>0.12</v>
      </c>
      <c r="E264" s="30">
        <v>10</v>
      </c>
      <c r="F264" s="33">
        <v>27</v>
      </c>
      <c r="G264" s="30">
        <v>25</v>
      </c>
      <c r="H264" s="30">
        <v>1</v>
      </c>
      <c r="I264" s="30">
        <v>3</v>
      </c>
      <c r="J264" s="30">
        <v>1</v>
      </c>
      <c r="K264" s="30">
        <v>0</v>
      </c>
      <c r="L264" s="30">
        <v>1</v>
      </c>
      <c r="M264" s="30">
        <v>7</v>
      </c>
      <c r="N264" s="30">
        <v>2</v>
      </c>
      <c r="O264" s="30">
        <v>0</v>
      </c>
      <c r="P264" s="30">
        <v>0</v>
      </c>
      <c r="Q264" s="30">
        <v>0</v>
      </c>
      <c r="R264" s="30">
        <v>0</v>
      </c>
      <c r="S264" s="30">
        <v>2</v>
      </c>
      <c r="T264" s="30">
        <v>0</v>
      </c>
      <c r="U264" s="30">
        <v>0</v>
      </c>
      <c r="V264" s="30">
        <v>8</v>
      </c>
      <c r="W264" s="30">
        <v>0</v>
      </c>
      <c r="X264" s="30">
        <v>0.185</v>
      </c>
      <c r="Y264" s="30">
        <v>0.28000000000000003</v>
      </c>
      <c r="Z264" s="22">
        <f>X264+Y264</f>
        <v>0.46500000000000002</v>
      </c>
      <c r="AA264" s="22">
        <f>(0.692*(S264+T264)+0.73*U264+0.865*(I264-(J264+K264+L264))+1.334+J264+1.725*K264+2.065*L264)/(G264+S264-T264+U264+R264)</f>
        <v>0.2462222222222222</v>
      </c>
      <c r="AB264" s="22">
        <f>((AA264-$AA$2000)/1.24+$H$2000/$F$2000)*F264</f>
        <v>1.6547974638683087</v>
      </c>
      <c r="AC264" s="22">
        <f>(AB264/F264)/($AB$2000/$F$2000)*100</f>
        <v>58.705755930461748</v>
      </c>
      <c r="AD264" s="22"/>
    </row>
    <row r="265" spans="1:30" ht="15.75" customHeight="1" x14ac:dyDescent="0.15">
      <c r="A265" s="34">
        <v>264</v>
      </c>
      <c r="B265" s="35" t="s">
        <v>3323</v>
      </c>
      <c r="C265" s="42" t="s">
        <v>2652</v>
      </c>
      <c r="D265" s="34">
        <v>0.20799999999999999</v>
      </c>
      <c r="E265" s="34">
        <v>17</v>
      </c>
      <c r="F265" s="33">
        <v>26</v>
      </c>
      <c r="G265" s="34">
        <v>24</v>
      </c>
      <c r="H265" s="34">
        <v>2</v>
      </c>
      <c r="I265" s="34">
        <v>5</v>
      </c>
      <c r="J265" s="34">
        <v>1</v>
      </c>
      <c r="K265" s="34">
        <v>0</v>
      </c>
      <c r="L265" s="34">
        <v>0</v>
      </c>
      <c r="M265" s="34">
        <v>6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2</v>
      </c>
      <c r="T265" s="34">
        <v>0</v>
      </c>
      <c r="U265" s="34">
        <v>0</v>
      </c>
      <c r="V265" s="34">
        <v>5</v>
      </c>
      <c r="W265" s="34">
        <v>0</v>
      </c>
      <c r="X265" s="34">
        <v>0.26900000000000002</v>
      </c>
      <c r="Y265" s="34">
        <v>0.25</v>
      </c>
      <c r="Z265" s="22">
        <f>X265+Y265</f>
        <v>0.51900000000000002</v>
      </c>
      <c r="AA265" s="22">
        <f>(0.692*(S265+T265)+0.73*U265+0.865*(I265-(J265+K265+L265))+1.334+J265+1.725*K265+2.065*L265)/(G265+S265-T265+U265+R265)</f>
        <v>0.27607692307692305</v>
      </c>
      <c r="AB265" s="22">
        <f>((AA265-$AA$2000)/1.24+$H$2000/$F$2000)*F265</f>
        <v>2.2194943319926606</v>
      </c>
      <c r="AC265" s="22">
        <f>(AB265/F265)/($AB$2000/$F$2000)*100</f>
        <v>81.767419961456881</v>
      </c>
      <c r="AD265" s="22"/>
    </row>
    <row r="266" spans="1:30" ht="15.75" customHeight="1" x14ac:dyDescent="0.15">
      <c r="A266" s="30">
        <v>264</v>
      </c>
      <c r="B266" s="31" t="s">
        <v>3324</v>
      </c>
      <c r="C266" s="37" t="s">
        <v>2647</v>
      </c>
      <c r="D266" s="30">
        <v>0.23100000000000001</v>
      </c>
      <c r="E266" s="30">
        <v>14</v>
      </c>
      <c r="F266" s="33">
        <v>26</v>
      </c>
      <c r="G266" s="30">
        <v>26</v>
      </c>
      <c r="H266" s="30">
        <v>3</v>
      </c>
      <c r="I266" s="30">
        <v>6</v>
      </c>
      <c r="J266" s="30">
        <v>2</v>
      </c>
      <c r="K266" s="30">
        <v>0</v>
      </c>
      <c r="L266" s="30">
        <v>1</v>
      </c>
      <c r="M266" s="30">
        <v>11</v>
      </c>
      <c r="N266" s="30">
        <v>2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8</v>
      </c>
      <c r="W266" s="30">
        <v>0</v>
      </c>
      <c r="X266" s="30">
        <v>0.23100000000000001</v>
      </c>
      <c r="Y266" s="30">
        <v>0.42299999999999999</v>
      </c>
      <c r="Z266" s="22">
        <f>X266+Y266</f>
        <v>0.65400000000000003</v>
      </c>
      <c r="AA266" s="22">
        <f>(0.692*(S266+T266)+0.73*U266+0.865*(I266-(J266+K266+L266))+1.334+J266+1.725*K266+2.065*L266)/(G266+S266-T266+U266+R266)</f>
        <v>0.30746153846153845</v>
      </c>
      <c r="AB266" s="22">
        <f>((AA266-$AA$2000)/1.24+$H$2000/$F$2000)*F266</f>
        <v>2.8775588481216929</v>
      </c>
      <c r="AC266" s="22">
        <f>(AB266/F266)/($AB$2000/$F$2000)*100</f>
        <v>106.01088698745578</v>
      </c>
      <c r="AD266" s="22"/>
    </row>
    <row r="267" spans="1:30" ht="15.75" customHeight="1" x14ac:dyDescent="0.15">
      <c r="A267" s="34">
        <v>264</v>
      </c>
      <c r="B267" s="35" t="s">
        <v>3325</v>
      </c>
      <c r="C267" s="56" t="s">
        <v>2653</v>
      </c>
      <c r="D267" s="34">
        <v>0.13600000000000001</v>
      </c>
      <c r="E267" s="34">
        <v>9</v>
      </c>
      <c r="F267" s="33">
        <v>26</v>
      </c>
      <c r="G267" s="34">
        <v>22</v>
      </c>
      <c r="H267" s="34">
        <v>1</v>
      </c>
      <c r="I267" s="34">
        <v>3</v>
      </c>
      <c r="J267" s="34">
        <v>0</v>
      </c>
      <c r="K267" s="34">
        <v>0</v>
      </c>
      <c r="L267" s="34">
        <v>0</v>
      </c>
      <c r="M267" s="34">
        <v>3</v>
      </c>
      <c r="N267" s="34">
        <v>1</v>
      </c>
      <c r="O267" s="34">
        <v>0</v>
      </c>
      <c r="P267" s="34">
        <v>0</v>
      </c>
      <c r="Q267" s="34">
        <v>1</v>
      </c>
      <c r="R267" s="34">
        <v>1</v>
      </c>
      <c r="S267" s="34">
        <v>2</v>
      </c>
      <c r="T267" s="34">
        <v>0</v>
      </c>
      <c r="U267" s="34">
        <v>0</v>
      </c>
      <c r="V267" s="34">
        <v>7</v>
      </c>
      <c r="W267" s="34">
        <v>1</v>
      </c>
      <c r="X267" s="34">
        <v>0.2</v>
      </c>
      <c r="Y267" s="34">
        <v>0.13600000000000001</v>
      </c>
      <c r="Z267" s="22">
        <f>X267+Y267</f>
        <v>0.33600000000000002</v>
      </c>
      <c r="AA267" s="22">
        <f>(0.692*(S267+T267)+0.73*U267+0.865*(I267-(J267+K267+L267))+1.334+J267+1.725*K267+2.065*L267)/(G267+S267-T267+U267+R267)</f>
        <v>0.21251999999999999</v>
      </c>
      <c r="AB267" s="22">
        <f>((AA267-$AA$2000)/1.24+$H$2000/$F$2000)*F267</f>
        <v>0.88684917070233804</v>
      </c>
      <c r="AC267" s="22">
        <f>(AB267/F267)/($AB$2000/$F$2000)*100</f>
        <v>32.672022423316385</v>
      </c>
      <c r="AD267" s="22"/>
    </row>
    <row r="268" spans="1:30" ht="15.75" customHeight="1" x14ac:dyDescent="0.15">
      <c r="A268" s="30">
        <v>267</v>
      </c>
      <c r="B268" s="31" t="s">
        <v>3326</v>
      </c>
      <c r="C268" s="53" t="s">
        <v>198</v>
      </c>
      <c r="D268" s="30">
        <v>0.13600000000000001</v>
      </c>
      <c r="E268" s="30">
        <v>71</v>
      </c>
      <c r="F268" s="33">
        <v>25</v>
      </c>
      <c r="G268" s="30">
        <v>22</v>
      </c>
      <c r="H268" s="30">
        <v>19</v>
      </c>
      <c r="I268" s="30">
        <v>3</v>
      </c>
      <c r="J268" s="30">
        <v>1</v>
      </c>
      <c r="K268" s="30">
        <v>0</v>
      </c>
      <c r="L268" s="30">
        <v>0</v>
      </c>
      <c r="M268" s="30">
        <v>4</v>
      </c>
      <c r="N268" s="30">
        <v>2</v>
      </c>
      <c r="O268" s="30">
        <v>28</v>
      </c>
      <c r="P268" s="30">
        <v>7</v>
      </c>
      <c r="Q268" s="30">
        <v>2</v>
      </c>
      <c r="R268" s="30">
        <v>0</v>
      </c>
      <c r="S268" s="30">
        <v>1</v>
      </c>
      <c r="T268" s="30">
        <v>0</v>
      </c>
      <c r="U268" s="30">
        <v>0</v>
      </c>
      <c r="V268" s="30">
        <v>9</v>
      </c>
      <c r="W268" s="30">
        <v>1</v>
      </c>
      <c r="X268" s="30">
        <v>0.17399999999999999</v>
      </c>
      <c r="Y268" s="30">
        <v>0.182</v>
      </c>
      <c r="Z268" s="22">
        <f>X268+Y268</f>
        <v>0.35599999999999998</v>
      </c>
      <c r="AA268" s="22">
        <f>(0.692*(S268+T268)+0.73*U268+0.865*(I268-(J268+K268+L268))+1.334+J268+1.725*K268+2.065*L268)/(G268+S268-T268+U268+R268)</f>
        <v>0.20678260869565218</v>
      </c>
      <c r="AB268" s="22">
        <f>((AA268-$AA$2000)/1.24+$H$2000/$F$2000)*F268</f>
        <v>0.73706637543258058</v>
      </c>
      <c r="AC268" s="22">
        <f>(AB268/F268)/($AB$2000/$F$2000)*100</f>
        <v>28.240097571040124</v>
      </c>
      <c r="AD268" s="22"/>
    </row>
    <row r="269" spans="1:30" ht="15.75" customHeight="1" x14ac:dyDescent="0.15">
      <c r="A269" s="34">
        <v>267</v>
      </c>
      <c r="B269" s="35" t="s">
        <v>3327</v>
      </c>
      <c r="C269" s="50" t="s">
        <v>198</v>
      </c>
      <c r="D269" s="34">
        <v>9.5000000000000001E-2</v>
      </c>
      <c r="E269" s="34">
        <v>25</v>
      </c>
      <c r="F269" s="33">
        <v>25</v>
      </c>
      <c r="G269" s="34">
        <v>21</v>
      </c>
      <c r="H269" s="34">
        <v>2</v>
      </c>
      <c r="I269" s="34">
        <v>2</v>
      </c>
      <c r="J269" s="34">
        <v>0</v>
      </c>
      <c r="K269" s="34">
        <v>0</v>
      </c>
      <c r="L269" s="34">
        <v>0</v>
      </c>
      <c r="M269" s="34">
        <v>2</v>
      </c>
      <c r="N269" s="34">
        <v>2</v>
      </c>
      <c r="O269" s="34">
        <v>0</v>
      </c>
      <c r="P269" s="34">
        <v>0</v>
      </c>
      <c r="Q269" s="34">
        <v>1</v>
      </c>
      <c r="R269" s="34">
        <v>0</v>
      </c>
      <c r="S269" s="34">
        <v>3</v>
      </c>
      <c r="T269" s="34">
        <v>0</v>
      </c>
      <c r="U269" s="34">
        <v>0</v>
      </c>
      <c r="V269" s="34">
        <v>6</v>
      </c>
      <c r="W269" s="34">
        <v>0</v>
      </c>
      <c r="X269" s="34">
        <v>0.20799999999999999</v>
      </c>
      <c r="Y269" s="34">
        <v>9.5000000000000001E-2</v>
      </c>
      <c r="Z269" s="22">
        <f>X269+Y269</f>
        <v>0.30299999999999999</v>
      </c>
      <c r="AA269" s="22">
        <f>(0.692*(S269+T269)+0.73*U269+0.865*(I269-(J269+K269+L269))+1.334+J269+1.725*K269+2.065*L269)/(G269+S269-T269+U269+R269)</f>
        <v>0.21416666666666664</v>
      </c>
      <c r="AB269" s="22">
        <f>((AA269-$AA$2000)/1.24+$H$2000/$F$2000)*F269</f>
        <v>0.88593851194496909</v>
      </c>
      <c r="AC269" s="22">
        <f>(AB269/F269)/($AB$2000/$F$2000)*100</f>
        <v>33.944012172017075</v>
      </c>
      <c r="AD269" s="22"/>
    </row>
    <row r="270" spans="1:30" ht="15.75" customHeight="1" x14ac:dyDescent="0.15">
      <c r="A270" s="30">
        <v>267</v>
      </c>
      <c r="B270" s="31" t="s">
        <v>3328</v>
      </c>
      <c r="C270" s="55" t="s">
        <v>2652</v>
      </c>
      <c r="D270" s="30">
        <v>0.19</v>
      </c>
      <c r="E270" s="30">
        <v>24</v>
      </c>
      <c r="F270" s="33">
        <v>25</v>
      </c>
      <c r="G270" s="30">
        <v>21</v>
      </c>
      <c r="H270" s="30">
        <v>4</v>
      </c>
      <c r="I270" s="30">
        <v>4</v>
      </c>
      <c r="J270" s="30">
        <v>1</v>
      </c>
      <c r="K270" s="30">
        <v>0</v>
      </c>
      <c r="L270" s="30">
        <v>0</v>
      </c>
      <c r="M270" s="30">
        <v>5</v>
      </c>
      <c r="N270" s="30">
        <v>2</v>
      </c>
      <c r="O270" s="30">
        <v>2</v>
      </c>
      <c r="P270" s="30">
        <v>0</v>
      </c>
      <c r="Q270" s="30">
        <v>0</v>
      </c>
      <c r="R270" s="30">
        <v>1</v>
      </c>
      <c r="S270" s="30">
        <v>3</v>
      </c>
      <c r="T270" s="30">
        <v>0</v>
      </c>
      <c r="U270" s="30">
        <v>0</v>
      </c>
      <c r="V270" s="30">
        <v>4</v>
      </c>
      <c r="W270" s="30">
        <v>0</v>
      </c>
      <c r="X270" s="30">
        <v>0.28000000000000003</v>
      </c>
      <c r="Y270" s="30">
        <v>0.23799999999999999</v>
      </c>
      <c r="Z270" s="22">
        <f>X270+Y270</f>
        <v>0.51800000000000002</v>
      </c>
      <c r="AA270" s="22">
        <f>(0.692*(S270+T270)+0.73*U270+0.865*(I270-(J270+K270+L270))+1.334+J270+1.725*K270+2.065*L270)/(G270+S270-T270+U270+R270)</f>
        <v>0.28019999999999995</v>
      </c>
      <c r="AB270" s="22">
        <f>((AA270-$AA$2000)/1.24+$H$2000/$F$2000)*F270</f>
        <v>2.2172557162460436</v>
      </c>
      <c r="AC270" s="22">
        <f>(AB270/F270)/($AB$2000/$F$2000)*100</f>
        <v>84.952346021735138</v>
      </c>
      <c r="AD270" s="22"/>
    </row>
    <row r="271" spans="1:30" ht="15.75" customHeight="1" x14ac:dyDescent="0.15">
      <c r="A271" s="34">
        <v>267</v>
      </c>
      <c r="B271" s="35" t="s">
        <v>3329</v>
      </c>
      <c r="C271" s="38" t="s">
        <v>2648</v>
      </c>
      <c r="D271" s="34">
        <v>0.16</v>
      </c>
      <c r="E271" s="34">
        <v>12</v>
      </c>
      <c r="F271" s="33">
        <v>25</v>
      </c>
      <c r="G271" s="34">
        <v>25</v>
      </c>
      <c r="H271" s="34">
        <v>1</v>
      </c>
      <c r="I271" s="34">
        <v>4</v>
      </c>
      <c r="J271" s="34">
        <v>0</v>
      </c>
      <c r="K271" s="34">
        <v>0</v>
      </c>
      <c r="L271" s="34">
        <v>0</v>
      </c>
      <c r="M271" s="34">
        <v>4</v>
      </c>
      <c r="N271" s="34">
        <v>1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4">
        <v>0</v>
      </c>
      <c r="U271" s="34">
        <v>0</v>
      </c>
      <c r="V271" s="34">
        <v>9</v>
      </c>
      <c r="W271" s="34">
        <v>1</v>
      </c>
      <c r="X271" s="34">
        <v>0.16</v>
      </c>
      <c r="Y271" s="34">
        <v>0.16</v>
      </c>
      <c r="Z271" s="22">
        <f>X271+Y271</f>
        <v>0.32</v>
      </c>
      <c r="AA271" s="22">
        <f>(0.692*(S271+T271)+0.73*U271+0.865*(I271-(J271+K271+L271))+1.334+J271+1.725*K271+2.065*L271)/(G271+S271-T271+U271+R271)</f>
        <v>0.19176000000000001</v>
      </c>
      <c r="AB271" s="22">
        <f>((AA271-$AA$2000)/1.24+$H$2000/$F$2000)*F271</f>
        <v>0.43419120011701295</v>
      </c>
      <c r="AC271" s="22">
        <f>(AB271/F271)/($AB$2000/$F$2000)*100</f>
        <v>16.63568202876597</v>
      </c>
      <c r="AD271" s="22"/>
    </row>
    <row r="272" spans="1:30" ht="15.75" customHeight="1" x14ac:dyDescent="0.15">
      <c r="A272" s="30">
        <v>267</v>
      </c>
      <c r="B272" s="31" t="s">
        <v>3330</v>
      </c>
      <c r="C272" s="32" t="s">
        <v>2645</v>
      </c>
      <c r="D272" s="30">
        <v>5.2999999999999999E-2</v>
      </c>
      <c r="E272" s="30">
        <v>10</v>
      </c>
      <c r="F272" s="33">
        <v>25</v>
      </c>
      <c r="G272" s="30">
        <v>19</v>
      </c>
      <c r="H272" s="30">
        <v>1</v>
      </c>
      <c r="I272" s="30">
        <v>1</v>
      </c>
      <c r="J272" s="30">
        <v>1</v>
      </c>
      <c r="K272" s="30">
        <v>0</v>
      </c>
      <c r="L272" s="30">
        <v>0</v>
      </c>
      <c r="M272" s="30">
        <v>2</v>
      </c>
      <c r="N272" s="30">
        <v>2</v>
      </c>
      <c r="O272" s="30">
        <v>0</v>
      </c>
      <c r="P272" s="30">
        <v>0</v>
      </c>
      <c r="Q272" s="30">
        <v>1</v>
      </c>
      <c r="R272" s="30">
        <v>0</v>
      </c>
      <c r="S272" s="30">
        <v>5</v>
      </c>
      <c r="T272" s="30">
        <v>0</v>
      </c>
      <c r="U272" s="30">
        <v>0</v>
      </c>
      <c r="V272" s="30">
        <v>3</v>
      </c>
      <c r="W272" s="30">
        <v>2</v>
      </c>
      <c r="X272" s="30">
        <v>0.25</v>
      </c>
      <c r="Y272" s="30">
        <v>0.105</v>
      </c>
      <c r="Z272" s="22">
        <f>X272+Y272</f>
        <v>0.35499999999999998</v>
      </c>
      <c r="AA272" s="22">
        <f>(0.692*(S272+T272)+0.73*U272+0.865*(I272-(J272+K272+L272))+1.334+J272+1.725*K272+2.065*L272)/(G272+S272-T272+U272+R272)</f>
        <v>0.2414166666666667</v>
      </c>
      <c r="AB272" s="22">
        <f>((AA272-$AA$2000)/1.24+$H$2000/$F$2000)*F272</f>
        <v>1.4353336732352928</v>
      </c>
      <c r="AC272" s="22">
        <f>(AB272/F272)/($AB$2000/$F$2000)*100</f>
        <v>54.993640098389932</v>
      </c>
      <c r="AD272" s="22"/>
    </row>
    <row r="273" spans="1:30" ht="15.75" customHeight="1" x14ac:dyDescent="0.15">
      <c r="A273" s="34">
        <v>272</v>
      </c>
      <c r="B273" s="35" t="s">
        <v>3331</v>
      </c>
      <c r="C273" s="40" t="s">
        <v>2650</v>
      </c>
      <c r="D273" s="34">
        <v>0.1</v>
      </c>
      <c r="E273" s="34">
        <v>66</v>
      </c>
      <c r="F273" s="33">
        <v>24</v>
      </c>
      <c r="G273" s="34">
        <v>20</v>
      </c>
      <c r="H273" s="34">
        <v>10</v>
      </c>
      <c r="I273" s="34">
        <v>2</v>
      </c>
      <c r="J273" s="34">
        <v>0</v>
      </c>
      <c r="K273" s="34">
        <v>1</v>
      </c>
      <c r="L273" s="34">
        <v>0</v>
      </c>
      <c r="M273" s="34">
        <v>4</v>
      </c>
      <c r="N273" s="34">
        <v>1</v>
      </c>
      <c r="O273" s="34">
        <v>1</v>
      </c>
      <c r="P273" s="34">
        <v>1</v>
      </c>
      <c r="Q273" s="34">
        <v>1</v>
      </c>
      <c r="R273" s="34">
        <v>0</v>
      </c>
      <c r="S273" s="34">
        <v>3</v>
      </c>
      <c r="T273" s="34">
        <v>0</v>
      </c>
      <c r="U273" s="34">
        <v>0</v>
      </c>
      <c r="V273" s="34">
        <v>10</v>
      </c>
      <c r="W273" s="34">
        <v>0</v>
      </c>
      <c r="X273" s="34">
        <v>0.217</v>
      </c>
      <c r="Y273" s="34">
        <v>0.2</v>
      </c>
      <c r="Z273" s="22">
        <f>X273+Y273</f>
        <v>0.41700000000000004</v>
      </c>
      <c r="AA273" s="22">
        <f>(0.692*(S273+T273)+0.73*U273+0.865*(I273-(J273+K273+L273))+1.334+J273+1.725*K273+2.065*L273)/(G273+S273-T273+U273+R273)</f>
        <v>0.2608695652173913</v>
      </c>
      <c r="AB273" s="22">
        <f>((AA273-$AA$2000)/1.24+$H$2000/$F$2000)*F273</f>
        <v>1.7544280401908732</v>
      </c>
      <c r="AC273" s="22">
        <f>(AB273/F273)/($AB$2000/$F$2000)*100</f>
        <v>70.020292450031377</v>
      </c>
      <c r="AD273" s="22"/>
    </row>
    <row r="274" spans="1:30" ht="15.75" customHeight="1" x14ac:dyDescent="0.15">
      <c r="A274" s="30">
        <v>273</v>
      </c>
      <c r="B274" s="31" t="s">
        <v>3332</v>
      </c>
      <c r="C274" s="46" t="s">
        <v>2648</v>
      </c>
      <c r="D274" s="30">
        <v>9.5000000000000001E-2</v>
      </c>
      <c r="E274" s="30">
        <v>9</v>
      </c>
      <c r="F274" s="33">
        <v>23</v>
      </c>
      <c r="G274" s="30">
        <v>21</v>
      </c>
      <c r="H274" s="30">
        <v>0</v>
      </c>
      <c r="I274" s="30">
        <v>2</v>
      </c>
      <c r="J274" s="30">
        <v>0</v>
      </c>
      <c r="K274" s="30">
        <v>0</v>
      </c>
      <c r="L274" s="30">
        <v>0</v>
      </c>
      <c r="M274" s="30">
        <v>2</v>
      </c>
      <c r="N274" s="30">
        <v>0</v>
      </c>
      <c r="O274" s="30">
        <v>0</v>
      </c>
      <c r="P274" s="30">
        <v>0</v>
      </c>
      <c r="Q274" s="30">
        <v>1</v>
      </c>
      <c r="R274" s="30">
        <v>0</v>
      </c>
      <c r="S274" s="30">
        <v>1</v>
      </c>
      <c r="T274" s="30">
        <v>0</v>
      </c>
      <c r="U274" s="30">
        <v>0</v>
      </c>
      <c r="V274" s="30">
        <v>12</v>
      </c>
      <c r="W274" s="30">
        <v>0</v>
      </c>
      <c r="X274" s="30">
        <v>0.13600000000000001</v>
      </c>
      <c r="Y274" s="30">
        <v>9.5000000000000001E-2</v>
      </c>
      <c r="Z274" s="22">
        <f>X274+Y274</f>
        <v>0.23100000000000001</v>
      </c>
      <c r="AA274" s="22">
        <f>(0.692*(S274+T274)+0.73*U274+0.865*(I274-(J274+K274+L274))+1.334+J274+1.725*K274+2.065*L274)/(G274+S274-T274+U274+R274)</f>
        <v>0.17072727272727273</v>
      </c>
      <c r="AB274" s="22">
        <f>((AA274-$AA$2000)/1.24+$H$2000/$F$2000)*F274</f>
        <v>9.3327369522264725E-3</v>
      </c>
      <c r="AC274" s="22">
        <f>(AB274/F274)/($AB$2000/$F$2000)*100</f>
        <v>0.38866979508585003</v>
      </c>
      <c r="AD274" s="22"/>
    </row>
    <row r="275" spans="1:30" ht="15.75" customHeight="1" x14ac:dyDescent="0.15">
      <c r="A275" s="34">
        <v>273</v>
      </c>
      <c r="B275" s="35" t="s">
        <v>3333</v>
      </c>
      <c r="C275" s="51" t="s">
        <v>2655</v>
      </c>
      <c r="D275" s="34">
        <v>0.25</v>
      </c>
      <c r="E275" s="34">
        <v>7</v>
      </c>
      <c r="F275" s="33">
        <v>23</v>
      </c>
      <c r="G275" s="34">
        <v>20</v>
      </c>
      <c r="H275" s="34">
        <v>2</v>
      </c>
      <c r="I275" s="34">
        <v>5</v>
      </c>
      <c r="J275" s="34">
        <v>3</v>
      </c>
      <c r="K275" s="34">
        <v>0</v>
      </c>
      <c r="L275" s="34">
        <v>0</v>
      </c>
      <c r="M275" s="34">
        <v>8</v>
      </c>
      <c r="N275" s="34">
        <v>3</v>
      </c>
      <c r="O275" s="34">
        <v>0</v>
      </c>
      <c r="P275" s="34">
        <v>0</v>
      </c>
      <c r="Q275" s="34">
        <v>0</v>
      </c>
      <c r="R275" s="34">
        <v>0</v>
      </c>
      <c r="S275" s="34">
        <v>2</v>
      </c>
      <c r="T275" s="34">
        <v>0</v>
      </c>
      <c r="U275" s="34">
        <v>1</v>
      </c>
      <c r="V275" s="34">
        <v>7</v>
      </c>
      <c r="W275" s="34">
        <v>0</v>
      </c>
      <c r="X275" s="34">
        <v>0.34799999999999998</v>
      </c>
      <c r="Y275" s="34">
        <v>0.4</v>
      </c>
      <c r="Z275" s="22">
        <f>X275+Y275</f>
        <v>0.748</v>
      </c>
      <c r="AA275" s="22">
        <f>(0.692*(S275+T275)+0.73*U275+0.865*(I275-(J275+K275+L275))+1.334+J275+1.725*K275+2.065*L275)/(G275+S275-T275+U275+R275)</f>
        <v>0.35556521739130437</v>
      </c>
      <c r="AB275" s="22">
        <f>((AA275-$AA$2000)/1.24+$H$2000/$F$2000)*F275</f>
        <v>3.4377784847528137</v>
      </c>
      <c r="AC275" s="22">
        <f>(AB275/F275)/($AB$2000/$F$2000)*100</f>
        <v>143.16921885392449</v>
      </c>
      <c r="AD275" s="22"/>
    </row>
    <row r="276" spans="1:30" ht="15.75" customHeight="1" x14ac:dyDescent="0.15">
      <c r="A276" s="30">
        <v>275</v>
      </c>
      <c r="B276" s="31" t="s">
        <v>3334</v>
      </c>
      <c r="C276" s="47" t="s">
        <v>2654</v>
      </c>
      <c r="D276" s="30">
        <v>0.1</v>
      </c>
      <c r="E276" s="30">
        <v>13</v>
      </c>
      <c r="F276" s="33">
        <v>22</v>
      </c>
      <c r="G276" s="30">
        <v>20</v>
      </c>
      <c r="H276" s="30">
        <v>2</v>
      </c>
      <c r="I276" s="30">
        <v>2</v>
      </c>
      <c r="J276" s="30">
        <v>0</v>
      </c>
      <c r="K276" s="30">
        <v>0</v>
      </c>
      <c r="L276" s="30">
        <v>2</v>
      </c>
      <c r="M276" s="30">
        <v>8</v>
      </c>
      <c r="N276" s="30">
        <v>2</v>
      </c>
      <c r="O276" s="30">
        <v>0</v>
      </c>
      <c r="P276" s="30">
        <v>0</v>
      </c>
      <c r="Q276" s="30">
        <v>1</v>
      </c>
      <c r="R276" s="30">
        <v>0</v>
      </c>
      <c r="S276" s="30">
        <v>1</v>
      </c>
      <c r="T276" s="30">
        <v>0</v>
      </c>
      <c r="U276" s="30">
        <v>0</v>
      </c>
      <c r="V276" s="30">
        <v>7</v>
      </c>
      <c r="W276" s="30">
        <v>0</v>
      </c>
      <c r="X276" s="30">
        <v>0.14299999999999999</v>
      </c>
      <c r="Y276" s="30">
        <v>0.4</v>
      </c>
      <c r="Z276" s="22">
        <f>X276+Y276</f>
        <v>0.54300000000000004</v>
      </c>
      <c r="AA276" s="22">
        <f>(0.692*(S276+T276)+0.73*U276+0.865*(I276-(J276+K276+L276))+1.334+J276+1.725*K276+2.065*L276)/(G276+S276-T276+U276+R276)</f>
        <v>0.29314285714285715</v>
      </c>
      <c r="AB276" s="22">
        <f>((AA276-$AA$2000)/1.24+$H$2000/$F$2000)*F276</f>
        <v>2.1808163667020493</v>
      </c>
      <c r="AC276" s="22">
        <f>(AB276/F276)/($AB$2000/$F$2000)*100</f>
        <v>94.950229587288916</v>
      </c>
      <c r="AD276" s="22"/>
    </row>
    <row r="277" spans="1:30" ht="15.75" customHeight="1" x14ac:dyDescent="0.15">
      <c r="A277" s="34">
        <v>275</v>
      </c>
      <c r="B277" s="35" t="s">
        <v>3335</v>
      </c>
      <c r="C277" s="57" t="s">
        <v>2654</v>
      </c>
      <c r="D277" s="34">
        <v>0.26300000000000001</v>
      </c>
      <c r="E277" s="34">
        <v>12</v>
      </c>
      <c r="F277" s="33">
        <v>22</v>
      </c>
      <c r="G277" s="34">
        <v>19</v>
      </c>
      <c r="H277" s="34">
        <v>0</v>
      </c>
      <c r="I277" s="34">
        <v>5</v>
      </c>
      <c r="J277" s="34">
        <v>1</v>
      </c>
      <c r="K277" s="34">
        <v>0</v>
      </c>
      <c r="L277" s="34">
        <v>0</v>
      </c>
      <c r="M277" s="34">
        <v>6</v>
      </c>
      <c r="N277" s="34">
        <v>5</v>
      </c>
      <c r="O277" s="34">
        <v>1</v>
      </c>
      <c r="P277" s="34">
        <v>2</v>
      </c>
      <c r="Q277" s="34">
        <v>0</v>
      </c>
      <c r="R277" s="34">
        <v>0</v>
      </c>
      <c r="S277" s="34">
        <v>1</v>
      </c>
      <c r="T277" s="34">
        <v>0</v>
      </c>
      <c r="U277" s="34">
        <v>2</v>
      </c>
      <c r="V277" s="34">
        <v>4</v>
      </c>
      <c r="W277" s="34">
        <v>0</v>
      </c>
      <c r="X277" s="34">
        <v>0.36399999999999999</v>
      </c>
      <c r="Y277" s="34">
        <v>0.316</v>
      </c>
      <c r="Z277" s="22">
        <f>X277+Y277</f>
        <v>0.67999999999999994</v>
      </c>
      <c r="AA277" s="22">
        <f>(0.692*(S277+T277)+0.73*U277+0.865*(I277-(J277+K277+L277))+1.334+J277+1.725*K277+2.065*L277)/(G277+S277-T277+U277+R277)</f>
        <v>0.36118181818181816</v>
      </c>
      <c r="AB277" s="22">
        <f>((AA277-$AA$2000)/1.24+$H$2000/$F$2000)*F277</f>
        <v>3.3879592238449061</v>
      </c>
      <c r="AC277" s="22">
        <f>(AB277/F277)/($AB$2000/$F$2000)*100</f>
        <v>147.50783745397169</v>
      </c>
      <c r="AD277" s="22"/>
    </row>
    <row r="278" spans="1:30" ht="15.75" customHeight="1" x14ac:dyDescent="0.15">
      <c r="A278" s="30">
        <v>275</v>
      </c>
      <c r="B278" s="31" t="s">
        <v>3336</v>
      </c>
      <c r="C278" s="46" t="s">
        <v>2648</v>
      </c>
      <c r="D278" s="30">
        <v>0.182</v>
      </c>
      <c r="E278" s="30">
        <v>6</v>
      </c>
      <c r="F278" s="33">
        <v>22</v>
      </c>
      <c r="G278" s="30">
        <v>22</v>
      </c>
      <c r="H278" s="30">
        <v>0</v>
      </c>
      <c r="I278" s="30">
        <v>4</v>
      </c>
      <c r="J278" s="30">
        <v>1</v>
      </c>
      <c r="K278" s="30">
        <v>0</v>
      </c>
      <c r="L278" s="30">
        <v>0</v>
      </c>
      <c r="M278" s="30">
        <v>5</v>
      </c>
      <c r="N278" s="30">
        <v>1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6</v>
      </c>
      <c r="W278" s="30">
        <v>2</v>
      </c>
      <c r="X278" s="30">
        <v>0.182</v>
      </c>
      <c r="Y278" s="30">
        <v>0.22700000000000001</v>
      </c>
      <c r="Z278" s="22">
        <f>X278+Y278</f>
        <v>0.40900000000000003</v>
      </c>
      <c r="AA278" s="22">
        <f>(0.692*(S278+T278)+0.73*U278+0.865*(I278-(J278+K278+L278))+1.334+J278+1.725*K278+2.065*L278)/(G278+S278-T278+U278+R278)</f>
        <v>0.22404545454545455</v>
      </c>
      <c r="AB278" s="22">
        <f>((AA278-$AA$2000)/1.24+$H$2000/$F$2000)*F278</f>
        <v>0.95489470771587426</v>
      </c>
      <c r="AC278" s="22">
        <f>(AB278/F278)/($AB$2000/$F$2000)*100</f>
        <v>41.575014344936228</v>
      </c>
      <c r="AD278" s="22"/>
    </row>
    <row r="279" spans="1:30" ht="15.75" customHeight="1" x14ac:dyDescent="0.15">
      <c r="A279" s="34">
        <v>278</v>
      </c>
      <c r="B279" s="35" t="s">
        <v>3337</v>
      </c>
      <c r="C279" s="40" t="s">
        <v>2650</v>
      </c>
      <c r="D279" s="34">
        <v>0.19</v>
      </c>
      <c r="E279" s="34">
        <v>7</v>
      </c>
      <c r="F279" s="33">
        <v>21</v>
      </c>
      <c r="G279" s="34">
        <v>21</v>
      </c>
      <c r="H279" s="34">
        <v>2</v>
      </c>
      <c r="I279" s="34">
        <v>4</v>
      </c>
      <c r="J279" s="34">
        <v>1</v>
      </c>
      <c r="K279" s="34">
        <v>0</v>
      </c>
      <c r="L279" s="34">
        <v>0</v>
      </c>
      <c r="M279" s="34">
        <v>5</v>
      </c>
      <c r="N279" s="34">
        <v>2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1</v>
      </c>
      <c r="W279" s="34">
        <v>0</v>
      </c>
      <c r="X279" s="34">
        <v>0.19</v>
      </c>
      <c r="Y279" s="34">
        <v>0.23799999999999999</v>
      </c>
      <c r="Z279" s="22">
        <f>X279+Y279</f>
        <v>0.42799999999999999</v>
      </c>
      <c r="AA279" s="22">
        <f>(0.692*(S279+T279)+0.73*U279+0.865*(I279-(J279+K279+L279))+1.334+J279+1.725*K279+2.065*L279)/(G279+S279-T279+U279+R279)</f>
        <v>0.23471428571428574</v>
      </c>
      <c r="AB279" s="22">
        <f>((AA279-$AA$2000)/1.24+$H$2000/$F$2000)*F279</f>
        <v>1.0921722210015168</v>
      </c>
      <c r="AC279" s="22">
        <f>(AB279/F279)/($AB$2000/$F$2000)*100</f>
        <v>49.816296051842137</v>
      </c>
      <c r="AD279" s="22"/>
    </row>
    <row r="280" spans="1:30" ht="15.75" customHeight="1" x14ac:dyDescent="0.15">
      <c r="A280" s="30">
        <v>279</v>
      </c>
      <c r="B280" s="31" t="s">
        <v>3338</v>
      </c>
      <c r="C280" s="32" t="s">
        <v>2645</v>
      </c>
      <c r="D280" s="30">
        <v>0.05</v>
      </c>
      <c r="E280" s="30">
        <v>21</v>
      </c>
      <c r="F280" s="33">
        <v>20</v>
      </c>
      <c r="G280" s="30">
        <v>20</v>
      </c>
      <c r="H280" s="30">
        <v>0</v>
      </c>
      <c r="I280" s="30">
        <v>1</v>
      </c>
      <c r="J280" s="30">
        <v>1</v>
      </c>
      <c r="K280" s="30">
        <v>0</v>
      </c>
      <c r="L280" s="30">
        <v>0</v>
      </c>
      <c r="M280" s="30">
        <v>2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6</v>
      </c>
      <c r="W280" s="30">
        <v>2</v>
      </c>
      <c r="X280" s="30">
        <v>0.05</v>
      </c>
      <c r="Y280" s="30">
        <v>0.1</v>
      </c>
      <c r="Z280" s="22">
        <f>X280+Y280</f>
        <v>0.15000000000000002</v>
      </c>
      <c r="AA280" s="22">
        <f>(0.692*(S280+T280)+0.73*U280+0.865*(I280-(J280+K280+L280))+1.334+J280+1.725*K280+2.065*L280)/(G280+S280-T280+U280+R280)</f>
        <v>0.1167</v>
      </c>
      <c r="AB280" s="22">
        <f>((AA280-$AA$2000)/1.24+$H$2000/$F$2000)*F280</f>
        <v>-0.86329220119671257</v>
      </c>
      <c r="AC280" s="22">
        <f>(AB280/F280)/($AB$2000/$F$2000)*100</f>
        <v>-41.345421536501689</v>
      </c>
      <c r="AD280" s="22"/>
    </row>
    <row r="281" spans="1:30" ht="15.75" customHeight="1" x14ac:dyDescent="0.15">
      <c r="A281" s="34">
        <v>279</v>
      </c>
      <c r="B281" s="35" t="s">
        <v>3339</v>
      </c>
      <c r="C281" s="42" t="s">
        <v>2652</v>
      </c>
      <c r="D281" s="34">
        <v>0</v>
      </c>
      <c r="E281" s="34">
        <v>19</v>
      </c>
      <c r="F281" s="33">
        <v>20</v>
      </c>
      <c r="G281" s="34">
        <v>18</v>
      </c>
      <c r="H281" s="34">
        <v>3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  <c r="N281" s="34">
        <v>1</v>
      </c>
      <c r="O281" s="34">
        <v>1</v>
      </c>
      <c r="P281" s="34">
        <v>0</v>
      </c>
      <c r="Q281" s="34">
        <v>1</v>
      </c>
      <c r="R281" s="34">
        <v>1</v>
      </c>
      <c r="S281" s="34">
        <v>0</v>
      </c>
      <c r="T281" s="34">
        <v>0</v>
      </c>
      <c r="U281" s="34">
        <v>0</v>
      </c>
      <c r="V281" s="34">
        <v>7</v>
      </c>
      <c r="W281" s="34">
        <v>0</v>
      </c>
      <c r="X281" s="34">
        <v>0</v>
      </c>
      <c r="Y281" s="34">
        <v>0</v>
      </c>
      <c r="Z281" s="22">
        <f>X281+Y281</f>
        <v>0</v>
      </c>
      <c r="AA281" s="22">
        <f>(0.692*(S281+T281)+0.73*U281+0.865*(I281-(J281+K281+L281))+1.334+J281+1.725*K281+2.065*L281)/(G281+S281-T281+U281+R281)</f>
        <v>7.0210526315789473E-2</v>
      </c>
      <c r="AB281" s="22">
        <f>((AA281-$AA$2000)/1.24+$H$2000/$F$2000)*F281</f>
        <v>-1.6131224219097855</v>
      </c>
      <c r="AC281" s="22">
        <f>(AB281/F281)/($AB$2000/$F$2000)*100</f>
        <v>-77.256838914319374</v>
      </c>
      <c r="AD281" s="22"/>
    </row>
    <row r="282" spans="1:30" ht="15.75" customHeight="1" x14ac:dyDescent="0.15">
      <c r="A282" s="30">
        <v>279</v>
      </c>
      <c r="B282" s="31" t="s">
        <v>3340</v>
      </c>
      <c r="C282" s="47" t="s">
        <v>2654</v>
      </c>
      <c r="D282" s="30">
        <v>0.158</v>
      </c>
      <c r="E282" s="30">
        <v>15</v>
      </c>
      <c r="F282" s="33">
        <v>20</v>
      </c>
      <c r="G282" s="30">
        <v>19</v>
      </c>
      <c r="H282" s="30">
        <v>1</v>
      </c>
      <c r="I282" s="30">
        <v>3</v>
      </c>
      <c r="J282" s="30">
        <v>0</v>
      </c>
      <c r="K282" s="30">
        <v>0</v>
      </c>
      <c r="L282" s="30">
        <v>0</v>
      </c>
      <c r="M282" s="30">
        <v>3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1</v>
      </c>
      <c r="T282" s="30">
        <v>0</v>
      </c>
      <c r="U282" s="30">
        <v>0</v>
      </c>
      <c r="V282" s="30">
        <v>7</v>
      </c>
      <c r="W282" s="30">
        <v>0</v>
      </c>
      <c r="X282" s="30">
        <v>0.2</v>
      </c>
      <c r="Y282" s="30">
        <v>0.158</v>
      </c>
      <c r="Z282" s="22">
        <f>X282+Y282</f>
        <v>0.35799999999999998</v>
      </c>
      <c r="AA282" s="22">
        <f>(0.692*(S282+T282)+0.73*U282+0.865*(I282-(J282+K282+L282))+1.334+J282+1.725*K282+2.065*L282)/(G282+S282-T282+U282+R282)</f>
        <v>0.23105000000000003</v>
      </c>
      <c r="AB282" s="22">
        <f>((AA282-$AA$2000)/1.24+$H$2000/$F$2000)*F282</f>
        <v>0.98106263751296541</v>
      </c>
      <c r="AC282" s="22">
        <f>(AB282/F282)/($AB$2000/$F$2000)*100</f>
        <v>46.985769413249933</v>
      </c>
      <c r="AD282" s="22"/>
    </row>
    <row r="283" spans="1:30" ht="15.75" customHeight="1" x14ac:dyDescent="0.15">
      <c r="A283" s="34">
        <v>279</v>
      </c>
      <c r="B283" s="35" t="s">
        <v>3341</v>
      </c>
      <c r="C283" s="50" t="s">
        <v>198</v>
      </c>
      <c r="D283" s="34">
        <v>5.6000000000000001E-2</v>
      </c>
      <c r="E283" s="34">
        <v>11</v>
      </c>
      <c r="F283" s="33">
        <v>20</v>
      </c>
      <c r="G283" s="34">
        <v>18</v>
      </c>
      <c r="H283" s="34">
        <v>1</v>
      </c>
      <c r="I283" s="34">
        <v>1</v>
      </c>
      <c r="J283" s="34">
        <v>0</v>
      </c>
      <c r="K283" s="34">
        <v>0</v>
      </c>
      <c r="L283" s="34">
        <v>0</v>
      </c>
      <c r="M283" s="34">
        <v>1</v>
      </c>
      <c r="N283" s="34">
        <v>2</v>
      </c>
      <c r="O283" s="34">
        <v>1</v>
      </c>
      <c r="P283" s="34">
        <v>0</v>
      </c>
      <c r="Q283" s="34">
        <v>0</v>
      </c>
      <c r="R283" s="34">
        <v>0</v>
      </c>
      <c r="S283" s="34">
        <v>2</v>
      </c>
      <c r="T283" s="34">
        <v>0</v>
      </c>
      <c r="U283" s="34">
        <v>0</v>
      </c>
      <c r="V283" s="34">
        <v>5</v>
      </c>
      <c r="W283" s="34">
        <v>2</v>
      </c>
      <c r="X283" s="34">
        <v>0.15</v>
      </c>
      <c r="Y283" s="34">
        <v>5.6000000000000001E-2</v>
      </c>
      <c r="Z283" s="22">
        <f>X283+Y283</f>
        <v>0.20599999999999999</v>
      </c>
      <c r="AA283" s="22">
        <f>(0.692*(S283+T283)+0.73*U283+0.865*(I283-(J283+K283+L283))+1.334+J283+1.725*K283+2.065*L283)/(G283+S283-T283+U283+R283)</f>
        <v>0.17914999999999998</v>
      </c>
      <c r="AB283" s="22">
        <f>((AA283-$AA$2000)/1.24+$H$2000/$F$2000)*F283</f>
        <v>0.14396586331941602</v>
      </c>
      <c r="AC283" s="22">
        <f>(AB283/F283)/($AB$2000/$F$2000)*100</f>
        <v>6.8949184268737804</v>
      </c>
      <c r="AD283" s="22"/>
    </row>
    <row r="284" spans="1:30" ht="15.75" customHeight="1" x14ac:dyDescent="0.15">
      <c r="A284" s="30">
        <v>279</v>
      </c>
      <c r="B284" s="31" t="s">
        <v>3342</v>
      </c>
      <c r="C284" s="44" t="s">
        <v>2653</v>
      </c>
      <c r="D284" s="30">
        <v>5.6000000000000001E-2</v>
      </c>
      <c r="E284" s="30">
        <v>10</v>
      </c>
      <c r="F284" s="33">
        <v>20</v>
      </c>
      <c r="G284" s="30">
        <v>18</v>
      </c>
      <c r="H284" s="30">
        <v>1</v>
      </c>
      <c r="I284" s="30">
        <v>1</v>
      </c>
      <c r="J284" s="30">
        <v>0</v>
      </c>
      <c r="K284" s="30">
        <v>0</v>
      </c>
      <c r="L284" s="30">
        <v>0</v>
      </c>
      <c r="M284" s="30">
        <v>1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1</v>
      </c>
      <c r="T284" s="30">
        <v>0</v>
      </c>
      <c r="U284" s="30">
        <v>1</v>
      </c>
      <c r="V284" s="30">
        <v>8</v>
      </c>
      <c r="W284" s="30">
        <v>0</v>
      </c>
      <c r="X284" s="30">
        <v>0.15</v>
      </c>
      <c r="Y284" s="30">
        <v>5.6000000000000001E-2</v>
      </c>
      <c r="Z284" s="22">
        <f>X284+Y284</f>
        <v>0.20599999999999999</v>
      </c>
      <c r="AA284" s="22">
        <f>(0.692*(S284+T284)+0.73*U284+0.865*(I284-(J284+K284+L284))+1.334+J284+1.725*K284+2.065*L284)/(G284+S284-T284+U284+R284)</f>
        <v>0.18104999999999999</v>
      </c>
      <c r="AB284" s="22">
        <f>((AA284-$AA$2000)/1.24+$H$2000/$F$2000)*F284</f>
        <v>0.17461102460973904</v>
      </c>
      <c r="AC284" s="22">
        <f>(AB284/F284)/($AB$2000/$F$2000)*100</f>
        <v>8.3625989061438322</v>
      </c>
      <c r="AD284" s="22"/>
    </row>
    <row r="285" spans="1:30" ht="15.75" customHeight="1" x14ac:dyDescent="0.15">
      <c r="A285" s="34">
        <v>279</v>
      </c>
      <c r="B285" s="35" t="s">
        <v>3343</v>
      </c>
      <c r="C285" s="57" t="s">
        <v>2654</v>
      </c>
      <c r="D285" s="34">
        <v>0.2</v>
      </c>
      <c r="E285" s="34">
        <v>10</v>
      </c>
      <c r="F285" s="33">
        <v>20</v>
      </c>
      <c r="G285" s="34">
        <v>20</v>
      </c>
      <c r="H285" s="34">
        <v>1</v>
      </c>
      <c r="I285" s="34">
        <v>4</v>
      </c>
      <c r="J285" s="34">
        <v>1</v>
      </c>
      <c r="K285" s="34">
        <v>0</v>
      </c>
      <c r="L285" s="34">
        <v>1</v>
      </c>
      <c r="M285" s="34">
        <v>8</v>
      </c>
      <c r="N285" s="34">
        <v>2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9</v>
      </c>
      <c r="W285" s="34">
        <v>0</v>
      </c>
      <c r="X285" s="34">
        <v>0.2</v>
      </c>
      <c r="Y285" s="34">
        <v>0.4</v>
      </c>
      <c r="Z285" s="22">
        <f>X285+Y285</f>
        <v>0.60000000000000009</v>
      </c>
      <c r="AA285" s="22">
        <f>(0.692*(S285+T285)+0.73*U285+0.865*(I285-(J285+K285+L285))+1.334+J285+1.725*K285+2.065*L285)/(G285+S285-T285+U285+R285)</f>
        <v>0.30645</v>
      </c>
      <c r="AB285" s="22">
        <f>((AA285-$AA$2000)/1.24+$H$2000/$F$2000)*F285</f>
        <v>2.1971916697710294</v>
      </c>
      <c r="AC285" s="22">
        <f>(AB285/F285)/($AB$2000/$F$2000)*100</f>
        <v>105.22951053796588</v>
      </c>
      <c r="AD285" s="22"/>
    </row>
    <row r="286" spans="1:30" ht="15.75" customHeight="1" x14ac:dyDescent="0.15">
      <c r="A286" s="30">
        <v>285</v>
      </c>
      <c r="B286" s="31" t="s">
        <v>3344</v>
      </c>
      <c r="C286" s="47" t="s">
        <v>2654</v>
      </c>
      <c r="D286" s="30">
        <v>0.25</v>
      </c>
      <c r="E286" s="30">
        <v>34</v>
      </c>
      <c r="F286" s="33">
        <v>19</v>
      </c>
      <c r="G286" s="30">
        <v>16</v>
      </c>
      <c r="H286" s="30">
        <v>2</v>
      </c>
      <c r="I286" s="30">
        <v>4</v>
      </c>
      <c r="J286" s="30">
        <v>0</v>
      </c>
      <c r="K286" s="30">
        <v>0</v>
      </c>
      <c r="L286" s="30">
        <v>0</v>
      </c>
      <c r="M286" s="30">
        <v>4</v>
      </c>
      <c r="N286" s="30">
        <v>0</v>
      </c>
      <c r="O286" s="30">
        <v>2</v>
      </c>
      <c r="P286" s="30">
        <v>1</v>
      </c>
      <c r="Q286" s="30">
        <v>3</v>
      </c>
      <c r="R286" s="30">
        <v>0</v>
      </c>
      <c r="S286" s="30">
        <v>0</v>
      </c>
      <c r="T286" s="30">
        <v>0</v>
      </c>
      <c r="U286" s="30">
        <v>0</v>
      </c>
      <c r="V286" s="30">
        <v>5</v>
      </c>
      <c r="W286" s="30">
        <v>1</v>
      </c>
      <c r="X286" s="30">
        <v>0.25</v>
      </c>
      <c r="Y286" s="30">
        <v>0.25</v>
      </c>
      <c r="Z286" s="22">
        <f>X286+Y286</f>
        <v>0.5</v>
      </c>
      <c r="AA286" s="22">
        <f>(0.692*(S286+T286)+0.73*U286+0.865*(I286-(J286+K286+L286))+1.334+J286+1.725*K286+2.065*L286)/(G286+S286-T286+U286+R286)</f>
        <v>0.29962500000000003</v>
      </c>
      <c r="AB286" s="22">
        <f>((AA286-$AA$2000)/1.24+$H$2000/$F$2000)*F286</f>
        <v>1.9827554733792527</v>
      </c>
      <c r="AC286" s="22">
        <f>(AB286/F286)/($AB$2000/$F$2000)*100</f>
        <v>99.957447763745904</v>
      </c>
      <c r="AD286" s="22"/>
    </row>
    <row r="287" spans="1:30" ht="15.75" customHeight="1" x14ac:dyDescent="0.15">
      <c r="A287" s="34">
        <v>285</v>
      </c>
      <c r="B287" s="35" t="s">
        <v>3345</v>
      </c>
      <c r="C287" s="58" t="s">
        <v>2645</v>
      </c>
      <c r="D287" s="34">
        <v>0.111</v>
      </c>
      <c r="E287" s="34">
        <v>26</v>
      </c>
      <c r="F287" s="33">
        <v>19</v>
      </c>
      <c r="G287" s="34">
        <v>18</v>
      </c>
      <c r="H287" s="34">
        <v>1</v>
      </c>
      <c r="I287" s="34">
        <v>2</v>
      </c>
      <c r="J287" s="34">
        <v>0</v>
      </c>
      <c r="K287" s="34">
        <v>0</v>
      </c>
      <c r="L287" s="34">
        <v>0</v>
      </c>
      <c r="M287" s="34">
        <v>2</v>
      </c>
      <c r="N287" s="34">
        <v>1</v>
      </c>
      <c r="O287" s="34">
        <v>0</v>
      </c>
      <c r="P287" s="34">
        <v>0</v>
      </c>
      <c r="Q287" s="34">
        <v>0</v>
      </c>
      <c r="R287" s="34">
        <v>0</v>
      </c>
      <c r="S287" s="34">
        <v>1</v>
      </c>
      <c r="T287" s="34">
        <v>0</v>
      </c>
      <c r="U287" s="34">
        <v>0</v>
      </c>
      <c r="V287" s="34">
        <v>8</v>
      </c>
      <c r="W287" s="34">
        <v>1</v>
      </c>
      <c r="X287" s="34">
        <v>0.158</v>
      </c>
      <c r="Y287" s="34">
        <v>0.111</v>
      </c>
      <c r="Z287" s="22">
        <f>X287+Y287</f>
        <v>0.26900000000000002</v>
      </c>
      <c r="AA287" s="22">
        <f>(0.692*(S287+T287)+0.73*U287+0.865*(I287-(J287+K287+L287))+1.334+J287+1.725*K287+2.065*L287)/(G287+S287-T287+U287+R287)</f>
        <v>0.19768421052631577</v>
      </c>
      <c r="AB287" s="22">
        <f>((AA287-$AA$2000)/1.24+$H$2000/$F$2000)*F287</f>
        <v>0.42075950563731623</v>
      </c>
      <c r="AC287" s="22">
        <f>(AB287/F287)/($AB$2000/$F$2000)*100</f>
        <v>21.21191789432368</v>
      </c>
      <c r="AD287" s="22"/>
    </row>
    <row r="288" spans="1:30" ht="15.75" customHeight="1" x14ac:dyDescent="0.15">
      <c r="A288" s="30">
        <v>285</v>
      </c>
      <c r="B288" s="31" t="s">
        <v>3346</v>
      </c>
      <c r="C288" s="52" t="s">
        <v>2646</v>
      </c>
      <c r="D288" s="30">
        <v>0.105</v>
      </c>
      <c r="E288" s="30">
        <v>7</v>
      </c>
      <c r="F288" s="33">
        <v>19</v>
      </c>
      <c r="G288" s="30">
        <v>19</v>
      </c>
      <c r="H288" s="30">
        <v>1</v>
      </c>
      <c r="I288" s="30">
        <v>2</v>
      </c>
      <c r="J288" s="30">
        <v>0</v>
      </c>
      <c r="K288" s="30">
        <v>0</v>
      </c>
      <c r="L288" s="30">
        <v>1</v>
      </c>
      <c r="M288" s="30">
        <v>5</v>
      </c>
      <c r="N288" s="30">
        <v>1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5</v>
      </c>
      <c r="W288" s="30">
        <v>1</v>
      </c>
      <c r="X288" s="30">
        <v>0.105</v>
      </c>
      <c r="Y288" s="30">
        <v>0.26300000000000001</v>
      </c>
      <c r="Z288" s="22">
        <f>X288+Y288</f>
        <v>0.36799999999999999</v>
      </c>
      <c r="AA288" s="22">
        <f>(0.692*(S288+T288)+0.73*U288+0.865*(I288-(J288+K288+L288))+1.334+J288+1.725*K288+2.065*L288)/(G288+S288-T288+U288+R288)</f>
        <v>0.22442105263157891</v>
      </c>
      <c r="AB288" s="22">
        <f>((AA288-$AA$2000)/1.24+$H$2000/$F$2000)*F288</f>
        <v>0.83043692499215482</v>
      </c>
      <c r="AC288" s="22">
        <f>(AB288/F288)/($AB$2000/$F$2000)*100</f>
        <v>41.865150123386712</v>
      </c>
      <c r="AD288" s="22"/>
    </row>
    <row r="289" spans="1:30" ht="15.75" customHeight="1" x14ac:dyDescent="0.15">
      <c r="A289" s="34">
        <v>288</v>
      </c>
      <c r="B289" s="35" t="s">
        <v>3347</v>
      </c>
      <c r="C289" s="45" t="s">
        <v>2651</v>
      </c>
      <c r="D289" s="34">
        <v>0.17599999999999999</v>
      </c>
      <c r="E289" s="34">
        <v>15</v>
      </c>
      <c r="F289" s="33">
        <v>18</v>
      </c>
      <c r="G289" s="34">
        <v>17</v>
      </c>
      <c r="H289" s="34">
        <v>1</v>
      </c>
      <c r="I289" s="34">
        <v>3</v>
      </c>
      <c r="J289" s="34">
        <v>0</v>
      </c>
      <c r="K289" s="34">
        <v>1</v>
      </c>
      <c r="L289" s="34">
        <v>0</v>
      </c>
      <c r="M289" s="34">
        <v>5</v>
      </c>
      <c r="N289" s="34">
        <v>0</v>
      </c>
      <c r="O289" s="34">
        <v>0</v>
      </c>
      <c r="P289" s="34">
        <v>0</v>
      </c>
      <c r="Q289" s="34">
        <v>1</v>
      </c>
      <c r="R289" s="34">
        <v>0</v>
      </c>
      <c r="S289" s="34">
        <v>0</v>
      </c>
      <c r="T289" s="34">
        <v>0</v>
      </c>
      <c r="U289" s="34">
        <v>0</v>
      </c>
      <c r="V289" s="34">
        <v>3</v>
      </c>
      <c r="W289" s="34">
        <v>0</v>
      </c>
      <c r="X289" s="34">
        <v>0.17599999999999999</v>
      </c>
      <c r="Y289" s="34">
        <v>0.29399999999999998</v>
      </c>
      <c r="Z289" s="22">
        <f>X289+Y289</f>
        <v>0.47</v>
      </c>
      <c r="AA289" s="22">
        <f>(0.692*(S289+T289)+0.73*U289+0.865*(I289-(J289+K289+L289))+1.334+J289+1.725*K289+2.065*L289)/(G289+S289-T289+U289+R289)</f>
        <v>0.28170588235294114</v>
      </c>
      <c r="AB289" s="22">
        <f>((AA289-$AA$2000)/1.24+$H$2000/$F$2000)*F289</f>
        <v>1.6182836982398463</v>
      </c>
      <c r="AC289" s="22">
        <f>(AB289/F289)/($AB$2000/$F$2000)*100</f>
        <v>86.115585039360937</v>
      </c>
      <c r="AD289" s="22"/>
    </row>
    <row r="290" spans="1:30" ht="15.75" customHeight="1" x14ac:dyDescent="0.15">
      <c r="A290" s="30">
        <v>288</v>
      </c>
      <c r="B290" s="31" t="s">
        <v>3348</v>
      </c>
      <c r="C290" s="55" t="s">
        <v>2652</v>
      </c>
      <c r="D290" s="30">
        <v>0.17599999999999999</v>
      </c>
      <c r="E290" s="30">
        <v>7</v>
      </c>
      <c r="F290" s="33">
        <v>18</v>
      </c>
      <c r="G290" s="30">
        <v>17</v>
      </c>
      <c r="H290" s="30">
        <v>0</v>
      </c>
      <c r="I290" s="30">
        <v>3</v>
      </c>
      <c r="J290" s="30">
        <v>0</v>
      </c>
      <c r="K290" s="30">
        <v>0</v>
      </c>
      <c r="L290" s="30">
        <v>0</v>
      </c>
      <c r="M290" s="30">
        <v>3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1</v>
      </c>
      <c r="T290" s="30">
        <v>0</v>
      </c>
      <c r="U290" s="30">
        <v>0</v>
      </c>
      <c r="V290" s="30">
        <v>6</v>
      </c>
      <c r="W290" s="30">
        <v>0</v>
      </c>
      <c r="X290" s="30">
        <v>0.222</v>
      </c>
      <c r="Y290" s="30">
        <v>0.17599999999999999</v>
      </c>
      <c r="Z290" s="22">
        <f>X290+Y290</f>
        <v>0.39800000000000002</v>
      </c>
      <c r="AA290" s="22">
        <f>(0.692*(S290+T290)+0.73*U290+0.865*(I290-(J290+K290+L290))+1.334+J290+1.725*K290+2.065*L290)/(G290+S290-T290+U290+R290)</f>
        <v>0.25672222222222224</v>
      </c>
      <c r="AB290" s="22">
        <f>((AA290-$AA$2000)/1.24+$H$2000/$F$2000)*F290</f>
        <v>1.2556176640842494</v>
      </c>
      <c r="AC290" s="22">
        <f>(AB290/F290)/($AB$2000/$F$2000)*100</f>
        <v>66.816621736954048</v>
      </c>
      <c r="AD290" s="22"/>
    </row>
    <row r="291" spans="1:30" ht="15.75" customHeight="1" x14ac:dyDescent="0.15">
      <c r="A291" s="34">
        <v>290</v>
      </c>
      <c r="B291" s="35" t="s">
        <v>3349</v>
      </c>
      <c r="C291" s="43" t="s">
        <v>2649</v>
      </c>
      <c r="D291" s="34">
        <v>0.14299999999999999</v>
      </c>
      <c r="E291" s="34">
        <v>13</v>
      </c>
      <c r="F291" s="33">
        <v>16</v>
      </c>
      <c r="G291" s="34">
        <v>14</v>
      </c>
      <c r="H291" s="34">
        <v>3</v>
      </c>
      <c r="I291" s="34">
        <v>2</v>
      </c>
      <c r="J291" s="34">
        <v>1</v>
      </c>
      <c r="K291" s="34">
        <v>0</v>
      </c>
      <c r="L291" s="34">
        <v>0</v>
      </c>
      <c r="M291" s="34">
        <v>3</v>
      </c>
      <c r="N291" s="34">
        <v>1</v>
      </c>
      <c r="O291" s="34">
        <v>0</v>
      </c>
      <c r="P291" s="34">
        <v>0</v>
      </c>
      <c r="Q291" s="34">
        <v>0</v>
      </c>
      <c r="R291" s="34">
        <v>1</v>
      </c>
      <c r="S291" s="34">
        <v>1</v>
      </c>
      <c r="T291" s="34">
        <v>0</v>
      </c>
      <c r="U291" s="34">
        <v>0</v>
      </c>
      <c r="V291" s="34">
        <v>3</v>
      </c>
      <c r="W291" s="34">
        <v>0</v>
      </c>
      <c r="X291" s="34">
        <v>0.188</v>
      </c>
      <c r="Y291" s="34">
        <v>0.214</v>
      </c>
      <c r="Z291" s="22">
        <f>X291+Y291</f>
        <v>0.40200000000000002</v>
      </c>
      <c r="AA291" s="22">
        <f>(0.692*(S291+T291)+0.73*U291+0.865*(I291-(J291+K291+L291))+1.334+J291+1.725*K291+2.065*L291)/(G291+S291-T291+U291+R291)</f>
        <v>0.2431875</v>
      </c>
      <c r="AB291" s="22">
        <f>((AA291-$AA$2000)/1.24+$H$2000/$F$2000)*F291</f>
        <v>0.94146301323617843</v>
      </c>
      <c r="AC291" s="22">
        <f>(AB291/F291)/($AB$2000/$F$2000)*100</f>
        <v>56.361544053849912</v>
      </c>
      <c r="AD291" s="22"/>
    </row>
    <row r="292" spans="1:30" ht="15.75" customHeight="1" x14ac:dyDescent="0.15">
      <c r="A292" s="30">
        <v>291</v>
      </c>
      <c r="B292" s="31" t="s">
        <v>3060</v>
      </c>
      <c r="C292" s="54" t="s">
        <v>2650</v>
      </c>
      <c r="D292" s="30">
        <v>9.0999999999999998E-2</v>
      </c>
      <c r="E292" s="30">
        <v>47</v>
      </c>
      <c r="F292" s="33">
        <v>15</v>
      </c>
      <c r="G292" s="30">
        <v>11</v>
      </c>
      <c r="H292" s="30">
        <v>2</v>
      </c>
      <c r="I292" s="30">
        <v>1</v>
      </c>
      <c r="J292" s="30">
        <v>0</v>
      </c>
      <c r="K292" s="30">
        <v>0</v>
      </c>
      <c r="L292" s="30">
        <v>0</v>
      </c>
      <c r="M292" s="30">
        <v>1</v>
      </c>
      <c r="N292" s="30">
        <v>1</v>
      </c>
      <c r="O292" s="30">
        <v>0</v>
      </c>
      <c r="P292" s="30">
        <v>0</v>
      </c>
      <c r="Q292" s="30">
        <v>3</v>
      </c>
      <c r="R292" s="30">
        <v>1</v>
      </c>
      <c r="S292" s="30">
        <v>0</v>
      </c>
      <c r="T292" s="30">
        <v>0</v>
      </c>
      <c r="U292" s="30">
        <v>0</v>
      </c>
      <c r="V292" s="30">
        <v>2</v>
      </c>
      <c r="W292" s="30">
        <v>2</v>
      </c>
      <c r="X292" s="30">
        <v>8.3000000000000004E-2</v>
      </c>
      <c r="Y292" s="30">
        <v>9.0999999999999998E-2</v>
      </c>
      <c r="Z292" s="22">
        <f>X292+Y292</f>
        <v>0.17399999999999999</v>
      </c>
      <c r="AA292" s="22">
        <f>(0.692*(S292+T292)+0.73*U292+0.865*(I292-(J292+K292+L292))+1.334+J292+1.725*K292+2.065*L292)/(G292+S292-T292+U292+R292)</f>
        <v>0.18325</v>
      </c>
      <c r="AB292" s="22">
        <f>((AA292-$AA$2000)/1.24+$H$2000/$F$2000)*F292</f>
        <v>0.15757117168311069</v>
      </c>
      <c r="AC292" s="22">
        <f>(AB292/F292)/($AB$2000/$F$2000)*100</f>
        <v>10.062018408456499</v>
      </c>
      <c r="AD292" s="22"/>
    </row>
    <row r="293" spans="1:30" ht="15.75" customHeight="1" x14ac:dyDescent="0.15">
      <c r="A293" s="34">
        <v>291</v>
      </c>
      <c r="B293" s="35" t="s">
        <v>3350</v>
      </c>
      <c r="C293" s="57" t="s">
        <v>2654</v>
      </c>
      <c r="D293" s="34">
        <v>7.6999999999999999E-2</v>
      </c>
      <c r="E293" s="34">
        <v>20</v>
      </c>
      <c r="F293" s="33">
        <v>15</v>
      </c>
      <c r="G293" s="34">
        <v>13</v>
      </c>
      <c r="H293" s="34">
        <v>0</v>
      </c>
      <c r="I293" s="34">
        <v>1</v>
      </c>
      <c r="J293" s="34">
        <v>1</v>
      </c>
      <c r="K293" s="34">
        <v>0</v>
      </c>
      <c r="L293" s="34">
        <v>0</v>
      </c>
      <c r="M293" s="34">
        <v>2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2</v>
      </c>
      <c r="T293" s="34">
        <v>0</v>
      </c>
      <c r="U293" s="34">
        <v>0</v>
      </c>
      <c r="V293" s="34">
        <v>6</v>
      </c>
      <c r="W293" s="34">
        <v>1</v>
      </c>
      <c r="X293" s="34">
        <v>0.2</v>
      </c>
      <c r="Y293" s="34">
        <v>0.154</v>
      </c>
      <c r="Z293" s="22">
        <f>X293+Y293</f>
        <v>0.35399999999999998</v>
      </c>
      <c r="AA293" s="22">
        <f>(0.692*(S293+T293)+0.73*U293+0.865*(I293-(J293+K293+L293))+1.334+J293+1.725*K293+2.065*L293)/(G293+S293-T293+U293+R293)</f>
        <v>0.24786666666666665</v>
      </c>
      <c r="AB293" s="22">
        <f>((AA293-$AA$2000)/1.24+$H$2000/$F$2000)*F293</f>
        <v>0.93922439748956221</v>
      </c>
      <c r="AC293" s="22">
        <f>(AB293/F293)/($AB$2000/$F$2000)*100</f>
        <v>59.976029093806581</v>
      </c>
      <c r="AD293" s="22"/>
    </row>
    <row r="294" spans="1:30" ht="15.75" customHeight="1" x14ac:dyDescent="0.15">
      <c r="A294" s="30">
        <v>291</v>
      </c>
      <c r="B294" s="31" t="s">
        <v>3351</v>
      </c>
      <c r="C294" s="32" t="s">
        <v>2645</v>
      </c>
      <c r="D294" s="30">
        <v>7.0999999999999994E-2</v>
      </c>
      <c r="E294" s="30">
        <v>10</v>
      </c>
      <c r="F294" s="33">
        <v>15</v>
      </c>
      <c r="G294" s="30">
        <v>14</v>
      </c>
      <c r="H294" s="30">
        <v>1</v>
      </c>
      <c r="I294" s="30">
        <v>1</v>
      </c>
      <c r="J294" s="30">
        <v>0</v>
      </c>
      <c r="K294" s="30">
        <v>0</v>
      </c>
      <c r="L294" s="30">
        <v>0</v>
      </c>
      <c r="M294" s="30">
        <v>1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1</v>
      </c>
      <c r="T294" s="30">
        <v>0</v>
      </c>
      <c r="U294" s="30">
        <v>0</v>
      </c>
      <c r="V294" s="30">
        <v>4</v>
      </c>
      <c r="W294" s="30">
        <v>0</v>
      </c>
      <c r="X294" s="30">
        <v>0.13300000000000001</v>
      </c>
      <c r="Y294" s="30">
        <v>7.0999999999999994E-2</v>
      </c>
      <c r="Z294" s="22">
        <f>X294+Y294</f>
        <v>0.20400000000000001</v>
      </c>
      <c r="AA294" s="22">
        <f>(0.692*(S294+T294)+0.73*U294+0.865*(I294-(J294+K294+L294))+1.334+J294+1.725*K294+2.065*L294)/(G294+S294-T294+U294+R294)</f>
        <v>0.19273333333333334</v>
      </c>
      <c r="AB294" s="22">
        <f>((AA294-$AA$2000)/1.24+$H$2000/$F$2000)*F294</f>
        <v>0.2722889136185947</v>
      </c>
      <c r="AC294" s="22">
        <f>(AB294/F294)/($AB$2000/$F$2000)*100</f>
        <v>17.387546414637626</v>
      </c>
      <c r="AD294" s="22"/>
    </row>
    <row r="295" spans="1:30" ht="15.75" customHeight="1" x14ac:dyDescent="0.15">
      <c r="A295" s="34">
        <v>291</v>
      </c>
      <c r="B295" s="35" t="s">
        <v>3352</v>
      </c>
      <c r="C295" s="45" t="s">
        <v>2651</v>
      </c>
      <c r="D295" s="34">
        <v>7.0999999999999994E-2</v>
      </c>
      <c r="E295" s="34">
        <v>5</v>
      </c>
      <c r="F295" s="33">
        <v>15</v>
      </c>
      <c r="G295" s="34">
        <v>14</v>
      </c>
      <c r="H295" s="34">
        <v>0</v>
      </c>
      <c r="I295" s="34">
        <v>1</v>
      </c>
      <c r="J295" s="34">
        <v>0</v>
      </c>
      <c r="K295" s="34">
        <v>0</v>
      </c>
      <c r="L295" s="34">
        <v>0</v>
      </c>
      <c r="M295" s="34">
        <v>1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1</v>
      </c>
      <c r="T295" s="34">
        <v>0</v>
      </c>
      <c r="U295" s="34">
        <v>0</v>
      </c>
      <c r="V295" s="34">
        <v>7</v>
      </c>
      <c r="W295" s="34">
        <v>1</v>
      </c>
      <c r="X295" s="34">
        <v>0.13300000000000001</v>
      </c>
      <c r="Y295" s="34">
        <v>7.0999999999999994E-2</v>
      </c>
      <c r="Z295" s="22">
        <f>X295+Y295</f>
        <v>0.20400000000000001</v>
      </c>
      <c r="AA295" s="22">
        <f>(0.692*(S295+T295)+0.73*U295+0.865*(I295-(J295+K295+L295))+1.334+J295+1.725*K295+2.065*L295)/(G295+S295-T295+U295+R295)</f>
        <v>0.19273333333333334</v>
      </c>
      <c r="AB295" s="22">
        <f>((AA295-$AA$2000)/1.24+$H$2000/$F$2000)*F295</f>
        <v>0.2722889136185947</v>
      </c>
      <c r="AC295" s="22">
        <f>(AB295/F295)/($AB$2000/$F$2000)*100</f>
        <v>17.387546414637626</v>
      </c>
      <c r="AD295" s="22"/>
    </row>
    <row r="296" spans="1:30" ht="15.75" customHeight="1" x14ac:dyDescent="0.15">
      <c r="A296" s="30">
        <v>291</v>
      </c>
      <c r="B296" s="31" t="s">
        <v>3353</v>
      </c>
      <c r="C296" s="55" t="s">
        <v>2652</v>
      </c>
      <c r="D296" s="30">
        <v>0</v>
      </c>
      <c r="E296" s="30">
        <v>4</v>
      </c>
      <c r="F296" s="33">
        <v>15</v>
      </c>
      <c r="G296" s="30">
        <v>13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2</v>
      </c>
      <c r="T296" s="30">
        <v>0</v>
      </c>
      <c r="U296" s="30">
        <v>0</v>
      </c>
      <c r="V296" s="30">
        <v>8</v>
      </c>
      <c r="W296" s="30">
        <v>0</v>
      </c>
      <c r="X296" s="30">
        <v>0.13300000000000001</v>
      </c>
      <c r="Y296" s="30">
        <v>0</v>
      </c>
      <c r="Z296" s="22">
        <f>X296+Y296</f>
        <v>0.13300000000000001</v>
      </c>
      <c r="AA296" s="22">
        <f>(0.692*(S296+T296)+0.73*U296+0.865*(I296-(J296+K296+L296))+1.334+J296+1.725*K296+2.065*L296)/(G296+S296-T296+U296+R296)</f>
        <v>0.1812</v>
      </c>
      <c r="AB296" s="22">
        <f>((AA296-$AA$2000)/1.24+$H$2000/$F$2000)*F296</f>
        <v>0.13277278458633657</v>
      </c>
      <c r="AC296" s="22">
        <f>(AB296/F296)/($AB$2000/$F$2000)*100</f>
        <v>8.4784684176651535</v>
      </c>
      <c r="AD296" s="22"/>
    </row>
    <row r="297" spans="1:30" ht="15.75" customHeight="1" x14ac:dyDescent="0.15">
      <c r="A297" s="34">
        <v>296</v>
      </c>
      <c r="B297" s="35" t="s">
        <v>3354</v>
      </c>
      <c r="C297" s="48" t="s">
        <v>2647</v>
      </c>
      <c r="D297" s="34">
        <v>0.154</v>
      </c>
      <c r="E297" s="34">
        <v>11</v>
      </c>
      <c r="F297" s="33">
        <v>14</v>
      </c>
      <c r="G297" s="34">
        <v>13</v>
      </c>
      <c r="H297" s="34">
        <v>0</v>
      </c>
      <c r="I297" s="34">
        <v>2</v>
      </c>
      <c r="J297" s="34">
        <v>0</v>
      </c>
      <c r="K297" s="34">
        <v>0</v>
      </c>
      <c r="L297" s="34">
        <v>0</v>
      </c>
      <c r="M297" s="34">
        <v>2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1</v>
      </c>
      <c r="T297" s="34">
        <v>0</v>
      </c>
      <c r="U297" s="34">
        <v>0</v>
      </c>
      <c r="V297" s="34">
        <v>1</v>
      </c>
      <c r="W297" s="34">
        <v>0</v>
      </c>
      <c r="X297" s="34">
        <v>0.214</v>
      </c>
      <c r="Y297" s="34">
        <v>0.154</v>
      </c>
      <c r="Z297" s="22">
        <f>X297+Y297</f>
        <v>0.36799999999999999</v>
      </c>
      <c r="AA297" s="22">
        <f>(0.692*(S297+T297)+0.73*U297+0.865*(I297-(J297+K297+L297))+1.334+J297+1.725*K297+2.065*L297)/(G297+S297-T297+U297+R297)</f>
        <v>0.26828571428571429</v>
      </c>
      <c r="AB297" s="22">
        <f>((AA297-$AA$2000)/1.24+$H$2000/$F$2000)*F297</f>
        <v>1.1071470720655272</v>
      </c>
      <c r="AC297" s="22">
        <f>(AB297/F297)/($AB$2000/$F$2000)*100</f>
        <v>75.74899624947048</v>
      </c>
      <c r="AD297" s="22"/>
    </row>
    <row r="298" spans="1:30" ht="15.75" customHeight="1" x14ac:dyDescent="0.15">
      <c r="A298" s="30">
        <v>296</v>
      </c>
      <c r="B298" s="31" t="s">
        <v>3355</v>
      </c>
      <c r="C298" s="55" t="s">
        <v>2652</v>
      </c>
      <c r="D298" s="30">
        <v>0.28599999999999998</v>
      </c>
      <c r="E298" s="30">
        <v>11</v>
      </c>
      <c r="F298" s="33">
        <v>14</v>
      </c>
      <c r="G298" s="30">
        <v>14</v>
      </c>
      <c r="H298" s="30">
        <v>1</v>
      </c>
      <c r="I298" s="30">
        <v>4</v>
      </c>
      <c r="J298" s="30">
        <v>1</v>
      </c>
      <c r="K298" s="30">
        <v>0</v>
      </c>
      <c r="L298" s="30">
        <v>0</v>
      </c>
      <c r="M298" s="30">
        <v>5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5</v>
      </c>
      <c r="W298" s="30">
        <v>0</v>
      </c>
      <c r="X298" s="30">
        <v>0.28599999999999998</v>
      </c>
      <c r="Y298" s="30">
        <v>0.35699999999999998</v>
      </c>
      <c r="Z298" s="22">
        <f>X298+Y298</f>
        <v>0.64300000000000002</v>
      </c>
      <c r="AA298" s="22">
        <f>(0.692*(S298+T298)+0.73*U298+0.865*(I298-(J298+K298+L298))+1.334+J298+1.725*K298+2.065*L298)/(G298+S298-T298+U298+R298)</f>
        <v>0.35207142857142859</v>
      </c>
      <c r="AB298" s="22">
        <f>((AA298-$AA$2000)/1.24+$H$2000/$F$2000)*F298</f>
        <v>2.0531148140010109</v>
      </c>
      <c r="AC298" s="22">
        <f>(AB298/F298)/($AB$2000/$F$2000)*100</f>
        <v>140.47039482780681</v>
      </c>
      <c r="AD298" s="22"/>
    </row>
    <row r="299" spans="1:30" ht="15.75" customHeight="1" x14ac:dyDescent="0.15">
      <c r="A299" s="34">
        <v>296</v>
      </c>
      <c r="B299" s="35" t="s">
        <v>3356</v>
      </c>
      <c r="C299" s="48" t="s">
        <v>2647</v>
      </c>
      <c r="D299" s="34">
        <v>0.14299999999999999</v>
      </c>
      <c r="E299" s="34">
        <v>5</v>
      </c>
      <c r="F299" s="33">
        <v>14</v>
      </c>
      <c r="G299" s="34">
        <v>14</v>
      </c>
      <c r="H299" s="34">
        <v>0</v>
      </c>
      <c r="I299" s="34">
        <v>2</v>
      </c>
      <c r="J299" s="34">
        <v>0</v>
      </c>
      <c r="K299" s="34">
        <v>0</v>
      </c>
      <c r="L299" s="34">
        <v>0</v>
      </c>
      <c r="M299" s="34">
        <v>2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4">
        <v>0</v>
      </c>
      <c r="U299" s="34">
        <v>0</v>
      </c>
      <c r="V299" s="34">
        <v>2</v>
      </c>
      <c r="W299" s="34">
        <v>0</v>
      </c>
      <c r="X299" s="34">
        <v>0.14299999999999999</v>
      </c>
      <c r="Y299" s="34">
        <v>0.14299999999999999</v>
      </c>
      <c r="Z299" s="22">
        <f>X299+Y299</f>
        <v>0.28599999999999998</v>
      </c>
      <c r="AA299" s="22">
        <f>(0.692*(S299+T299)+0.73*U299+0.865*(I299-(J299+K299+L299))+1.334+J299+1.725*K299+2.065*L299)/(G299+S299-T299+U299+R299)</f>
        <v>0.21885714285714286</v>
      </c>
      <c r="AB299" s="22">
        <f>((AA299-$AA$2000)/1.24+$H$2000/$F$2000)*F299</f>
        <v>0.54908255593649491</v>
      </c>
      <c r="AC299" s="22">
        <f>(AB299/F299)/($AB$2000/$F$2000)*100</f>
        <v>37.567233405302765</v>
      </c>
      <c r="AD299" s="22"/>
    </row>
    <row r="300" spans="1:30" ht="15.75" customHeight="1" x14ac:dyDescent="0.15">
      <c r="A300" s="30">
        <v>299</v>
      </c>
      <c r="B300" s="31" t="s">
        <v>3357</v>
      </c>
      <c r="C300" s="41" t="s">
        <v>2651</v>
      </c>
      <c r="D300" s="30">
        <v>0.2</v>
      </c>
      <c r="E300" s="30">
        <v>26</v>
      </c>
      <c r="F300" s="33">
        <v>13</v>
      </c>
      <c r="G300" s="30">
        <v>10</v>
      </c>
      <c r="H300" s="30">
        <v>10</v>
      </c>
      <c r="I300" s="30">
        <v>2</v>
      </c>
      <c r="J300" s="30">
        <v>0</v>
      </c>
      <c r="K300" s="30">
        <v>0</v>
      </c>
      <c r="L300" s="30">
        <v>0</v>
      </c>
      <c r="M300" s="30">
        <v>2</v>
      </c>
      <c r="N300" s="30">
        <v>1</v>
      </c>
      <c r="O300" s="30">
        <v>6</v>
      </c>
      <c r="P300" s="30">
        <v>0</v>
      </c>
      <c r="Q300" s="30">
        <v>1</v>
      </c>
      <c r="R300" s="30">
        <v>0</v>
      </c>
      <c r="S300" s="30">
        <v>2</v>
      </c>
      <c r="T300" s="30">
        <v>0</v>
      </c>
      <c r="U300" s="30">
        <v>0</v>
      </c>
      <c r="V300" s="30">
        <v>3</v>
      </c>
      <c r="W300" s="30">
        <v>0</v>
      </c>
      <c r="X300" s="30">
        <v>0.33300000000000002</v>
      </c>
      <c r="Y300" s="30">
        <v>0.2</v>
      </c>
      <c r="Z300" s="22">
        <f>X300+Y300</f>
        <v>0.53300000000000003</v>
      </c>
      <c r="AA300" s="22">
        <f>(0.692*(S300+T300)+0.73*U300+0.865*(I300-(J300+K300+L300))+1.334+J300+1.725*K300+2.065*L300)/(G300+S300-T300+U300+R300)</f>
        <v>0.3706666666666667</v>
      </c>
      <c r="AB300" s="22">
        <f>((AA300-$AA$2000)/1.24+$H$2000/$F$2000)*F300</f>
        <v>2.1014138326629972</v>
      </c>
      <c r="AC300" s="22">
        <f>(AB300/F300)/($AB$2000/$F$2000)*100</f>
        <v>154.83453585925912</v>
      </c>
      <c r="AD300" s="22"/>
    </row>
    <row r="301" spans="1:30" ht="15.75" customHeight="1" x14ac:dyDescent="0.15">
      <c r="A301" s="34">
        <v>299</v>
      </c>
      <c r="B301" s="35" t="s">
        <v>3358</v>
      </c>
      <c r="C301" s="43" t="s">
        <v>2649</v>
      </c>
      <c r="D301" s="34">
        <v>7.6999999999999999E-2</v>
      </c>
      <c r="E301" s="34">
        <v>8</v>
      </c>
      <c r="F301" s="33">
        <v>13</v>
      </c>
      <c r="G301" s="34">
        <v>13</v>
      </c>
      <c r="H301" s="34">
        <v>0</v>
      </c>
      <c r="I301" s="34">
        <v>1</v>
      </c>
      <c r="J301" s="34">
        <v>0</v>
      </c>
      <c r="K301" s="34">
        <v>0</v>
      </c>
      <c r="L301" s="34">
        <v>0</v>
      </c>
      <c r="M301" s="34">
        <v>1</v>
      </c>
      <c r="N301" s="34">
        <v>1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0</v>
      </c>
      <c r="U301" s="34">
        <v>0</v>
      </c>
      <c r="V301" s="34">
        <v>5</v>
      </c>
      <c r="W301" s="34">
        <v>1</v>
      </c>
      <c r="X301" s="34">
        <v>7.6999999999999999E-2</v>
      </c>
      <c r="Y301" s="34">
        <v>7.6999999999999999E-2</v>
      </c>
      <c r="Z301" s="22">
        <f>X301+Y301</f>
        <v>0.154</v>
      </c>
      <c r="AA301" s="22">
        <f>(0.692*(S301+T301)+0.73*U301+0.865*(I301-(J301+K301+L301))+1.334+J301+1.725*K301+2.065*L301)/(G301+S301-T301+U301+R301)</f>
        <v>0.16915384615384615</v>
      </c>
      <c r="AB301" s="22">
        <f>((AA301-$AA$2000)/1.24+$H$2000/$F$2000)*F301</f>
        <v>-1.1220575939153432E-2</v>
      </c>
      <c r="AC301" s="22">
        <f>(AB301/F301)/($AB$2000/$F$2000)*100</f>
        <v>-0.82674466143147707</v>
      </c>
      <c r="AD301" s="22"/>
    </row>
    <row r="302" spans="1:30" ht="15.75" customHeight="1" x14ac:dyDescent="0.15">
      <c r="A302" s="30">
        <v>299</v>
      </c>
      <c r="B302" s="31" t="s">
        <v>3359</v>
      </c>
      <c r="C302" s="52" t="s">
        <v>2646</v>
      </c>
      <c r="D302" s="30">
        <v>9.0999999999999998E-2</v>
      </c>
      <c r="E302" s="30">
        <v>5</v>
      </c>
      <c r="F302" s="33">
        <v>13</v>
      </c>
      <c r="G302" s="30">
        <v>11</v>
      </c>
      <c r="H302" s="30">
        <v>0</v>
      </c>
      <c r="I302" s="30">
        <v>1</v>
      </c>
      <c r="J302" s="30">
        <v>0</v>
      </c>
      <c r="K302" s="30">
        <v>0</v>
      </c>
      <c r="L302" s="30">
        <v>0</v>
      </c>
      <c r="M302" s="30">
        <v>1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2</v>
      </c>
      <c r="T302" s="30">
        <v>0</v>
      </c>
      <c r="U302" s="30">
        <v>0</v>
      </c>
      <c r="V302" s="30">
        <v>4</v>
      </c>
      <c r="W302" s="30">
        <v>0</v>
      </c>
      <c r="X302" s="30">
        <v>0.23100000000000001</v>
      </c>
      <c r="Y302" s="30">
        <v>9.0999999999999998E-2</v>
      </c>
      <c r="Z302" s="22">
        <f>X302+Y302</f>
        <v>0.32200000000000001</v>
      </c>
      <c r="AA302" s="22">
        <f>(0.692*(S302+T302)+0.73*U302+0.865*(I302-(J302+K302+L302))+1.334+J302+1.725*K302+2.065*L302)/(G302+S302-T302+U302+R302)</f>
        <v>0.2756153846153846</v>
      </c>
      <c r="AB302" s="22">
        <f>((AA302-$AA$2000)/1.24+$H$2000/$F$2000)*F302</f>
        <v>1.1049084563189109</v>
      </c>
      <c r="AC302" s="22">
        <f>(AB302/F302)/($AB$2000/$F$2000)*100</f>
        <v>81.410898387545132</v>
      </c>
      <c r="AD302" s="22"/>
    </row>
    <row r="303" spans="1:30" ht="15.75" customHeight="1" x14ac:dyDescent="0.15">
      <c r="A303" s="34">
        <v>302</v>
      </c>
      <c r="B303" s="35" t="s">
        <v>3360</v>
      </c>
      <c r="C303" s="51" t="s">
        <v>2655</v>
      </c>
      <c r="D303" s="34">
        <v>8.3000000000000004E-2</v>
      </c>
      <c r="E303" s="34">
        <v>8</v>
      </c>
      <c r="F303" s="33">
        <v>12</v>
      </c>
      <c r="G303" s="34">
        <v>12</v>
      </c>
      <c r="H303" s="34">
        <v>1</v>
      </c>
      <c r="I303" s="34">
        <v>1</v>
      </c>
      <c r="J303" s="34">
        <v>0</v>
      </c>
      <c r="K303" s="34">
        <v>0</v>
      </c>
      <c r="L303" s="34">
        <v>0</v>
      </c>
      <c r="M303" s="34">
        <v>1</v>
      </c>
      <c r="N303" s="34">
        <v>0</v>
      </c>
      <c r="O303" s="34">
        <v>1</v>
      </c>
      <c r="P303" s="34">
        <v>0</v>
      </c>
      <c r="Q303" s="34">
        <v>0</v>
      </c>
      <c r="R303" s="34">
        <v>0</v>
      </c>
      <c r="S303" s="34">
        <v>0</v>
      </c>
      <c r="T303" s="34">
        <v>0</v>
      </c>
      <c r="U303" s="34">
        <v>0</v>
      </c>
      <c r="V303" s="34">
        <v>5</v>
      </c>
      <c r="W303" s="34">
        <v>0</v>
      </c>
      <c r="X303" s="34">
        <v>8.3000000000000004E-2</v>
      </c>
      <c r="Y303" s="34">
        <v>8.3000000000000004E-2</v>
      </c>
      <c r="Z303" s="22">
        <f>X303+Y303</f>
        <v>0.16600000000000001</v>
      </c>
      <c r="AA303" s="22">
        <f>(0.692*(S303+T303)+0.73*U303+0.865*(I303-(J303+K303+L303))+1.334+J303+1.725*K303+2.065*L303)/(G303+S303-T303+U303+R303)</f>
        <v>0.18325</v>
      </c>
      <c r="AB303" s="22">
        <f>((AA303-$AA$2000)/1.24+$H$2000/$F$2000)*F303</f>
        <v>0.12605693734648854</v>
      </c>
      <c r="AC303" s="22">
        <f>(AB303/F303)/($AB$2000/$F$2000)*100</f>
        <v>10.062018408456497</v>
      </c>
      <c r="AD303" s="22"/>
    </row>
    <row r="304" spans="1:30" ht="15.75" customHeight="1" x14ac:dyDescent="0.15">
      <c r="A304" s="30">
        <v>302</v>
      </c>
      <c r="B304" s="31" t="s">
        <v>3361</v>
      </c>
      <c r="C304" s="44" t="s">
        <v>2653</v>
      </c>
      <c r="D304" s="30">
        <v>0.182</v>
      </c>
      <c r="E304" s="30">
        <v>7</v>
      </c>
      <c r="F304" s="33">
        <v>12</v>
      </c>
      <c r="G304" s="30">
        <v>11</v>
      </c>
      <c r="H304" s="30">
        <v>2</v>
      </c>
      <c r="I304" s="30">
        <v>2</v>
      </c>
      <c r="J304" s="30">
        <v>0</v>
      </c>
      <c r="K304" s="30">
        <v>0</v>
      </c>
      <c r="L304" s="30">
        <v>0</v>
      </c>
      <c r="M304" s="30">
        <v>2</v>
      </c>
      <c r="N304" s="30">
        <v>0</v>
      </c>
      <c r="O304" s="30">
        <v>0</v>
      </c>
      <c r="P304" s="30">
        <v>0</v>
      </c>
      <c r="Q304" s="30">
        <v>1</v>
      </c>
      <c r="R304" s="30">
        <v>0</v>
      </c>
      <c r="S304" s="30">
        <v>0</v>
      </c>
      <c r="T304" s="30">
        <v>0</v>
      </c>
      <c r="U304" s="30">
        <v>0</v>
      </c>
      <c r="V304" s="30">
        <v>4</v>
      </c>
      <c r="W304" s="30">
        <v>1</v>
      </c>
      <c r="X304" s="30">
        <v>0.182</v>
      </c>
      <c r="Y304" s="30">
        <v>0.182</v>
      </c>
      <c r="Z304" s="22">
        <f>X304+Y304</f>
        <v>0.36399999999999999</v>
      </c>
      <c r="AA304" s="22">
        <f>(0.692*(S304+T304)+0.73*U304+0.865*(I304-(J304+K304+L304))+1.334+J304+1.725*K304+2.065*L304)/(G304+S304-T304+U304+R304)</f>
        <v>0.27854545454545454</v>
      </c>
      <c r="AB304" s="22">
        <f>((AA304-$AA$2000)/1.24+$H$2000/$F$2000)*F304</f>
        <v>1.048271013592823</v>
      </c>
      <c r="AC304" s="22">
        <f>(AB304/F304)/($AB$2000/$F$2000)*100</f>
        <v>83.674270197681864</v>
      </c>
      <c r="AD304" s="22"/>
    </row>
    <row r="305" spans="1:30" ht="15.75" customHeight="1" x14ac:dyDescent="0.15">
      <c r="A305" s="34">
        <v>302</v>
      </c>
      <c r="B305" s="35" t="s">
        <v>3362</v>
      </c>
      <c r="C305" s="42" t="s">
        <v>2652</v>
      </c>
      <c r="D305" s="34">
        <v>0.222</v>
      </c>
      <c r="E305" s="34">
        <v>7</v>
      </c>
      <c r="F305" s="33">
        <v>12</v>
      </c>
      <c r="G305" s="34">
        <v>9</v>
      </c>
      <c r="H305" s="34">
        <v>1</v>
      </c>
      <c r="I305" s="34">
        <v>2</v>
      </c>
      <c r="J305" s="34">
        <v>0</v>
      </c>
      <c r="K305" s="34">
        <v>0</v>
      </c>
      <c r="L305" s="34">
        <v>0</v>
      </c>
      <c r="M305" s="34">
        <v>2</v>
      </c>
      <c r="N305" s="34">
        <v>1</v>
      </c>
      <c r="O305" s="34">
        <v>0</v>
      </c>
      <c r="P305" s="34">
        <v>0</v>
      </c>
      <c r="Q305" s="34">
        <v>1</v>
      </c>
      <c r="R305" s="34">
        <v>0</v>
      </c>
      <c r="S305" s="34">
        <v>2</v>
      </c>
      <c r="T305" s="34">
        <v>0</v>
      </c>
      <c r="U305" s="34">
        <v>0</v>
      </c>
      <c r="V305" s="34">
        <v>0</v>
      </c>
      <c r="W305" s="34">
        <v>0</v>
      </c>
      <c r="X305" s="34">
        <v>0.36399999999999999</v>
      </c>
      <c r="Y305" s="34">
        <v>0.222</v>
      </c>
      <c r="Z305" s="22">
        <f>X305+Y305</f>
        <v>0.58599999999999997</v>
      </c>
      <c r="AA305" s="22">
        <f>(0.692*(S305+T305)+0.73*U305+0.865*(I305-(J305+K305+L305))+1.334+J305+1.725*K305+2.065*L305)/(G305+S305-T305+U305+R305)</f>
        <v>0.40436363636363643</v>
      </c>
      <c r="AB305" s="22">
        <f>((AA305-$AA$2000)/1.24+$H$2000/$F$2000)*F305</f>
        <v>2.2658663215107122</v>
      </c>
      <c r="AC305" s="22">
        <f>(AB305/F305)/($AB$2000/$F$2000)*100</f>
        <v>180.86421198283611</v>
      </c>
      <c r="AD305" s="22"/>
    </row>
    <row r="306" spans="1:30" ht="15.75" customHeight="1" x14ac:dyDescent="0.15">
      <c r="A306" s="30">
        <v>302</v>
      </c>
      <c r="B306" s="31" t="s">
        <v>3363</v>
      </c>
      <c r="C306" s="44" t="s">
        <v>2653</v>
      </c>
      <c r="D306" s="30">
        <v>8.3000000000000004E-2</v>
      </c>
      <c r="E306" s="30">
        <v>6</v>
      </c>
      <c r="F306" s="33">
        <v>12</v>
      </c>
      <c r="G306" s="30">
        <v>12</v>
      </c>
      <c r="H306" s="30">
        <v>0</v>
      </c>
      <c r="I306" s="30">
        <v>1</v>
      </c>
      <c r="J306" s="30">
        <v>0</v>
      </c>
      <c r="K306" s="30">
        <v>0</v>
      </c>
      <c r="L306" s="30">
        <v>0</v>
      </c>
      <c r="M306" s="30">
        <v>1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7</v>
      </c>
      <c r="W306" s="30">
        <v>1</v>
      </c>
      <c r="X306" s="30">
        <v>8.3000000000000004E-2</v>
      </c>
      <c r="Y306" s="30">
        <v>8.3000000000000004E-2</v>
      </c>
      <c r="Z306" s="22">
        <f>X306+Y306</f>
        <v>0.16600000000000001</v>
      </c>
      <c r="AA306" s="22">
        <f>(0.692*(S306+T306)+0.73*U306+0.865*(I306-(J306+K306+L306))+1.334+J306+1.725*K306+2.065*L306)/(G306+S306-T306+U306+R306)</f>
        <v>0.18325</v>
      </c>
      <c r="AB306" s="22">
        <f>((AA306-$AA$2000)/1.24+$H$2000/$F$2000)*F306</f>
        <v>0.12605693734648854</v>
      </c>
      <c r="AC306" s="22">
        <f>(AB306/F306)/($AB$2000/$F$2000)*100</f>
        <v>10.062018408456497</v>
      </c>
      <c r="AD306" s="22"/>
    </row>
    <row r="307" spans="1:30" ht="15.75" customHeight="1" x14ac:dyDescent="0.15">
      <c r="A307" s="34">
        <v>302</v>
      </c>
      <c r="B307" s="35" t="s">
        <v>3364</v>
      </c>
      <c r="C307" s="50" t="s">
        <v>198</v>
      </c>
      <c r="D307" s="34">
        <v>8.3000000000000004E-2</v>
      </c>
      <c r="E307" s="34">
        <v>4</v>
      </c>
      <c r="F307" s="33">
        <v>12</v>
      </c>
      <c r="G307" s="34">
        <v>12</v>
      </c>
      <c r="H307" s="34">
        <v>0</v>
      </c>
      <c r="I307" s="34">
        <v>1</v>
      </c>
      <c r="J307" s="34">
        <v>0</v>
      </c>
      <c r="K307" s="34">
        <v>0</v>
      </c>
      <c r="L307" s="34">
        <v>0</v>
      </c>
      <c r="M307" s="34">
        <v>1</v>
      </c>
      <c r="N307" s="34">
        <v>1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4">
        <v>0</v>
      </c>
      <c r="U307" s="34">
        <v>0</v>
      </c>
      <c r="V307" s="34">
        <v>2</v>
      </c>
      <c r="W307" s="34">
        <v>1</v>
      </c>
      <c r="X307" s="34">
        <v>8.3000000000000004E-2</v>
      </c>
      <c r="Y307" s="34">
        <v>8.3000000000000004E-2</v>
      </c>
      <c r="Z307" s="22">
        <f>X307+Y307</f>
        <v>0.16600000000000001</v>
      </c>
      <c r="AA307" s="22">
        <f>(0.692*(S307+T307)+0.73*U307+0.865*(I307-(J307+K307+L307))+1.334+J307+1.725*K307+2.065*L307)/(G307+S307-T307+U307+R307)</f>
        <v>0.18325</v>
      </c>
      <c r="AB307" s="22">
        <f>((AA307-$AA$2000)/1.24+$H$2000/$F$2000)*F307</f>
        <v>0.12605693734648854</v>
      </c>
      <c r="AC307" s="22">
        <f>(AB307/F307)/($AB$2000/$F$2000)*100</f>
        <v>10.062018408456497</v>
      </c>
      <c r="AD307" s="22"/>
    </row>
    <row r="308" spans="1:30" ht="15.75" customHeight="1" x14ac:dyDescent="0.15">
      <c r="A308" s="30">
        <v>302</v>
      </c>
      <c r="B308" s="31" t="s">
        <v>3365</v>
      </c>
      <c r="C308" s="54" t="s">
        <v>2650</v>
      </c>
      <c r="D308" s="30">
        <v>0.25</v>
      </c>
      <c r="E308" s="30">
        <v>3</v>
      </c>
      <c r="F308" s="33">
        <v>12</v>
      </c>
      <c r="G308" s="30">
        <v>12</v>
      </c>
      <c r="H308" s="30">
        <v>2</v>
      </c>
      <c r="I308" s="30">
        <v>3</v>
      </c>
      <c r="J308" s="30">
        <v>1</v>
      </c>
      <c r="K308" s="30">
        <v>0</v>
      </c>
      <c r="L308" s="30">
        <v>0</v>
      </c>
      <c r="M308" s="30">
        <v>4</v>
      </c>
      <c r="N308" s="30">
        <v>2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3</v>
      </c>
      <c r="W308" s="30">
        <v>0</v>
      </c>
      <c r="X308" s="30">
        <v>0.25</v>
      </c>
      <c r="Y308" s="30">
        <v>0.33300000000000002</v>
      </c>
      <c r="Z308" s="22">
        <f>X308+Y308</f>
        <v>0.58299999999999996</v>
      </c>
      <c r="AA308" s="22">
        <f>(0.692*(S308+T308)+0.73*U308+0.865*(I308-(J308+K308+L308))+1.334+J308+1.725*K308+2.065*L308)/(G308+S308-T308+U308+R308)</f>
        <v>0.33866666666666667</v>
      </c>
      <c r="AB308" s="22">
        <f>((AA308-$AA$2000)/1.24+$H$2000/$F$2000)*F308</f>
        <v>1.6300891954110048</v>
      </c>
      <c r="AC308" s="22">
        <f>(AB308/F308)/($AB$2000/$F$2000)*100</f>
        <v>130.11570673471121</v>
      </c>
      <c r="AD308" s="22"/>
    </row>
    <row r="309" spans="1:30" ht="15.75" customHeight="1" x14ac:dyDescent="0.15">
      <c r="A309" s="34">
        <v>308</v>
      </c>
      <c r="B309" s="35" t="s">
        <v>3366</v>
      </c>
      <c r="C309" s="40" t="s">
        <v>2650</v>
      </c>
      <c r="D309" s="34">
        <v>0</v>
      </c>
      <c r="E309" s="34">
        <v>6</v>
      </c>
      <c r="F309" s="33">
        <v>11</v>
      </c>
      <c r="G309" s="34">
        <v>10</v>
      </c>
      <c r="H309" s="34">
        <v>1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1</v>
      </c>
      <c r="T309" s="34">
        <v>0</v>
      </c>
      <c r="U309" s="34">
        <v>0</v>
      </c>
      <c r="V309" s="34">
        <v>5</v>
      </c>
      <c r="W309" s="34">
        <v>0</v>
      </c>
      <c r="X309" s="34">
        <v>9.0999999999999998E-2</v>
      </c>
      <c r="Y309" s="34">
        <v>0</v>
      </c>
      <c r="Z309" s="22">
        <f>X309+Y309</f>
        <v>9.0999999999999998E-2</v>
      </c>
      <c r="AA309" s="22">
        <f>(0.692*(S309+T309)+0.73*U309+0.865*(I309-(J309+K309+L309))+1.334+J309+1.725*K309+2.065*L309)/(G309+S309-T309+U309+R309)</f>
        <v>0.18418181818181817</v>
      </c>
      <c r="AB309" s="22">
        <f>((AA309-$AA$2000)/1.24+$H$2000/$F$2000)*F309</f>
        <v>0.12381832159987252</v>
      </c>
      <c r="AC309" s="22">
        <f>(AB309/F309)/($AB$2000/$F$2000)*100</f>
        <v>10.781813858816196</v>
      </c>
      <c r="AD309" s="22"/>
    </row>
    <row r="310" spans="1:30" ht="15.75" customHeight="1" x14ac:dyDescent="0.15">
      <c r="A310" s="30">
        <v>308</v>
      </c>
      <c r="B310" s="31" t="s">
        <v>3367</v>
      </c>
      <c r="C310" s="41" t="s">
        <v>2651</v>
      </c>
      <c r="D310" s="30">
        <v>0</v>
      </c>
      <c r="E310" s="30">
        <v>5</v>
      </c>
      <c r="F310" s="33">
        <v>11</v>
      </c>
      <c r="G310" s="30">
        <v>10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1</v>
      </c>
      <c r="T310" s="30">
        <v>1</v>
      </c>
      <c r="U310" s="30">
        <v>0</v>
      </c>
      <c r="V310" s="30">
        <v>4</v>
      </c>
      <c r="W310" s="30">
        <v>1</v>
      </c>
      <c r="X310" s="30">
        <v>9.0999999999999998E-2</v>
      </c>
      <c r="Y310" s="30">
        <v>0</v>
      </c>
      <c r="Z310" s="22">
        <f>X310+Y310</f>
        <v>9.0999999999999998E-2</v>
      </c>
      <c r="AA310" s="22">
        <f>(0.692*(S310+T310)+0.73*U310+0.865*(I310-(J310+K310+L310))+1.334+J310+1.725*K310+2.065*L310)/(G310+S310-T310+U310+R310)</f>
        <v>0.27179999999999999</v>
      </c>
      <c r="AB310" s="22">
        <f>((AA310-$AA$2000)/1.24+$H$2000/$F$2000)*F310</f>
        <v>0.9010763861160016</v>
      </c>
      <c r="AC310" s="22">
        <f>(AB310/F310)/($AB$2000/$F$2000)*100</f>
        <v>78.463653376541359</v>
      </c>
      <c r="AD310" s="22"/>
    </row>
    <row r="311" spans="1:30" ht="15.75" customHeight="1" x14ac:dyDescent="0.15">
      <c r="A311" s="34">
        <v>308</v>
      </c>
      <c r="B311" s="35" t="s">
        <v>3368</v>
      </c>
      <c r="C311" s="42" t="s">
        <v>2652</v>
      </c>
      <c r="D311" s="34">
        <v>0.1</v>
      </c>
      <c r="E311" s="34">
        <v>4</v>
      </c>
      <c r="F311" s="33">
        <v>11</v>
      </c>
      <c r="G311" s="34">
        <v>10</v>
      </c>
      <c r="H311" s="34">
        <v>0</v>
      </c>
      <c r="I311" s="34">
        <v>1</v>
      </c>
      <c r="J311" s="34">
        <v>0</v>
      </c>
      <c r="K311" s="34">
        <v>0</v>
      </c>
      <c r="L311" s="34">
        <v>0</v>
      </c>
      <c r="M311" s="34">
        <v>1</v>
      </c>
      <c r="N311" s="34">
        <v>0</v>
      </c>
      <c r="O311" s="34">
        <v>0</v>
      </c>
      <c r="P311" s="34">
        <v>1</v>
      </c>
      <c r="Q311" s="34">
        <v>0</v>
      </c>
      <c r="R311" s="34">
        <v>0</v>
      </c>
      <c r="S311" s="34">
        <v>0</v>
      </c>
      <c r="T311" s="34">
        <v>0</v>
      </c>
      <c r="U311" s="34">
        <v>1</v>
      </c>
      <c r="V311" s="34">
        <v>6</v>
      </c>
      <c r="W311" s="34">
        <v>0</v>
      </c>
      <c r="X311" s="34">
        <v>0.182</v>
      </c>
      <c r="Y311" s="34">
        <v>0.1</v>
      </c>
      <c r="Z311" s="22">
        <f>X311+Y311</f>
        <v>0.28200000000000003</v>
      </c>
      <c r="AA311" s="22">
        <f>(0.692*(S311+T311)+0.73*U311+0.865*(I311-(J311+K311+L311))+1.334+J311+1.725*K311+2.065*L311)/(G311+S311-T311+U311+R311)</f>
        <v>0.26627272727272727</v>
      </c>
      <c r="AB311" s="22">
        <f>((AA311-$AA$2000)/1.24+$H$2000/$F$2000)*F311</f>
        <v>0.85204412805148544</v>
      </c>
      <c r="AC311" s="22">
        <f>(AB311/F311)/($AB$2000/$F$2000)*100</f>
        <v>74.194037436846713</v>
      </c>
      <c r="AD311" s="22"/>
    </row>
    <row r="312" spans="1:30" ht="15.75" customHeight="1" x14ac:dyDescent="0.15">
      <c r="A312" s="30">
        <v>311</v>
      </c>
      <c r="B312" s="31" t="s">
        <v>3369</v>
      </c>
      <c r="C312" s="41" t="s">
        <v>2651</v>
      </c>
      <c r="D312" s="30">
        <v>0.125</v>
      </c>
      <c r="E312" s="30">
        <v>35</v>
      </c>
      <c r="F312" s="33">
        <v>10</v>
      </c>
      <c r="G312" s="30">
        <v>8</v>
      </c>
      <c r="H312" s="30">
        <v>7</v>
      </c>
      <c r="I312" s="30">
        <v>1</v>
      </c>
      <c r="J312" s="30">
        <v>0</v>
      </c>
      <c r="K312" s="30">
        <v>0</v>
      </c>
      <c r="L312" s="30">
        <v>0</v>
      </c>
      <c r="M312" s="30">
        <v>1</v>
      </c>
      <c r="N312" s="30">
        <v>0</v>
      </c>
      <c r="O312" s="30">
        <v>4</v>
      </c>
      <c r="P312" s="30">
        <v>1</v>
      </c>
      <c r="Q312" s="30">
        <v>1</v>
      </c>
      <c r="R312" s="30">
        <v>0</v>
      </c>
      <c r="S312" s="30">
        <v>1</v>
      </c>
      <c r="T312" s="30">
        <v>0</v>
      </c>
      <c r="U312" s="30">
        <v>0</v>
      </c>
      <c r="V312" s="30">
        <v>5</v>
      </c>
      <c r="W312" s="30">
        <v>0</v>
      </c>
      <c r="X312" s="30">
        <v>0.222</v>
      </c>
      <c r="Y312" s="30">
        <v>0.125</v>
      </c>
      <c r="Z312" s="22">
        <f>X312+Y312</f>
        <v>0.34699999999999998</v>
      </c>
      <c r="AA312" s="22">
        <f>(0.692*(S312+T312)+0.73*U312+0.865*(I312-(J312+K312+L312))+1.334+J312+1.725*K312+2.065*L312)/(G312+S312-T312+U312+R312)</f>
        <v>0.32122222222222224</v>
      </c>
      <c r="AB312" s="22">
        <f>((AA312-$AA$2000)/1.24+$H$2000/$F$2000)*F312</f>
        <v>1.2177266592582747</v>
      </c>
      <c r="AC312" s="22">
        <f>(AB312/F312)/($AB$2000/$F$2000)*100</f>
        <v>116.64051169112088</v>
      </c>
      <c r="AD312" s="22"/>
    </row>
    <row r="313" spans="1:30" ht="15.75" customHeight="1" x14ac:dyDescent="0.15">
      <c r="A313" s="34">
        <v>311</v>
      </c>
      <c r="B313" s="35" t="s">
        <v>3370</v>
      </c>
      <c r="C313" s="42" t="s">
        <v>2652</v>
      </c>
      <c r="D313" s="34">
        <v>0.222</v>
      </c>
      <c r="E313" s="34">
        <v>7</v>
      </c>
      <c r="F313" s="33">
        <v>10</v>
      </c>
      <c r="G313" s="34">
        <v>9</v>
      </c>
      <c r="H313" s="34">
        <v>3</v>
      </c>
      <c r="I313" s="34">
        <v>2</v>
      </c>
      <c r="J313" s="34">
        <v>0</v>
      </c>
      <c r="K313" s="34">
        <v>0</v>
      </c>
      <c r="L313" s="34">
        <v>0</v>
      </c>
      <c r="M313" s="34">
        <v>2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1</v>
      </c>
      <c r="T313" s="34">
        <v>0</v>
      </c>
      <c r="U313" s="34">
        <v>0</v>
      </c>
      <c r="V313" s="34">
        <v>4</v>
      </c>
      <c r="W313" s="34">
        <v>0</v>
      </c>
      <c r="X313" s="34">
        <v>0.3</v>
      </c>
      <c r="Y313" s="34">
        <v>0.222</v>
      </c>
      <c r="Z313" s="22">
        <f>X313+Y313</f>
        <v>0.52200000000000002</v>
      </c>
      <c r="AA313" s="22">
        <f>(0.692*(S313+T313)+0.73*U313+0.865*(I313-(J313+K313+L313))+1.334+J313+1.725*K313+2.065*L313)/(G313+S313-T313+U313+R313)</f>
        <v>0.37559999999999999</v>
      </c>
      <c r="AB313" s="22">
        <f>((AA313-$AA$2000)/1.24+$H$2000/$F$2000)*F313</f>
        <v>1.6562571252080955</v>
      </c>
      <c r="AC313" s="22">
        <f>(AB313/F313)/($AB$2000/$F$2000)*100</f>
        <v>158.6453553492936</v>
      </c>
      <c r="AD313" s="22"/>
    </row>
    <row r="314" spans="1:30" ht="15.75" customHeight="1" x14ac:dyDescent="0.15">
      <c r="A314" s="30">
        <v>311</v>
      </c>
      <c r="B314" s="31" t="s">
        <v>3371</v>
      </c>
      <c r="C314" s="52" t="s">
        <v>2646</v>
      </c>
      <c r="D314" s="30">
        <v>0</v>
      </c>
      <c r="E314" s="30">
        <v>4</v>
      </c>
      <c r="F314" s="33">
        <v>10</v>
      </c>
      <c r="G314" s="30">
        <v>10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4</v>
      </c>
      <c r="W314" s="30">
        <v>0</v>
      </c>
      <c r="X314" s="30">
        <v>0</v>
      </c>
      <c r="Y314" s="30">
        <v>0</v>
      </c>
      <c r="Z314" s="22">
        <f>X314+Y314</f>
        <v>0</v>
      </c>
      <c r="AA314" s="22">
        <f>(0.692*(S314+T314)+0.73*U314+0.865*(I314-(J314+K314+L314))+1.334+J314+1.725*K314+2.065*L314)/(G314+S314-T314+U314+R314)</f>
        <v>0.13340000000000002</v>
      </c>
      <c r="AB314" s="22">
        <f>((AA314-$AA$2000)/1.24+$H$2000/$F$2000)*F314</f>
        <v>-0.29696868124351739</v>
      </c>
      <c r="AC314" s="22">
        <f>(AB314/F314)/($AB$2000/$F$2000)*100</f>
        <v>-28.44528258712824</v>
      </c>
      <c r="AD314" s="22"/>
    </row>
    <row r="315" spans="1:30" ht="15.75" customHeight="1" x14ac:dyDescent="0.15">
      <c r="A315" s="34">
        <v>311</v>
      </c>
      <c r="B315" s="35" t="s">
        <v>3372</v>
      </c>
      <c r="C315" s="48" t="s">
        <v>2647</v>
      </c>
      <c r="D315" s="34">
        <v>0</v>
      </c>
      <c r="E315" s="34">
        <v>4</v>
      </c>
      <c r="F315" s="33">
        <v>10</v>
      </c>
      <c r="G315" s="34">
        <v>9</v>
      </c>
      <c r="H315" s="34">
        <v>1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1</v>
      </c>
      <c r="T315" s="34">
        <v>0</v>
      </c>
      <c r="U315" s="34">
        <v>0</v>
      </c>
      <c r="V315" s="34">
        <v>5</v>
      </c>
      <c r="W315" s="34">
        <v>1</v>
      </c>
      <c r="X315" s="34">
        <v>0.1</v>
      </c>
      <c r="Y315" s="34">
        <v>0</v>
      </c>
      <c r="Z315" s="22">
        <f>X315+Y315</f>
        <v>0.1</v>
      </c>
      <c r="AA315" s="22">
        <f>(0.692*(S315+T315)+0.73*U315+0.865*(I315-(J315+K315+L315))+1.334+J315+1.725*K315+2.065*L315)/(G315+S315-T315+U315+R315)</f>
        <v>0.20259999999999997</v>
      </c>
      <c r="AB315" s="22">
        <f>((AA315-$AA$2000)/1.24+$H$2000/$F$2000)*F315</f>
        <v>0.26109583488551458</v>
      </c>
      <c r="AC315" s="22">
        <f>(AB315/F315)/($AB$2000/$F$2000)*100</f>
        <v>25.009185394706542</v>
      </c>
      <c r="AD315" s="22"/>
    </row>
    <row r="316" spans="1:30" ht="15.75" customHeight="1" x14ac:dyDescent="0.15">
      <c r="A316" s="30">
        <v>315</v>
      </c>
      <c r="B316" s="31" t="s">
        <v>3373</v>
      </c>
      <c r="C316" s="53" t="s">
        <v>198</v>
      </c>
      <c r="D316" s="30">
        <v>0.125</v>
      </c>
      <c r="E316" s="30">
        <v>23</v>
      </c>
      <c r="F316" s="33">
        <v>9</v>
      </c>
      <c r="G316" s="30">
        <v>8</v>
      </c>
      <c r="H316" s="30">
        <v>0</v>
      </c>
      <c r="I316" s="30">
        <v>1</v>
      </c>
      <c r="J316" s="30">
        <v>0</v>
      </c>
      <c r="K316" s="30">
        <v>0</v>
      </c>
      <c r="L316" s="30">
        <v>0</v>
      </c>
      <c r="M316" s="30">
        <v>1</v>
      </c>
      <c r="N316" s="30">
        <v>0</v>
      </c>
      <c r="O316" s="30">
        <v>1</v>
      </c>
      <c r="P316" s="30">
        <v>0</v>
      </c>
      <c r="Q316" s="30">
        <v>0</v>
      </c>
      <c r="R316" s="30">
        <v>0</v>
      </c>
      <c r="S316" s="30">
        <v>1</v>
      </c>
      <c r="T316" s="30">
        <v>0</v>
      </c>
      <c r="U316" s="30">
        <v>0</v>
      </c>
      <c r="V316" s="30">
        <v>4</v>
      </c>
      <c r="W316" s="30">
        <v>0</v>
      </c>
      <c r="X316" s="30">
        <v>0.222</v>
      </c>
      <c r="Y316" s="30">
        <v>0.125</v>
      </c>
      <c r="Z316" s="22">
        <f>X316+Y316</f>
        <v>0.34699999999999998</v>
      </c>
      <c r="AA316" s="22">
        <f>(0.692*(S316+T316)+0.73*U316+0.865*(I316-(J316+K316+L316))+1.334+J316+1.725*K316+2.065*L316)/(G316+S316-T316+U316+R316)</f>
        <v>0.32122222222222224</v>
      </c>
      <c r="AB316" s="22">
        <f>((AA316-$AA$2000)/1.24+$H$2000/$F$2000)*F316</f>
        <v>1.0959539933324471</v>
      </c>
      <c r="AC316" s="22">
        <f>(AB316/F316)/($AB$2000/$F$2000)*100</f>
        <v>116.64051169112088</v>
      </c>
      <c r="AD316" s="22"/>
    </row>
    <row r="317" spans="1:30" ht="15.75" customHeight="1" x14ac:dyDescent="0.15">
      <c r="A317" s="34">
        <v>315</v>
      </c>
      <c r="B317" s="35" t="s">
        <v>3374</v>
      </c>
      <c r="C317" s="40" t="s">
        <v>2650</v>
      </c>
      <c r="D317" s="34">
        <v>0.222</v>
      </c>
      <c r="E317" s="34">
        <v>9</v>
      </c>
      <c r="F317" s="33">
        <v>9</v>
      </c>
      <c r="G317" s="34">
        <v>9</v>
      </c>
      <c r="H317" s="34">
        <v>0</v>
      </c>
      <c r="I317" s="34">
        <v>2</v>
      </c>
      <c r="J317" s="34">
        <v>1</v>
      </c>
      <c r="K317" s="34">
        <v>0</v>
      </c>
      <c r="L317" s="34">
        <v>0</v>
      </c>
      <c r="M317" s="34">
        <v>3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4">
        <v>0</v>
      </c>
      <c r="U317" s="34">
        <v>0</v>
      </c>
      <c r="V317" s="34">
        <v>4</v>
      </c>
      <c r="W317" s="34">
        <v>0</v>
      </c>
      <c r="X317" s="34">
        <v>0.222</v>
      </c>
      <c r="Y317" s="34">
        <v>0.33300000000000002</v>
      </c>
      <c r="Z317" s="22">
        <f>X317+Y317</f>
        <v>0.55500000000000005</v>
      </c>
      <c r="AA317" s="22">
        <f>(0.692*(S317+T317)+0.73*U317+0.865*(I317-(J317+K317+L317))+1.334+J317+1.725*K317+2.065*L317)/(G317+S317-T317+U317+R317)</f>
        <v>0.35544444444444445</v>
      </c>
      <c r="AB317" s="22">
        <f>((AA317-$AA$2000)/1.24+$H$2000/$F$2000)*F317</f>
        <v>1.3443410901066408</v>
      </c>
      <c r="AC317" s="22">
        <f>(AB317/F317)/($AB$2000/$F$2000)*100</f>
        <v>143.07592617154015</v>
      </c>
      <c r="AD317" s="22"/>
    </row>
    <row r="318" spans="1:30" ht="15.75" customHeight="1" x14ac:dyDescent="0.15">
      <c r="A318" s="30">
        <v>317</v>
      </c>
      <c r="B318" s="31" t="s">
        <v>3375</v>
      </c>
      <c r="C318" s="37" t="s">
        <v>2647</v>
      </c>
      <c r="D318" s="30">
        <v>0.14299999999999999</v>
      </c>
      <c r="E318" s="30">
        <v>16</v>
      </c>
      <c r="F318" s="33">
        <v>8</v>
      </c>
      <c r="G318" s="30">
        <v>7</v>
      </c>
      <c r="H318" s="30">
        <v>2</v>
      </c>
      <c r="I318" s="30">
        <v>1</v>
      </c>
      <c r="J318" s="30">
        <v>0</v>
      </c>
      <c r="K318" s="30">
        <v>0</v>
      </c>
      <c r="L318" s="30">
        <v>0</v>
      </c>
      <c r="M318" s="30">
        <v>1</v>
      </c>
      <c r="N318" s="30">
        <v>0</v>
      </c>
      <c r="O318" s="30">
        <v>0</v>
      </c>
      <c r="P318" s="30">
        <v>1</v>
      </c>
      <c r="Q318" s="30">
        <v>0</v>
      </c>
      <c r="R318" s="30">
        <v>0</v>
      </c>
      <c r="S318" s="30">
        <v>0</v>
      </c>
      <c r="T318" s="30">
        <v>0</v>
      </c>
      <c r="U318" s="30">
        <v>1</v>
      </c>
      <c r="V318" s="30">
        <v>2</v>
      </c>
      <c r="W318" s="30">
        <v>0</v>
      </c>
      <c r="X318" s="30">
        <v>0.25</v>
      </c>
      <c r="Y318" s="30">
        <v>0.14299999999999999</v>
      </c>
      <c r="Z318" s="22">
        <f>X318+Y318</f>
        <v>0.39300000000000002</v>
      </c>
      <c r="AA318" s="22">
        <f>(0.692*(S318+T318)+0.73*U318+0.865*(I318-(J318+K318+L318))+1.334+J318+1.725*K318+2.065*L318)/(G318+S318-T318+U318+R318)</f>
        <v>0.36612500000000003</v>
      </c>
      <c r="AB318" s="22">
        <f>((AA318-$AA$2000)/1.24+$H$2000/$F$2000)*F318</f>
        <v>1.2638766679084119</v>
      </c>
      <c r="AC318" s="22">
        <f>(AB318/F318)/($AB$2000/$F$2000)*100</f>
        <v>151.32626453819697</v>
      </c>
      <c r="AD318" s="22"/>
    </row>
    <row r="319" spans="1:30" ht="15.75" customHeight="1" x14ac:dyDescent="0.15">
      <c r="A319" s="34">
        <v>317</v>
      </c>
      <c r="B319" s="35" t="s">
        <v>3376</v>
      </c>
      <c r="C319" s="38" t="s">
        <v>2648</v>
      </c>
      <c r="D319" s="34">
        <v>0</v>
      </c>
      <c r="E319" s="34">
        <v>10</v>
      </c>
      <c r="F319" s="33">
        <v>8</v>
      </c>
      <c r="G319" s="34">
        <v>8</v>
      </c>
      <c r="H319" s="34">
        <v>1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4">
        <v>0</v>
      </c>
      <c r="U319" s="34">
        <v>0</v>
      </c>
      <c r="V319" s="34">
        <v>3</v>
      </c>
      <c r="W319" s="34">
        <v>0</v>
      </c>
      <c r="X319" s="34">
        <v>0</v>
      </c>
      <c r="Y319" s="34">
        <v>0</v>
      </c>
      <c r="Z319" s="22">
        <f>X319+Y319</f>
        <v>0</v>
      </c>
      <c r="AA319" s="22">
        <f>(0.692*(S319+T319)+0.73*U319+0.865*(I319-(J319+K319+L319))+1.334+J319+1.725*K319+2.065*L319)/(G319+S319-T319+U319+R319)</f>
        <v>0.16675000000000001</v>
      </c>
      <c r="AB319" s="22">
        <f>((AA319-$AA$2000)/1.24+$H$2000/$F$2000)*F319</f>
        <v>-2.241365467223333E-2</v>
      </c>
      <c r="AC319" s="22">
        <f>(AB319/F319)/($AB$2000/$F$2000)*100</f>
        <v>-2.6836278588884941</v>
      </c>
      <c r="AD319" s="22"/>
    </row>
    <row r="320" spans="1:30" ht="15.75" customHeight="1" x14ac:dyDescent="0.15">
      <c r="A320" s="30">
        <v>317</v>
      </c>
      <c r="B320" s="31" t="s">
        <v>3377</v>
      </c>
      <c r="C320" s="55" t="s">
        <v>2652</v>
      </c>
      <c r="D320" s="30">
        <v>0.125</v>
      </c>
      <c r="E320" s="30">
        <v>3</v>
      </c>
      <c r="F320" s="33">
        <v>8</v>
      </c>
      <c r="G320" s="30">
        <v>8</v>
      </c>
      <c r="H320" s="30">
        <v>0</v>
      </c>
      <c r="I320" s="30">
        <v>1</v>
      </c>
      <c r="J320" s="30">
        <v>0</v>
      </c>
      <c r="K320" s="30">
        <v>0</v>
      </c>
      <c r="L320" s="30">
        <v>0</v>
      </c>
      <c r="M320" s="30">
        <v>1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6</v>
      </c>
      <c r="W320" s="30">
        <v>0</v>
      </c>
      <c r="X320" s="30">
        <v>0.125</v>
      </c>
      <c r="Y320" s="30">
        <v>0.125</v>
      </c>
      <c r="Z320" s="22">
        <f>X320+Y320</f>
        <v>0.25</v>
      </c>
      <c r="AA320" s="22">
        <f>(0.692*(S320+T320)+0.73*U320+0.865*(I320-(J320+K320+L320))+1.334+J320+1.725*K320+2.065*L320)/(G320+S320-T320+U320+R320)</f>
        <v>0.27487499999999998</v>
      </c>
      <c r="AB320" s="22">
        <f>((AA320-$AA$2000)/1.24+$H$2000/$F$2000)*F320</f>
        <v>0.67516699048905682</v>
      </c>
      <c r="AC320" s="22">
        <f>(AB320/F320)/($AB$2000/$F$2000)*100</f>
        <v>80.838978362728369</v>
      </c>
      <c r="AD320" s="22"/>
    </row>
    <row r="321" spans="1:30" ht="15.75" customHeight="1" x14ac:dyDescent="0.15">
      <c r="A321" s="34">
        <v>317</v>
      </c>
      <c r="B321" s="35" t="s">
        <v>3378</v>
      </c>
      <c r="C321" s="57" t="s">
        <v>2654</v>
      </c>
      <c r="D321" s="34">
        <v>0.14299999999999999</v>
      </c>
      <c r="E321" s="34">
        <v>3</v>
      </c>
      <c r="F321" s="33">
        <v>8</v>
      </c>
      <c r="G321" s="34">
        <v>7</v>
      </c>
      <c r="H321" s="34">
        <v>2</v>
      </c>
      <c r="I321" s="34">
        <v>1</v>
      </c>
      <c r="J321" s="34">
        <v>0</v>
      </c>
      <c r="K321" s="34">
        <v>0</v>
      </c>
      <c r="L321" s="34">
        <v>0</v>
      </c>
      <c r="M321" s="34">
        <v>1</v>
      </c>
      <c r="N321" s="34">
        <v>1</v>
      </c>
      <c r="O321" s="34">
        <v>0</v>
      </c>
      <c r="P321" s="34">
        <v>0</v>
      </c>
      <c r="Q321" s="34">
        <v>0</v>
      </c>
      <c r="R321" s="34">
        <v>0</v>
      </c>
      <c r="S321" s="34">
        <v>1</v>
      </c>
      <c r="T321" s="34">
        <v>0</v>
      </c>
      <c r="U321" s="34">
        <v>0</v>
      </c>
      <c r="V321" s="34">
        <v>2</v>
      </c>
      <c r="W321" s="34">
        <v>0</v>
      </c>
      <c r="X321" s="34">
        <v>0.25</v>
      </c>
      <c r="Y321" s="34">
        <v>0.14299999999999999</v>
      </c>
      <c r="Z321" s="22">
        <f>X321+Y321</f>
        <v>0.39300000000000002</v>
      </c>
      <c r="AA321" s="22">
        <f>(0.692*(S321+T321)+0.73*U321+0.865*(I321-(J321+K321+L321))+1.334+J321+1.725*K321+2.065*L321)/(G321+S321-T321+U321+R321)</f>
        <v>0.361375</v>
      </c>
      <c r="AB321" s="22">
        <f>((AA321-$AA$2000)/1.24+$H$2000/$F$2000)*F321</f>
        <v>1.2332315066180892</v>
      </c>
      <c r="AC321" s="22">
        <f>(AB321/F321)/($AB$2000/$F$2000)*100</f>
        <v>147.65706334002189</v>
      </c>
      <c r="AD321" s="22"/>
    </row>
    <row r="322" spans="1:30" ht="15.75" customHeight="1" x14ac:dyDescent="0.15">
      <c r="A322" s="30">
        <v>321</v>
      </c>
      <c r="B322" s="31" t="s">
        <v>3379</v>
      </c>
      <c r="C322" s="53" t="s">
        <v>198</v>
      </c>
      <c r="D322" s="30">
        <v>0.14299999999999999</v>
      </c>
      <c r="E322" s="30">
        <v>8</v>
      </c>
      <c r="F322" s="33">
        <v>7</v>
      </c>
      <c r="G322" s="30">
        <v>7</v>
      </c>
      <c r="H322" s="30">
        <v>0</v>
      </c>
      <c r="I322" s="30">
        <v>1</v>
      </c>
      <c r="J322" s="30">
        <v>0</v>
      </c>
      <c r="K322" s="30">
        <v>0</v>
      </c>
      <c r="L322" s="30">
        <v>0</v>
      </c>
      <c r="M322" s="30">
        <v>1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1</v>
      </c>
      <c r="W322" s="30">
        <v>0</v>
      </c>
      <c r="X322" s="30">
        <v>0.14299999999999999</v>
      </c>
      <c r="Y322" s="30">
        <v>0.14299999999999999</v>
      </c>
      <c r="Z322" s="22">
        <f>X322+Y322</f>
        <v>0.28599999999999998</v>
      </c>
      <c r="AA322" s="22">
        <f>(0.692*(S322+T322)+0.73*U322+0.865*(I322-(J322+K322+L322))+1.334+J322+1.725*K322+2.065*L322)/(G322+S322-T322+U322+R322)</f>
        <v>0.31414285714285711</v>
      </c>
      <c r="AB322" s="22">
        <f>((AA322-$AA$2000)/1.24+$H$2000/$F$2000)*F322</f>
        <v>0.81244450377469879</v>
      </c>
      <c r="AC322" s="22">
        <f>(AB322/F322)/($AB$2000/$F$2000)*100</f>
        <v>111.17196120027344</v>
      </c>
      <c r="AD322" s="22"/>
    </row>
    <row r="323" spans="1:30" ht="15.75" customHeight="1" x14ac:dyDescent="0.15">
      <c r="A323" s="34">
        <v>321</v>
      </c>
      <c r="B323" s="35" t="s">
        <v>3380</v>
      </c>
      <c r="C323" s="57" t="s">
        <v>2654</v>
      </c>
      <c r="D323" s="34">
        <v>0</v>
      </c>
      <c r="E323" s="34">
        <v>7</v>
      </c>
      <c r="F323" s="33">
        <v>7</v>
      </c>
      <c r="G323" s="34">
        <v>6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1</v>
      </c>
      <c r="P323" s="34">
        <v>0</v>
      </c>
      <c r="Q323" s="34">
        <v>0</v>
      </c>
      <c r="R323" s="34">
        <v>0</v>
      </c>
      <c r="S323" s="34">
        <v>1</v>
      </c>
      <c r="T323" s="34">
        <v>0</v>
      </c>
      <c r="U323" s="34">
        <v>0</v>
      </c>
      <c r="V323" s="34">
        <v>2</v>
      </c>
      <c r="W323" s="34">
        <v>0</v>
      </c>
      <c r="X323" s="34">
        <v>0.14299999999999999</v>
      </c>
      <c r="Y323" s="34">
        <v>0</v>
      </c>
      <c r="Z323" s="29">
        <f>X323+Y323</f>
        <v>0.14299999999999999</v>
      </c>
      <c r="AA323" s="22">
        <f>(0.692*(S323+T323)+0.73*U323+0.865*(I323-(J323+K323+L323))+1.334+J323+1.725*K323+2.065*L323)/(G323+S323-T323+U323+R323)</f>
        <v>0.28942857142857142</v>
      </c>
      <c r="AB323" s="22">
        <f>((AA323-$AA$2000)/1.24+$H$2000/$F$2000)*F323</f>
        <v>0.67292837474244094</v>
      </c>
      <c r="AC323" s="22">
        <f>(AB323/F323)/($AB$2000/$F$2000)*100</f>
        <v>92.081079778189618</v>
      </c>
      <c r="AD323" s="22"/>
    </row>
    <row r="324" spans="1:30" ht="15.75" customHeight="1" x14ac:dyDescent="0.15">
      <c r="A324" s="30">
        <v>321</v>
      </c>
      <c r="B324" s="31" t="s">
        <v>3381</v>
      </c>
      <c r="C324" s="41" t="s">
        <v>2651</v>
      </c>
      <c r="D324" s="30">
        <v>0.14299999999999999</v>
      </c>
      <c r="E324" s="30">
        <v>3</v>
      </c>
      <c r="F324" s="33">
        <v>7</v>
      </c>
      <c r="G324" s="30">
        <v>7</v>
      </c>
      <c r="H324" s="30">
        <v>1</v>
      </c>
      <c r="I324" s="30">
        <v>1</v>
      </c>
      <c r="J324" s="30">
        <v>0</v>
      </c>
      <c r="K324" s="30">
        <v>0</v>
      </c>
      <c r="L324" s="30">
        <v>1</v>
      </c>
      <c r="M324" s="30">
        <v>4</v>
      </c>
      <c r="N324" s="30">
        <v>3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2</v>
      </c>
      <c r="W324" s="30">
        <v>0</v>
      </c>
      <c r="X324" s="30">
        <v>0.14299999999999999</v>
      </c>
      <c r="Y324" s="30">
        <v>0.57099999999999995</v>
      </c>
      <c r="Z324" s="29">
        <f>X324+Y324</f>
        <v>0.71399999999999997</v>
      </c>
      <c r="AA324" s="22">
        <f>(0.692*(S324+T324)+0.73*U324+0.865*(I324-(J324+K324+L324))+1.334+J324+1.725*K324+2.065*L324)/(G324+S324-T324+U324+R324)</f>
        <v>0.4855714285714286</v>
      </c>
      <c r="AB324" s="22">
        <f>((AA324-$AA$2000)/1.24+$H$2000/$F$2000)*F324</f>
        <v>1.78018643925857</v>
      </c>
      <c r="AC324" s="22">
        <f>(AB324/F324)/($AB$2000/$F$2000)*100</f>
        <v>243.59426008178002</v>
      </c>
      <c r="AD324" s="22"/>
    </row>
    <row r="325" spans="1:30" ht="15.75" customHeight="1" x14ac:dyDescent="0.15">
      <c r="A325" s="34">
        <v>324</v>
      </c>
      <c r="B325" s="35" t="s">
        <v>3382</v>
      </c>
      <c r="C325" s="58" t="s">
        <v>2645</v>
      </c>
      <c r="D325" s="34">
        <v>0.33300000000000002</v>
      </c>
      <c r="E325" s="34">
        <v>29</v>
      </c>
      <c r="F325" s="33">
        <v>6</v>
      </c>
      <c r="G325" s="34">
        <v>3</v>
      </c>
      <c r="H325" s="34">
        <v>9</v>
      </c>
      <c r="I325" s="34">
        <v>1</v>
      </c>
      <c r="J325" s="34">
        <v>0</v>
      </c>
      <c r="K325" s="34">
        <v>0</v>
      </c>
      <c r="L325" s="34">
        <v>0</v>
      </c>
      <c r="M325" s="34">
        <v>1</v>
      </c>
      <c r="N325" s="34">
        <v>1</v>
      </c>
      <c r="O325" s="34">
        <v>7</v>
      </c>
      <c r="P325" s="34">
        <v>0</v>
      </c>
      <c r="Q325" s="34">
        <v>0</v>
      </c>
      <c r="R325" s="34">
        <v>0</v>
      </c>
      <c r="S325" s="34">
        <v>3</v>
      </c>
      <c r="T325" s="34">
        <v>0</v>
      </c>
      <c r="U325" s="34">
        <v>0</v>
      </c>
      <c r="V325" s="34">
        <v>0</v>
      </c>
      <c r="W325" s="34">
        <v>0</v>
      </c>
      <c r="X325" s="34">
        <v>0.66700000000000004</v>
      </c>
      <c r="Y325" s="34">
        <v>0.33300000000000002</v>
      </c>
      <c r="Z325" s="29">
        <f>X325+Y325</f>
        <v>1</v>
      </c>
      <c r="AA325" s="22">
        <f>(0.692*(S325+T325)+0.73*U325+0.865*(I325-(J325+K325+L325))+1.334+J325+1.725*K325+2.065*L325)/(G325+S325-T325+U325+R325)</f>
        <v>0.71250000000000002</v>
      </c>
      <c r="AB325" s="22">
        <f>((AA325-$AA$2000)/1.24+$H$2000/$F$2000)*F325</f>
        <v>2.6239155654474375</v>
      </c>
      <c r="AC325" s="22">
        <f>(AB325/F325)/($AB$2000/$F$2000)*100</f>
        <v>418.88827822617418</v>
      </c>
      <c r="AD325" s="22"/>
    </row>
    <row r="326" spans="1:30" ht="15.75" customHeight="1" x14ac:dyDescent="0.15">
      <c r="A326" s="30">
        <v>324</v>
      </c>
      <c r="B326" s="31" t="s">
        <v>3383</v>
      </c>
      <c r="C326" s="49" t="s">
        <v>2655</v>
      </c>
      <c r="D326" s="30">
        <v>0.33300000000000002</v>
      </c>
      <c r="E326" s="30">
        <v>14</v>
      </c>
      <c r="F326" s="33">
        <v>6</v>
      </c>
      <c r="G326" s="30">
        <v>6</v>
      </c>
      <c r="H326" s="30">
        <v>7</v>
      </c>
      <c r="I326" s="30">
        <v>2</v>
      </c>
      <c r="J326" s="30">
        <v>0</v>
      </c>
      <c r="K326" s="30">
        <v>0</v>
      </c>
      <c r="L326" s="30">
        <v>0</v>
      </c>
      <c r="M326" s="30">
        <v>2</v>
      </c>
      <c r="N326" s="30">
        <v>0</v>
      </c>
      <c r="O326" s="30">
        <v>1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1</v>
      </c>
      <c r="W326" s="30">
        <v>0</v>
      </c>
      <c r="X326" s="30">
        <v>0.33300000000000002</v>
      </c>
      <c r="Y326" s="30">
        <v>0.33300000000000002</v>
      </c>
      <c r="Z326" s="29">
        <f>X326+Y326</f>
        <v>0.66600000000000004</v>
      </c>
      <c r="AA326" s="22">
        <f>(0.692*(S326+T326)+0.73*U326+0.865*(I326-(J326+K326+L326))+1.334+J326+1.725*K326+2.065*L326)/(G326+S326-T326+U326+R326)</f>
        <v>0.51066666666666671</v>
      </c>
      <c r="AB326" s="22">
        <f>((AA326-$AA$2000)/1.24+$H$2000/$F$2000)*F326</f>
        <v>1.6473026622216316</v>
      </c>
      <c r="AC326" s="22">
        <f>(AB326/F326)/($AB$2000/$F$2000)*100</f>
        <v>262.97941327915612</v>
      </c>
      <c r="AD326" s="22"/>
    </row>
    <row r="327" spans="1:30" ht="15.75" customHeight="1" x14ac:dyDescent="0.15">
      <c r="A327" s="34">
        <v>324</v>
      </c>
      <c r="B327" s="35" t="s">
        <v>3384</v>
      </c>
      <c r="C327" s="45" t="s">
        <v>2651</v>
      </c>
      <c r="D327" s="34">
        <v>0.33300000000000002</v>
      </c>
      <c r="E327" s="34">
        <v>6</v>
      </c>
      <c r="F327" s="33">
        <v>6</v>
      </c>
      <c r="G327" s="34">
        <v>6</v>
      </c>
      <c r="H327" s="34">
        <v>0</v>
      </c>
      <c r="I327" s="34">
        <v>2</v>
      </c>
      <c r="J327" s="34">
        <v>2</v>
      </c>
      <c r="K327" s="34">
        <v>0</v>
      </c>
      <c r="L327" s="34">
        <v>0</v>
      </c>
      <c r="M327" s="34">
        <v>4</v>
      </c>
      <c r="N327" s="34">
        <v>1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4">
        <v>0</v>
      </c>
      <c r="U327" s="34">
        <v>0</v>
      </c>
      <c r="V327" s="34">
        <v>1</v>
      </c>
      <c r="W327" s="34">
        <v>0</v>
      </c>
      <c r="X327" s="34">
        <v>0.33300000000000002</v>
      </c>
      <c r="Y327" s="34">
        <v>0.66700000000000004</v>
      </c>
      <c r="Z327" s="29">
        <f>X327+Y327</f>
        <v>1</v>
      </c>
      <c r="AA327" s="22">
        <f>(0.692*(S327+T327)+0.73*U327+0.865*(I327-(J327+K327+L327))+1.334+J327+1.725*K327+2.065*L327)/(G327+S327-T327+U327+R327)</f>
        <v>0.55566666666666664</v>
      </c>
      <c r="AB327" s="22">
        <f>((AA327-$AA$2000)/1.24+$H$2000/$F$2000)*F327</f>
        <v>1.8650445977055023</v>
      </c>
      <c r="AC327" s="22">
        <f>(AB327/F327)/($AB$2000/$F$2000)*100</f>
        <v>297.74026673555159</v>
      </c>
      <c r="AD327" s="22"/>
    </row>
    <row r="328" spans="1:30" ht="15.75" customHeight="1" x14ac:dyDescent="0.15">
      <c r="A328" s="30">
        <v>324</v>
      </c>
      <c r="B328" s="31" t="s">
        <v>3385</v>
      </c>
      <c r="C328" s="39" t="s">
        <v>2649</v>
      </c>
      <c r="D328" s="30">
        <v>0</v>
      </c>
      <c r="E328" s="30">
        <v>4</v>
      </c>
      <c r="F328" s="33">
        <v>6</v>
      </c>
      <c r="G328" s="30">
        <v>4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2</v>
      </c>
      <c r="T328" s="30">
        <v>0</v>
      </c>
      <c r="U328" s="30">
        <v>0</v>
      </c>
      <c r="V328" s="30">
        <v>1</v>
      </c>
      <c r="W328" s="30">
        <v>0</v>
      </c>
      <c r="X328" s="30">
        <v>0.33300000000000002</v>
      </c>
      <c r="Y328" s="30">
        <v>0</v>
      </c>
      <c r="Z328" s="29">
        <f>X328+Y328</f>
        <v>0.33300000000000002</v>
      </c>
      <c r="AA328" s="22">
        <f>(0.692*(S328+T328)+0.73*U328+0.865*(I328-(J328+K328+L328))+1.334+J328+1.725*K328+2.065*L328)/(G328+S328-T328+U328+R328)</f>
        <v>0.45300000000000001</v>
      </c>
      <c r="AB328" s="22">
        <f>((AA328-$AA$2000)/1.24+$H$2000/$F$2000)*F328</f>
        <v>1.3682704041571154</v>
      </c>
      <c r="AC328" s="22">
        <f>(AB328/F328)/($AB$2000/$F$2000)*100</f>
        <v>218.43402329429381</v>
      </c>
      <c r="AD328" s="22"/>
    </row>
    <row r="329" spans="1:30" ht="15.75" customHeight="1" x14ac:dyDescent="0.15">
      <c r="A329" s="34">
        <v>324</v>
      </c>
      <c r="B329" s="35" t="s">
        <v>3386</v>
      </c>
      <c r="C329" s="51" t="s">
        <v>2655</v>
      </c>
      <c r="D329" s="34">
        <v>0.33300000000000002</v>
      </c>
      <c r="E329" s="34">
        <v>4</v>
      </c>
      <c r="F329" s="33">
        <v>6</v>
      </c>
      <c r="G329" s="34">
        <v>6</v>
      </c>
      <c r="H329" s="34">
        <v>1</v>
      </c>
      <c r="I329" s="34">
        <v>2</v>
      </c>
      <c r="J329" s="34">
        <v>0</v>
      </c>
      <c r="K329" s="34">
        <v>0</v>
      </c>
      <c r="L329" s="34">
        <v>1</v>
      </c>
      <c r="M329" s="34">
        <v>5</v>
      </c>
      <c r="N329" s="34">
        <v>1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4">
        <v>0</v>
      </c>
      <c r="U329" s="34">
        <v>0</v>
      </c>
      <c r="V329" s="34">
        <v>4</v>
      </c>
      <c r="W329" s="34">
        <v>0</v>
      </c>
      <c r="X329" s="34">
        <v>0.33300000000000002</v>
      </c>
      <c r="Y329" s="34">
        <v>0.83299999999999996</v>
      </c>
      <c r="Z329" s="29">
        <f>X329+Y329</f>
        <v>1.1659999999999999</v>
      </c>
      <c r="AA329" s="22">
        <f>(0.692*(S329+T329)+0.73*U329+0.865*(I329-(J329+K329+L329))+1.334+J329+1.725*K329+2.065*L329)/(G329+S329-T329+U329+R329)</f>
        <v>0.71066666666666656</v>
      </c>
      <c r="AB329" s="22">
        <f>((AA329-$AA$2000)/1.24+$H$2000/$F$2000)*F329</f>
        <v>2.6150445977055017</v>
      </c>
      <c r="AC329" s="22">
        <f>(AB329/F329)/($AB$2000/$F$2000)*100</f>
        <v>417.47209530758028</v>
      </c>
      <c r="AD329" s="22"/>
    </row>
    <row r="330" spans="1:30" ht="15.75" customHeight="1" x14ac:dyDescent="0.15">
      <c r="A330" s="30">
        <v>324</v>
      </c>
      <c r="B330" s="31" t="s">
        <v>3387</v>
      </c>
      <c r="C330" s="44" t="s">
        <v>2653</v>
      </c>
      <c r="D330" s="30">
        <v>0.33300000000000002</v>
      </c>
      <c r="E330" s="30">
        <v>3</v>
      </c>
      <c r="F330" s="33">
        <v>6</v>
      </c>
      <c r="G330" s="30">
        <v>6</v>
      </c>
      <c r="H330" s="30">
        <v>0</v>
      </c>
      <c r="I330" s="30">
        <v>2</v>
      </c>
      <c r="J330" s="30">
        <v>0</v>
      </c>
      <c r="K330" s="30">
        <v>0</v>
      </c>
      <c r="L330" s="30">
        <v>0</v>
      </c>
      <c r="M330" s="30">
        <v>2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2</v>
      </c>
      <c r="W330" s="30">
        <v>1</v>
      </c>
      <c r="X330" s="30">
        <v>0.33300000000000002</v>
      </c>
      <c r="Y330" s="30">
        <v>0.33300000000000002</v>
      </c>
      <c r="Z330" s="29">
        <f>X330+Y330</f>
        <v>0.66600000000000004</v>
      </c>
      <c r="AA330" s="22">
        <f>(0.692*(S330+T330)+0.73*U330+0.865*(I330-(J330+K330+L330))+1.334+J330+1.725*K330+2.065*L330)/(G330+S330-T330+U330+R330)</f>
        <v>0.51066666666666671</v>
      </c>
      <c r="AB330" s="22">
        <f>((AA330-$AA$2000)/1.24+$H$2000/$F$2000)*F330</f>
        <v>1.6473026622216316</v>
      </c>
      <c r="AC330" s="22">
        <f>(AB330/F330)/($AB$2000/$F$2000)*100</f>
        <v>262.97941327915612</v>
      </c>
      <c r="AD330" s="22"/>
    </row>
    <row r="331" spans="1:30" ht="15.75" customHeight="1" x14ac:dyDescent="0.15">
      <c r="A331" s="34">
        <v>330</v>
      </c>
      <c r="B331" s="35" t="s">
        <v>3388</v>
      </c>
      <c r="C331" s="56" t="s">
        <v>2653</v>
      </c>
      <c r="D331" s="34">
        <v>0.2</v>
      </c>
      <c r="E331" s="34">
        <v>8</v>
      </c>
      <c r="F331" s="33">
        <v>5</v>
      </c>
      <c r="G331" s="34">
        <v>5</v>
      </c>
      <c r="H331" s="34">
        <v>0</v>
      </c>
      <c r="I331" s="34">
        <v>1</v>
      </c>
      <c r="J331" s="34">
        <v>0</v>
      </c>
      <c r="K331" s="34">
        <v>0</v>
      </c>
      <c r="L331" s="34">
        <v>0</v>
      </c>
      <c r="M331" s="34">
        <v>1</v>
      </c>
      <c r="N331" s="34">
        <v>1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4">
        <v>0</v>
      </c>
      <c r="U331" s="34">
        <v>0</v>
      </c>
      <c r="V331" s="34">
        <v>1</v>
      </c>
      <c r="W331" s="34">
        <v>0</v>
      </c>
      <c r="X331" s="34">
        <v>0.2</v>
      </c>
      <c r="Y331" s="34">
        <v>0.2</v>
      </c>
      <c r="Z331" s="29">
        <f>X331+Y331</f>
        <v>0.4</v>
      </c>
      <c r="AA331" s="22">
        <f>(0.692*(S331+T331)+0.73*U331+0.865*(I331-(J331+K331+L331))+1.334+J331+1.725*K331+2.065*L331)/(G331+S331-T331+U331+R331)</f>
        <v>0.43979999999999997</v>
      </c>
      <c r="AB331" s="22">
        <f>((AA331-$AA$2000)/1.24+$H$2000/$F$2000)*F331</f>
        <v>1.0869995303459832</v>
      </c>
      <c r="AC331" s="22">
        <f>(AB331/F331)/($AB$2000/$F$2000)*100</f>
        <v>208.23750628041776</v>
      </c>
      <c r="AD331" s="22"/>
    </row>
    <row r="332" spans="1:30" ht="15.75" customHeight="1" x14ac:dyDescent="0.15">
      <c r="A332" s="30">
        <v>330</v>
      </c>
      <c r="B332" s="31" t="s">
        <v>3389</v>
      </c>
      <c r="C332" s="55" t="s">
        <v>2652</v>
      </c>
      <c r="D332" s="30">
        <v>0.5</v>
      </c>
      <c r="E332" s="30">
        <v>7</v>
      </c>
      <c r="F332" s="33">
        <v>5</v>
      </c>
      <c r="G332" s="30">
        <v>4</v>
      </c>
      <c r="H332" s="30">
        <v>0</v>
      </c>
      <c r="I332" s="30">
        <v>2</v>
      </c>
      <c r="J332" s="30">
        <v>0</v>
      </c>
      <c r="K332" s="30">
        <v>0</v>
      </c>
      <c r="L332" s="30">
        <v>0</v>
      </c>
      <c r="M332" s="30">
        <v>2</v>
      </c>
      <c r="N332" s="30">
        <v>0</v>
      </c>
      <c r="O332" s="30">
        <v>0</v>
      </c>
      <c r="P332" s="30">
        <v>0</v>
      </c>
      <c r="Q332" s="30">
        <v>1</v>
      </c>
      <c r="R332" s="30">
        <v>0</v>
      </c>
      <c r="S332" s="30">
        <v>0</v>
      </c>
      <c r="T332" s="30">
        <v>0</v>
      </c>
      <c r="U332" s="30">
        <v>0</v>
      </c>
      <c r="V332" s="30">
        <v>1</v>
      </c>
      <c r="W332" s="30">
        <v>0</v>
      </c>
      <c r="X332" s="30">
        <v>0.5</v>
      </c>
      <c r="Y332" s="30">
        <v>0.5</v>
      </c>
      <c r="Z332" s="29">
        <f>X332+Y332</f>
        <v>1</v>
      </c>
      <c r="AA332" s="22">
        <f>(0.692*(S332+T332)+0.73*U332+0.865*(I332-(J332+K332+L332))+1.334+J332+1.725*K332+2.065*L332)/(G332+S332-T332+U332+R332)</f>
        <v>0.76600000000000001</v>
      </c>
      <c r="AB332" s="22">
        <f>((AA332-$AA$2000)/1.24+$H$2000/$F$2000)*F332</f>
        <v>2.4023221109911446</v>
      </c>
      <c r="AC332" s="22">
        <f>(AB332/F332)/($AB$2000/$F$2000)*100</f>
        <v>460.21507066877786</v>
      </c>
      <c r="AD332" s="22"/>
    </row>
    <row r="333" spans="1:30" ht="15.75" customHeight="1" x14ac:dyDescent="0.15">
      <c r="A333" s="34">
        <v>330</v>
      </c>
      <c r="B333" s="35" t="s">
        <v>3390</v>
      </c>
      <c r="C333" s="43" t="s">
        <v>2649</v>
      </c>
      <c r="D333" s="34">
        <v>0.25</v>
      </c>
      <c r="E333" s="34">
        <v>7</v>
      </c>
      <c r="F333" s="33">
        <v>5</v>
      </c>
      <c r="G333" s="34">
        <v>4</v>
      </c>
      <c r="H333" s="34">
        <v>1</v>
      </c>
      <c r="I333" s="34">
        <v>1</v>
      </c>
      <c r="J333" s="34">
        <v>0</v>
      </c>
      <c r="K333" s="34">
        <v>0</v>
      </c>
      <c r="L333" s="34">
        <v>0</v>
      </c>
      <c r="M333" s="34">
        <v>1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1</v>
      </c>
      <c r="T333" s="34">
        <v>0</v>
      </c>
      <c r="U333" s="34">
        <v>0</v>
      </c>
      <c r="V333" s="34">
        <v>0</v>
      </c>
      <c r="W333" s="34">
        <v>0</v>
      </c>
      <c r="X333" s="34">
        <v>0.4</v>
      </c>
      <c r="Y333" s="34">
        <v>0.25</v>
      </c>
      <c r="Z333" s="29">
        <f>X333+Y333</f>
        <v>0.65</v>
      </c>
      <c r="AA333" s="22">
        <f>(0.692*(S333+T333)+0.73*U333+0.865*(I333-(J333+K333+L333))+1.334+J333+1.725*K333+2.065*L333)/(G333+S333-T333+U333+R333)</f>
        <v>0.57820000000000005</v>
      </c>
      <c r="AB333" s="22">
        <f>((AA333-$AA$2000)/1.24+$H$2000/$F$2000)*F333</f>
        <v>1.6450640464750155</v>
      </c>
      <c r="AC333" s="22">
        <f>(AB333/F333)/($AB$2000/$F$2000)*100</f>
        <v>315.14644224408744</v>
      </c>
      <c r="AD333" s="22"/>
    </row>
    <row r="334" spans="1:30" ht="15.75" customHeight="1" x14ac:dyDescent="0.15">
      <c r="A334" s="30">
        <v>330</v>
      </c>
      <c r="B334" s="31" t="s">
        <v>3391</v>
      </c>
      <c r="C334" s="52" t="s">
        <v>2646</v>
      </c>
      <c r="D334" s="30">
        <v>0</v>
      </c>
      <c r="E334" s="30">
        <v>2</v>
      </c>
      <c r="F334" s="33">
        <v>5</v>
      </c>
      <c r="G334" s="30">
        <v>5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3</v>
      </c>
      <c r="W334" s="30">
        <v>0</v>
      </c>
      <c r="X334" s="30">
        <v>0</v>
      </c>
      <c r="Y334" s="30">
        <v>0</v>
      </c>
      <c r="Z334" s="29">
        <f>X334+Y334</f>
        <v>0</v>
      </c>
      <c r="AA334" s="22">
        <f>(0.692*(S334+T334)+0.73*U334+0.865*(I334-(J334+K334+L334))+1.334+J334+1.725*K334+2.065*L334)/(G334+S334-T334+U334+R334)</f>
        <v>0.26680000000000004</v>
      </c>
      <c r="AB334" s="22">
        <f>((AA334-$AA$2000)/1.24+$H$2000/$F$2000)*F334</f>
        <v>0.38941888518469303</v>
      </c>
      <c r="AC334" s="22">
        <f>(AB334/F334)/($AB$2000/$F$2000)*100</f>
        <v>74.601336325830786</v>
      </c>
      <c r="AD334" s="22"/>
    </row>
    <row r="335" spans="1:30" ht="15.75" customHeight="1" x14ac:dyDescent="0.15">
      <c r="A335" s="34">
        <v>334</v>
      </c>
      <c r="B335" s="35" t="s">
        <v>3392</v>
      </c>
      <c r="C335" s="45" t="s">
        <v>2651</v>
      </c>
      <c r="D335" s="34">
        <v>0.25</v>
      </c>
      <c r="E335" s="34">
        <v>4</v>
      </c>
      <c r="F335" s="33">
        <v>4</v>
      </c>
      <c r="G335" s="34">
        <v>4</v>
      </c>
      <c r="H335" s="34">
        <v>0</v>
      </c>
      <c r="I335" s="34">
        <v>1</v>
      </c>
      <c r="J335" s="34">
        <v>0</v>
      </c>
      <c r="K335" s="34">
        <v>0</v>
      </c>
      <c r="L335" s="34">
        <v>0</v>
      </c>
      <c r="M335" s="34">
        <v>1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4">
        <v>0</v>
      </c>
      <c r="U335" s="34">
        <v>0</v>
      </c>
      <c r="V335" s="34">
        <v>1</v>
      </c>
      <c r="W335" s="34">
        <v>0</v>
      </c>
      <c r="X335" s="34">
        <v>0.25</v>
      </c>
      <c r="Y335" s="34">
        <v>0.25</v>
      </c>
      <c r="Z335" s="29">
        <f>X335+Y335</f>
        <v>0.5</v>
      </c>
      <c r="AA335" s="22">
        <f>(0.692*(S335+T335)+0.73*U335+0.865*(I335-(J335+K335+L335))+1.334+J335+1.725*K335+2.065*L335)/(G335+S335-T335+U335+R335)</f>
        <v>0.54974999999999996</v>
      </c>
      <c r="AB335" s="22">
        <f>((AA335-$AA$2000)/1.24+$H$2000/$F$2000)*F335</f>
        <v>1.2242770436316253</v>
      </c>
      <c r="AC335" s="22">
        <f>(AB335/F335)/($AB$2000/$F$2000)*100</f>
        <v>293.16985822554403</v>
      </c>
      <c r="AD335" s="22"/>
    </row>
    <row r="336" spans="1:30" ht="15.75" customHeight="1" x14ac:dyDescent="0.15">
      <c r="A336" s="30">
        <v>334</v>
      </c>
      <c r="B336" s="31" t="s">
        <v>3393</v>
      </c>
      <c r="C336" s="53" t="s">
        <v>198</v>
      </c>
      <c r="D336" s="30">
        <v>0</v>
      </c>
      <c r="E336" s="30">
        <v>4</v>
      </c>
      <c r="F336" s="33">
        <v>4</v>
      </c>
      <c r="G336" s="30">
        <v>4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1</v>
      </c>
      <c r="W336" s="30">
        <v>1</v>
      </c>
      <c r="X336" s="30">
        <v>0</v>
      </c>
      <c r="Y336" s="30">
        <v>0</v>
      </c>
      <c r="Z336" s="29">
        <f>X336+Y336</f>
        <v>0</v>
      </c>
      <c r="AA336" s="22">
        <f>(0.692*(S336+T336)+0.73*U336+0.865*(I336-(J336+K336+L336))+1.334+J336+1.725*K336+2.065*L336)/(G336+S336-T336+U336+R336)</f>
        <v>0.33350000000000002</v>
      </c>
      <c r="AB336" s="22">
        <f>((AA336-$AA$2000)/1.24+$H$2000/$F$2000)*F336</f>
        <v>0.526696398470335</v>
      </c>
      <c r="AC336" s="22">
        <f>(AB336/F336)/($AB$2000/$F$2000)*100</f>
        <v>126.12464578231028</v>
      </c>
      <c r="AD336" s="22"/>
    </row>
    <row r="337" spans="1:30" ht="15.75" customHeight="1" x14ac:dyDescent="0.15">
      <c r="A337" s="34">
        <v>334</v>
      </c>
      <c r="B337" s="35" t="s">
        <v>3394</v>
      </c>
      <c r="C337" s="58" t="s">
        <v>2645</v>
      </c>
      <c r="D337" s="34">
        <v>0</v>
      </c>
      <c r="E337" s="34">
        <v>4</v>
      </c>
      <c r="F337" s="33">
        <v>4</v>
      </c>
      <c r="G337" s="34">
        <v>3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4">
        <v>0</v>
      </c>
      <c r="U337" s="34">
        <v>1</v>
      </c>
      <c r="V337" s="34">
        <v>3</v>
      </c>
      <c r="W337" s="34">
        <v>0</v>
      </c>
      <c r="X337" s="34">
        <v>0.25</v>
      </c>
      <c r="Y337" s="34">
        <v>0</v>
      </c>
      <c r="Z337" s="29">
        <f>X337+Y337</f>
        <v>0.25</v>
      </c>
      <c r="AA337" s="22">
        <f>(0.692*(S337+T337)+0.73*U337+0.865*(I337-(J337+K337+L337))+1.334+J337+1.725*K337+2.065*L337)/(G337+S337-T337+U337+R337)</f>
        <v>0.51600000000000001</v>
      </c>
      <c r="AB337" s="22">
        <f>((AA337-$AA$2000)/1.24+$H$2000/$F$2000)*F337</f>
        <v>1.1154060758896898</v>
      </c>
      <c r="AC337" s="22">
        <f>(AB337/F337)/($AB$2000/$F$2000)*100</f>
        <v>267.09921813324746</v>
      </c>
      <c r="AD337" s="22"/>
    </row>
    <row r="338" spans="1:30" ht="15.75" customHeight="1" x14ac:dyDescent="0.15">
      <c r="A338" s="30">
        <v>334</v>
      </c>
      <c r="B338" s="31" t="s">
        <v>3395</v>
      </c>
      <c r="C338" s="53" t="s">
        <v>198</v>
      </c>
      <c r="D338" s="30">
        <v>0</v>
      </c>
      <c r="E338" s="30">
        <v>2</v>
      </c>
      <c r="F338" s="33">
        <v>4</v>
      </c>
      <c r="G338" s="30">
        <v>3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1</v>
      </c>
      <c r="T338" s="30">
        <v>0</v>
      </c>
      <c r="U338" s="30">
        <v>0</v>
      </c>
      <c r="V338" s="30">
        <v>2</v>
      </c>
      <c r="W338" s="30">
        <v>0</v>
      </c>
      <c r="X338" s="30">
        <v>0.25</v>
      </c>
      <c r="Y338" s="30">
        <v>0</v>
      </c>
      <c r="Z338" s="29">
        <f>X338+Y338</f>
        <v>0.25</v>
      </c>
      <c r="AA338" s="22">
        <f>(0.692*(S338+T338)+0.73*U338+0.865*(I338-(J338+K338+L338))+1.334+J338+1.725*K338+2.065*L338)/(G338+S338-T338+U338+R338)</f>
        <v>0.50649999999999995</v>
      </c>
      <c r="AB338" s="22">
        <f>((AA338-$AA$2000)/1.24+$H$2000/$F$2000)*F338</f>
        <v>1.0847609145993671</v>
      </c>
      <c r="AC338" s="22">
        <f>(AB338/F338)/($AB$2000/$F$2000)*100</f>
        <v>259.76081573689726</v>
      </c>
      <c r="AD338" s="22"/>
    </row>
    <row r="339" spans="1:30" ht="15.75" customHeight="1" x14ac:dyDescent="0.15">
      <c r="A339" s="34">
        <v>334</v>
      </c>
      <c r="B339" s="35" t="s">
        <v>3396</v>
      </c>
      <c r="C339" s="56" t="s">
        <v>2653</v>
      </c>
      <c r="D339" s="34">
        <v>0.25</v>
      </c>
      <c r="E339" s="34">
        <v>2</v>
      </c>
      <c r="F339" s="33">
        <v>4</v>
      </c>
      <c r="G339" s="34">
        <v>4</v>
      </c>
      <c r="H339" s="34">
        <v>0</v>
      </c>
      <c r="I339" s="34">
        <v>1</v>
      </c>
      <c r="J339" s="34">
        <v>0</v>
      </c>
      <c r="K339" s="34">
        <v>0</v>
      </c>
      <c r="L339" s="34">
        <v>0</v>
      </c>
      <c r="M339" s="34">
        <v>1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0</v>
      </c>
      <c r="U339" s="34">
        <v>0</v>
      </c>
      <c r="V339" s="34">
        <v>1</v>
      </c>
      <c r="W339" s="34">
        <v>0</v>
      </c>
      <c r="X339" s="34">
        <v>0.25</v>
      </c>
      <c r="Y339" s="34">
        <v>0.25</v>
      </c>
      <c r="Z339" s="29">
        <f>X339+Y339</f>
        <v>0.5</v>
      </c>
      <c r="AA339" s="22">
        <f>(0.692*(S339+T339)+0.73*U339+0.865*(I339-(J339+K339+L339))+1.334+J339+1.725*K339+2.065*L339)/(G339+S339-T339+U339+R339)</f>
        <v>0.54974999999999996</v>
      </c>
      <c r="AB339" s="22">
        <f>((AA339-$AA$2000)/1.24+$H$2000/$F$2000)*F339</f>
        <v>1.2242770436316253</v>
      </c>
      <c r="AC339" s="22">
        <f>(AB339/F339)/($AB$2000/$F$2000)*100</f>
        <v>293.16985822554403</v>
      </c>
      <c r="AD339" s="22"/>
    </row>
    <row r="340" spans="1:30" ht="15.75" customHeight="1" x14ac:dyDescent="0.15">
      <c r="A340" s="30">
        <v>334</v>
      </c>
      <c r="B340" s="31" t="s">
        <v>3397</v>
      </c>
      <c r="C340" s="52" t="s">
        <v>2646</v>
      </c>
      <c r="D340" s="30">
        <v>0.25</v>
      </c>
      <c r="E340" s="30">
        <v>1</v>
      </c>
      <c r="F340" s="33">
        <v>4</v>
      </c>
      <c r="G340" s="30">
        <v>4</v>
      </c>
      <c r="H340" s="30">
        <v>0</v>
      </c>
      <c r="I340" s="30">
        <v>1</v>
      </c>
      <c r="J340" s="30">
        <v>0</v>
      </c>
      <c r="K340" s="30">
        <v>0</v>
      </c>
      <c r="L340" s="30">
        <v>0</v>
      </c>
      <c r="M340" s="30">
        <v>1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1</v>
      </c>
      <c r="W340" s="30">
        <v>0</v>
      </c>
      <c r="X340" s="30">
        <v>0.25</v>
      </c>
      <c r="Y340" s="30">
        <v>0.25</v>
      </c>
      <c r="Z340" s="29">
        <f>X340+Y340</f>
        <v>0.5</v>
      </c>
      <c r="AA340" s="22">
        <f>(0.692*(S340+T340)+0.73*U340+0.865*(I340-(J340+K340+L340))+1.334+J340+1.725*K340+2.065*L340)/(G340+S340-T340+U340+R340)</f>
        <v>0.54974999999999996</v>
      </c>
      <c r="AB340" s="22">
        <f>((AA340-$AA$2000)/1.24+$H$2000/$F$2000)*F340</f>
        <v>1.2242770436316253</v>
      </c>
      <c r="AC340" s="22">
        <f>(AB340/F340)/($AB$2000/$F$2000)*100</f>
        <v>293.16985822554403</v>
      </c>
      <c r="AD340" s="22"/>
    </row>
    <row r="341" spans="1:30" ht="15.75" customHeight="1" x14ac:dyDescent="0.15">
      <c r="A341" s="34">
        <v>340</v>
      </c>
      <c r="B341" s="35" t="s">
        <v>3398</v>
      </c>
      <c r="C341" s="48" t="s">
        <v>2647</v>
      </c>
      <c r="D341" s="34">
        <v>0</v>
      </c>
      <c r="E341" s="34">
        <v>11</v>
      </c>
      <c r="F341" s="33">
        <v>3</v>
      </c>
      <c r="G341" s="34">
        <v>3</v>
      </c>
      <c r="H341" s="34">
        <v>1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4">
        <v>0</v>
      </c>
      <c r="U341" s="34">
        <v>0</v>
      </c>
      <c r="V341" s="34">
        <v>1</v>
      </c>
      <c r="W341" s="34">
        <v>0</v>
      </c>
      <c r="X341" s="34">
        <v>0</v>
      </c>
      <c r="Y341" s="34">
        <v>0</v>
      </c>
      <c r="Z341" s="29">
        <f>X341+Y341</f>
        <v>0</v>
      </c>
      <c r="AA341" s="22">
        <f>(0.692*(S341+T341)+0.73*U341+0.865*(I341-(J341+K341+L341))+1.334+J341+1.725*K341+2.065*L341)/(G341+S341-T341+U341+R341)</f>
        <v>0.44466666666666671</v>
      </c>
      <c r="AB341" s="22">
        <f>((AA341-$AA$2000)/1.24+$H$2000/$F$2000)*F341</f>
        <v>0.66397391175597709</v>
      </c>
      <c r="AC341" s="22">
        <f>(AB341/F341)/($AB$2000/$F$2000)*100</f>
        <v>211.99682820977611</v>
      </c>
      <c r="AD341" s="22"/>
    </row>
    <row r="342" spans="1:30" ht="15.75" customHeight="1" x14ac:dyDescent="0.15">
      <c r="A342" s="30">
        <v>340</v>
      </c>
      <c r="B342" s="31" t="s">
        <v>3399</v>
      </c>
      <c r="C342" s="49" t="s">
        <v>2655</v>
      </c>
      <c r="D342" s="30">
        <v>0</v>
      </c>
      <c r="E342" s="30">
        <v>9</v>
      </c>
      <c r="F342" s="33">
        <v>3</v>
      </c>
      <c r="G342" s="30">
        <v>3</v>
      </c>
      <c r="H342" s="30">
        <v>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2</v>
      </c>
      <c r="W342" s="30">
        <v>0</v>
      </c>
      <c r="X342" s="30">
        <v>0</v>
      </c>
      <c r="Y342" s="30">
        <v>0</v>
      </c>
      <c r="Z342" s="29">
        <f>X342+Y342</f>
        <v>0</v>
      </c>
      <c r="AA342" s="22">
        <f>(0.692*(S342+T342)+0.73*U342+0.865*(I342-(J342+K342+L342))+1.334+J342+1.725*K342+2.065*L342)/(G342+S342-T342+U342+R342)</f>
        <v>0.44466666666666671</v>
      </c>
      <c r="AB342" s="22">
        <f>((AA342-$AA$2000)/1.24+$H$2000/$F$2000)*F342</f>
        <v>0.66397391175597709</v>
      </c>
      <c r="AC342" s="22">
        <f>(AB342/F342)/($AB$2000/$F$2000)*100</f>
        <v>211.99682820977611</v>
      </c>
      <c r="AD342" s="22"/>
    </row>
    <row r="343" spans="1:30" ht="15.75" customHeight="1" x14ac:dyDescent="0.15">
      <c r="A343" s="34">
        <v>340</v>
      </c>
      <c r="B343" s="35" t="s">
        <v>3400</v>
      </c>
      <c r="C343" s="45" t="s">
        <v>2651</v>
      </c>
      <c r="D343" s="34">
        <v>0</v>
      </c>
      <c r="E343" s="34">
        <v>6</v>
      </c>
      <c r="F343" s="33">
        <v>3</v>
      </c>
      <c r="G343" s="34">
        <v>3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4">
        <v>0</v>
      </c>
      <c r="U343" s="34">
        <v>0</v>
      </c>
      <c r="V343" s="34">
        <v>2</v>
      </c>
      <c r="W343" s="34">
        <v>0</v>
      </c>
      <c r="X343" s="34">
        <v>0</v>
      </c>
      <c r="Y343" s="34">
        <v>0</v>
      </c>
      <c r="Z343" s="29">
        <f>X343+Y343</f>
        <v>0</v>
      </c>
      <c r="AA343" s="22">
        <f>(0.692*(S343+T343)+0.73*U343+0.865*(I343-(J343+K343+L343))+1.334+J343+1.725*K343+2.065*L343)/(G343+S343-T343+U343+R343)</f>
        <v>0.44466666666666671</v>
      </c>
      <c r="AB343" s="22">
        <f>((AA343-$AA$2000)/1.24+$H$2000/$F$2000)*F343</f>
        <v>0.66397391175597709</v>
      </c>
      <c r="AC343" s="22">
        <f>(AB343/F343)/($AB$2000/$F$2000)*100</f>
        <v>211.99682820977611</v>
      </c>
      <c r="AD343" s="22"/>
    </row>
    <row r="344" spans="1:30" ht="15.75" customHeight="1" x14ac:dyDescent="0.15">
      <c r="A344" s="30">
        <v>340</v>
      </c>
      <c r="B344" s="31" t="s">
        <v>3401</v>
      </c>
      <c r="C344" s="32" t="s">
        <v>2645</v>
      </c>
      <c r="D344" s="30">
        <v>0</v>
      </c>
      <c r="E344" s="30">
        <v>5</v>
      </c>
      <c r="F344" s="33">
        <v>3</v>
      </c>
      <c r="G344" s="30">
        <v>3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2</v>
      </c>
      <c r="W344" s="30">
        <v>0</v>
      </c>
      <c r="X344" s="30">
        <v>0</v>
      </c>
      <c r="Y344" s="30">
        <v>0</v>
      </c>
      <c r="Z344" s="29">
        <f>X344+Y344</f>
        <v>0</v>
      </c>
      <c r="AA344" s="22">
        <f>(0.692*(S344+T344)+0.73*U344+0.865*(I344-(J344+K344+L344))+1.334+J344+1.725*K344+2.065*L344)/(G344+S344-T344+U344+R344)</f>
        <v>0.44466666666666671</v>
      </c>
      <c r="AB344" s="22">
        <f>((AA344-$AA$2000)/1.24+$H$2000/$F$2000)*F344</f>
        <v>0.66397391175597709</v>
      </c>
      <c r="AC344" s="22">
        <f>(AB344/F344)/($AB$2000/$F$2000)*100</f>
        <v>211.99682820977611</v>
      </c>
      <c r="AD344" s="22"/>
    </row>
    <row r="345" spans="1:30" ht="15.75" customHeight="1" x14ac:dyDescent="0.15">
      <c r="A345" s="34">
        <v>340</v>
      </c>
      <c r="B345" s="35" t="s">
        <v>3402</v>
      </c>
      <c r="C345" s="45" t="s">
        <v>2651</v>
      </c>
      <c r="D345" s="34">
        <v>0</v>
      </c>
      <c r="E345" s="34">
        <v>4</v>
      </c>
      <c r="F345" s="33">
        <v>3</v>
      </c>
      <c r="G345" s="34">
        <v>3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4">
        <v>0</v>
      </c>
      <c r="U345" s="34">
        <v>0</v>
      </c>
      <c r="V345" s="34">
        <v>2</v>
      </c>
      <c r="W345" s="34">
        <v>0</v>
      </c>
      <c r="X345" s="34">
        <v>0</v>
      </c>
      <c r="Y345" s="34">
        <v>0</v>
      </c>
      <c r="Z345" s="29">
        <f>X345+Y345</f>
        <v>0</v>
      </c>
      <c r="AA345" s="22">
        <f>(0.692*(S345+T345)+0.73*U345+0.865*(I345-(J345+K345+L345))+1.334+J345+1.725*K345+2.065*L345)/(G345+S345-T345+U345+R345)</f>
        <v>0.44466666666666671</v>
      </c>
      <c r="AB345" s="22">
        <f>((AA345-$AA$2000)/1.24+$H$2000/$F$2000)*F345</f>
        <v>0.66397391175597709</v>
      </c>
      <c r="AC345" s="22">
        <f>(AB345/F345)/($AB$2000/$F$2000)*100</f>
        <v>211.99682820977611</v>
      </c>
      <c r="AD345" s="22"/>
    </row>
    <row r="346" spans="1:30" ht="15.75" customHeight="1" x14ac:dyDescent="0.15">
      <c r="A346" s="30">
        <v>340</v>
      </c>
      <c r="B346" s="31" t="s">
        <v>3403</v>
      </c>
      <c r="C346" s="54" t="s">
        <v>2650</v>
      </c>
      <c r="D346" s="30">
        <v>0</v>
      </c>
      <c r="E346" s="30">
        <v>3</v>
      </c>
      <c r="F346" s="33">
        <v>3</v>
      </c>
      <c r="G346" s="30">
        <v>3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3</v>
      </c>
      <c r="W346" s="30">
        <v>0</v>
      </c>
      <c r="X346" s="30">
        <v>0</v>
      </c>
      <c r="Y346" s="30">
        <v>0</v>
      </c>
      <c r="Z346" s="29">
        <f>X346+Y346</f>
        <v>0</v>
      </c>
      <c r="AA346" s="22">
        <f>(0.692*(S346+T346)+0.73*U346+0.865*(I346-(J346+K346+L346))+1.334+J346+1.725*K346+2.065*L346)/(G346+S346-T346+U346+R346)</f>
        <v>0.44466666666666671</v>
      </c>
      <c r="AB346" s="22">
        <f>((AA346-$AA$2000)/1.24+$H$2000/$F$2000)*F346</f>
        <v>0.66397391175597709</v>
      </c>
      <c r="AC346" s="22">
        <f>(AB346/F346)/($AB$2000/$F$2000)*100</f>
        <v>211.99682820977611</v>
      </c>
      <c r="AD346" s="22"/>
    </row>
    <row r="347" spans="1:30" ht="15.75" customHeight="1" x14ac:dyDescent="0.15">
      <c r="A347" s="34">
        <v>340</v>
      </c>
      <c r="B347" s="35" t="s">
        <v>3404</v>
      </c>
      <c r="C347" s="56" t="s">
        <v>2653</v>
      </c>
      <c r="D347" s="34">
        <v>0</v>
      </c>
      <c r="E347" s="34">
        <v>2</v>
      </c>
      <c r="F347" s="33">
        <v>3</v>
      </c>
      <c r="G347" s="34">
        <v>3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4">
        <v>0</v>
      </c>
      <c r="U347" s="34">
        <v>0</v>
      </c>
      <c r="V347" s="34">
        <v>2</v>
      </c>
      <c r="W347" s="34">
        <v>0</v>
      </c>
      <c r="X347" s="34">
        <v>0</v>
      </c>
      <c r="Y347" s="34">
        <v>0</v>
      </c>
      <c r="Z347" s="29">
        <f>X347+Y347</f>
        <v>0</v>
      </c>
      <c r="AA347" s="22">
        <f>(0.692*(S347+T347)+0.73*U347+0.865*(I347-(J347+K347+L347))+1.334+J347+1.725*K347+2.065*L347)/(G347+S347-T347+U347+R347)</f>
        <v>0.44466666666666671</v>
      </c>
      <c r="AB347" s="22">
        <f>((AA347-$AA$2000)/1.24+$H$2000/$F$2000)*F347</f>
        <v>0.66397391175597709</v>
      </c>
      <c r="AC347" s="22">
        <f>(AB347/F347)/($AB$2000/$F$2000)*100</f>
        <v>211.99682820977611</v>
      </c>
      <c r="AD347" s="22"/>
    </row>
    <row r="348" spans="1:30" ht="15.75" customHeight="1" x14ac:dyDescent="0.15">
      <c r="A348" s="30">
        <v>340</v>
      </c>
      <c r="B348" s="31" t="s">
        <v>3405</v>
      </c>
      <c r="C348" s="32" t="s">
        <v>2645</v>
      </c>
      <c r="D348" s="30">
        <v>0</v>
      </c>
      <c r="E348" s="30">
        <v>1</v>
      </c>
      <c r="F348" s="33">
        <v>3</v>
      </c>
      <c r="G348" s="30">
        <v>2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1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1</v>
      </c>
      <c r="X348" s="30">
        <v>0</v>
      </c>
      <c r="Y348" s="30">
        <v>0</v>
      </c>
      <c r="Z348" s="29">
        <f>X348+Y348</f>
        <v>0</v>
      </c>
      <c r="AA348" s="22">
        <f>(0.692*(S348+T348)+0.73*U348+0.865*(I348-(J348+K348+L348))+1.334+J348+1.725*K348+2.065*L348)/(G348+S348-T348+U348+R348)</f>
        <v>0.66700000000000004</v>
      </c>
      <c r="AB348" s="22">
        <f>((AA348-$AA$2000)/1.24+$H$2000/$F$2000)*F348</f>
        <v>1.2018771375624286</v>
      </c>
      <c r="AC348" s="22">
        <f>(AB348/F348)/($AB$2000/$F$2000)*100</f>
        <v>383.74119306470777</v>
      </c>
      <c r="AD348" s="22"/>
    </row>
    <row r="349" spans="1:30" ht="15.75" customHeight="1" x14ac:dyDescent="0.15">
      <c r="A349" s="34">
        <v>348</v>
      </c>
      <c r="B349" s="35" t="s">
        <v>3406</v>
      </c>
      <c r="C349" s="48" t="s">
        <v>2647</v>
      </c>
      <c r="D349" s="34">
        <v>0</v>
      </c>
      <c r="E349" s="34">
        <v>12</v>
      </c>
      <c r="F349" s="33">
        <v>2</v>
      </c>
      <c r="G349" s="34">
        <v>2</v>
      </c>
      <c r="H349" s="34">
        <v>3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5</v>
      </c>
      <c r="P349" s="34">
        <v>1</v>
      </c>
      <c r="Q349" s="34">
        <v>0</v>
      </c>
      <c r="R349" s="34">
        <v>0</v>
      </c>
      <c r="S349" s="34">
        <v>0</v>
      </c>
      <c r="T349" s="34">
        <v>0</v>
      </c>
      <c r="U349" s="34">
        <v>0</v>
      </c>
      <c r="V349" s="34">
        <v>2</v>
      </c>
      <c r="W349" s="34">
        <v>0</v>
      </c>
      <c r="X349" s="34">
        <v>0</v>
      </c>
      <c r="Y349" s="34">
        <v>0</v>
      </c>
      <c r="Z349" s="29">
        <f>X349+Y349</f>
        <v>0</v>
      </c>
      <c r="AA349" s="22">
        <f>(0.692*(S349+T349)+0.73*U349+0.865*(I349-(J349+K349+L349))+1.334+J349+1.725*K349+2.065*L349)/(G349+S349-T349+U349+R349)</f>
        <v>0.66700000000000004</v>
      </c>
      <c r="AB349" s="22">
        <f>((AA349-$AA$2000)/1.24+$H$2000/$F$2000)*F349</f>
        <v>0.80125142504161917</v>
      </c>
      <c r="AC349" s="22">
        <f>(AB349/F349)/($AB$2000/$F$2000)*100</f>
        <v>383.74119306470777</v>
      </c>
      <c r="AD349" s="22"/>
    </row>
    <row r="350" spans="1:30" ht="15.75" customHeight="1" x14ac:dyDescent="0.15">
      <c r="A350" s="30">
        <v>348</v>
      </c>
      <c r="B350" s="31" t="s">
        <v>3407</v>
      </c>
      <c r="C350" s="47" t="s">
        <v>2654</v>
      </c>
      <c r="D350" s="30">
        <v>0.5</v>
      </c>
      <c r="E350" s="30">
        <v>6</v>
      </c>
      <c r="F350" s="33">
        <v>2</v>
      </c>
      <c r="G350" s="30">
        <v>2</v>
      </c>
      <c r="H350" s="30">
        <v>2</v>
      </c>
      <c r="I350" s="30">
        <v>1</v>
      </c>
      <c r="J350" s="30">
        <v>0</v>
      </c>
      <c r="K350" s="30">
        <v>0</v>
      </c>
      <c r="L350" s="30">
        <v>0</v>
      </c>
      <c r="M350" s="30">
        <v>1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0.5</v>
      </c>
      <c r="Y350" s="30">
        <v>0.5</v>
      </c>
      <c r="Z350" s="29">
        <f>X350+Y350</f>
        <v>1</v>
      </c>
      <c r="AA350" s="22">
        <f>(0.692*(S350+T350)+0.73*U350+0.865*(I350-(J350+K350+L350))+1.334+J350+1.725*K350+2.065*L350)/(G350+S350-T350+U350+R350)</f>
        <v>1.0994999999999999</v>
      </c>
      <c r="AB350" s="22"/>
      <c r="AC350" s="22"/>
      <c r="AD350" s="22"/>
    </row>
    <row r="351" spans="1:30" ht="15.75" customHeight="1" x14ac:dyDescent="0.15">
      <c r="A351" s="34">
        <v>348</v>
      </c>
      <c r="B351" s="35" t="s">
        <v>3408</v>
      </c>
      <c r="C351" s="57" t="s">
        <v>2654</v>
      </c>
      <c r="D351" s="34">
        <v>0</v>
      </c>
      <c r="E351" s="34">
        <v>4</v>
      </c>
      <c r="F351" s="33">
        <v>2</v>
      </c>
      <c r="G351" s="34">
        <v>2</v>
      </c>
      <c r="H351" s="34">
        <v>2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4">
        <v>0</v>
      </c>
      <c r="U351" s="34">
        <v>0</v>
      </c>
      <c r="V351" s="34">
        <v>2</v>
      </c>
      <c r="W351" s="34">
        <v>0</v>
      </c>
      <c r="X351" s="34">
        <v>0</v>
      </c>
      <c r="Y351" s="34">
        <v>0</v>
      </c>
      <c r="Z351" s="29">
        <f>X351+Y351</f>
        <v>0</v>
      </c>
      <c r="AA351" s="22">
        <f>(0.692*(S351+T351)+0.73*U351+0.865*(I351-(J351+K351+L351))+1.334+J351+1.725*K351+2.065*L351)/(G351+S351-T351+U351+R351)</f>
        <v>0.66700000000000004</v>
      </c>
      <c r="AB351" s="22"/>
      <c r="AC351" s="22"/>
      <c r="AD351" s="22"/>
    </row>
    <row r="352" spans="1:30" ht="15.75" customHeight="1" x14ac:dyDescent="0.15">
      <c r="A352" s="30">
        <v>348</v>
      </c>
      <c r="B352" s="31" t="s">
        <v>3409</v>
      </c>
      <c r="C352" s="32" t="s">
        <v>2645</v>
      </c>
      <c r="D352" s="30">
        <v>0</v>
      </c>
      <c r="E352" s="30">
        <v>2</v>
      </c>
      <c r="F352" s="33">
        <v>2</v>
      </c>
      <c r="G352" s="30">
        <v>2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0</v>
      </c>
      <c r="AB352" s="22"/>
      <c r="AC352" s="22"/>
      <c r="AD352" s="22"/>
    </row>
    <row r="353" spans="1:30" ht="15.75" customHeight="1" x14ac:dyDescent="0.15">
      <c r="A353" s="34">
        <v>348</v>
      </c>
      <c r="B353" s="35" t="s">
        <v>3410</v>
      </c>
      <c r="C353" s="58" t="s">
        <v>2645</v>
      </c>
      <c r="D353" s="34">
        <v>0</v>
      </c>
      <c r="E353" s="34">
        <v>2</v>
      </c>
      <c r="F353" s="33">
        <v>2</v>
      </c>
      <c r="G353" s="34">
        <v>2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4">
        <v>0</v>
      </c>
      <c r="U353" s="34">
        <v>0</v>
      </c>
      <c r="V353" s="34">
        <v>2</v>
      </c>
      <c r="W353" s="34">
        <v>0</v>
      </c>
      <c r="X353" s="34">
        <v>0</v>
      </c>
      <c r="Y353" s="34">
        <v>0</v>
      </c>
      <c r="Z353" s="22"/>
      <c r="AA353" s="22"/>
      <c r="AB353" s="22"/>
      <c r="AC353" s="22"/>
      <c r="AD353" s="22"/>
    </row>
    <row r="354" spans="1:30" ht="15.75" customHeight="1" x14ac:dyDescent="0.15">
      <c r="A354" s="30">
        <v>348</v>
      </c>
      <c r="B354" s="31" t="s">
        <v>3424</v>
      </c>
      <c r="C354" s="39" t="s">
        <v>2649</v>
      </c>
      <c r="D354" s="30">
        <v>0</v>
      </c>
      <c r="E354" s="30">
        <v>1</v>
      </c>
      <c r="F354" s="33">
        <v>2</v>
      </c>
      <c r="G354" s="30">
        <v>2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2</v>
      </c>
      <c r="W354" s="30">
        <v>0</v>
      </c>
      <c r="X354" s="30">
        <v>0</v>
      </c>
      <c r="Y354" s="30">
        <v>0</v>
      </c>
      <c r="Z354" s="22"/>
      <c r="AA354" s="22"/>
      <c r="AB354" s="22"/>
      <c r="AC354" s="22"/>
      <c r="AD354" s="22"/>
    </row>
    <row r="355" spans="1:30" ht="15.75" customHeight="1" x14ac:dyDescent="0.15">
      <c r="A355" s="34">
        <v>354</v>
      </c>
      <c r="B355" s="35" t="s">
        <v>3411</v>
      </c>
      <c r="C355" s="58" t="s">
        <v>2645</v>
      </c>
      <c r="D355" s="34">
        <v>0</v>
      </c>
      <c r="E355" s="34">
        <v>2</v>
      </c>
      <c r="F355" s="33">
        <v>1</v>
      </c>
      <c r="G355" s="34">
        <v>1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4">
        <v>0</v>
      </c>
      <c r="U355" s="34">
        <v>0</v>
      </c>
      <c r="V355" s="34">
        <v>1</v>
      </c>
      <c r="W355" s="34">
        <v>0</v>
      </c>
      <c r="X355" s="34">
        <v>0</v>
      </c>
      <c r="Y355" s="34">
        <v>0</v>
      </c>
      <c r="Z355" s="22"/>
      <c r="AA355" s="22"/>
      <c r="AB355" s="22"/>
      <c r="AC355" s="22"/>
      <c r="AD355" s="22"/>
    </row>
    <row r="356" spans="1:30" ht="15.75" customHeight="1" x14ac:dyDescent="0.15">
      <c r="A356" s="30">
        <v>354</v>
      </c>
      <c r="B356" s="31" t="s">
        <v>3412</v>
      </c>
      <c r="C356" s="46" t="s">
        <v>2648</v>
      </c>
      <c r="D356" s="30">
        <v>0</v>
      </c>
      <c r="E356" s="30">
        <v>2</v>
      </c>
      <c r="F356" s="33">
        <v>1</v>
      </c>
      <c r="G356" s="30">
        <v>1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0</v>
      </c>
      <c r="Z356" s="22"/>
      <c r="AA356" s="22"/>
      <c r="AB356" s="22"/>
      <c r="AC356" s="22"/>
      <c r="AD356" s="22"/>
    </row>
    <row r="357" spans="1:30" ht="15.75" customHeight="1" x14ac:dyDescent="0.15">
      <c r="A357" s="34">
        <v>354</v>
      </c>
      <c r="B357" s="35" t="s">
        <v>3413</v>
      </c>
      <c r="C357" s="40" t="s">
        <v>2650</v>
      </c>
      <c r="D357" s="34">
        <v>0</v>
      </c>
      <c r="E357" s="34">
        <v>1</v>
      </c>
      <c r="F357" s="33">
        <v>1</v>
      </c>
      <c r="G357" s="34">
        <v>1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4">
        <v>0</v>
      </c>
      <c r="U357" s="34">
        <v>0</v>
      </c>
      <c r="V357" s="34">
        <v>1</v>
      </c>
      <c r="W357" s="34">
        <v>0</v>
      </c>
      <c r="X357" s="34">
        <v>0</v>
      </c>
      <c r="Y357" s="34">
        <v>0</v>
      </c>
      <c r="Z357" s="22"/>
      <c r="AA357" s="22"/>
      <c r="AB357" s="22"/>
      <c r="AC357" s="22"/>
      <c r="AD357" s="22"/>
    </row>
    <row r="358" spans="1:30" ht="15.75" customHeight="1" x14ac:dyDescent="0.15">
      <c r="A358" s="30">
        <v>354</v>
      </c>
      <c r="B358" s="31" t="s">
        <v>3414</v>
      </c>
      <c r="C358" s="37" t="s">
        <v>2647</v>
      </c>
      <c r="D358" s="30">
        <v>0</v>
      </c>
      <c r="E358" s="30">
        <v>1</v>
      </c>
      <c r="F358" s="33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1</v>
      </c>
      <c r="T358" s="30">
        <v>0</v>
      </c>
      <c r="U358" s="30">
        <v>0</v>
      </c>
      <c r="V358" s="30">
        <v>0</v>
      </c>
      <c r="W358" s="30">
        <v>0</v>
      </c>
      <c r="X358" s="30">
        <v>1</v>
      </c>
      <c r="Y358" s="30">
        <v>0</v>
      </c>
      <c r="Z358" s="22"/>
      <c r="AA358" s="22"/>
      <c r="AB358" s="22"/>
      <c r="AC358" s="22"/>
      <c r="AD358" s="22"/>
    </row>
    <row r="359" spans="1:30" ht="15.75" customHeight="1" x14ac:dyDescent="0.15">
      <c r="A359" s="34">
        <v>354</v>
      </c>
      <c r="B359" s="35" t="s">
        <v>3415</v>
      </c>
      <c r="C359" s="40" t="s">
        <v>2650</v>
      </c>
      <c r="D359" s="34">
        <v>0</v>
      </c>
      <c r="E359" s="34">
        <v>1</v>
      </c>
      <c r="F359" s="33">
        <v>1</v>
      </c>
      <c r="G359" s="34">
        <v>1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4">
        <v>0</v>
      </c>
      <c r="U359" s="34">
        <v>0</v>
      </c>
      <c r="V359" s="34">
        <v>0</v>
      </c>
      <c r="W359" s="34">
        <v>0</v>
      </c>
      <c r="X359" s="34">
        <v>0</v>
      </c>
      <c r="Y359" s="34">
        <v>0</v>
      </c>
      <c r="Z359" s="22"/>
      <c r="AA359" s="22"/>
      <c r="AB359" s="22"/>
      <c r="AC359" s="22"/>
      <c r="AD359" s="22"/>
    </row>
    <row r="360" spans="1:30" ht="15.75" customHeight="1" x14ac:dyDescent="0.15">
      <c r="A360" s="30">
        <v>359</v>
      </c>
      <c r="B360" s="31" t="s">
        <v>3416</v>
      </c>
      <c r="C360" s="54" t="s">
        <v>2650</v>
      </c>
      <c r="D360" s="30">
        <v>0</v>
      </c>
      <c r="E360" s="30">
        <v>1</v>
      </c>
      <c r="F360" s="33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22"/>
      <c r="AA360" s="22"/>
      <c r="AB360" s="22"/>
      <c r="AC360" s="22"/>
      <c r="AD360" s="22"/>
    </row>
    <row r="361" spans="1:30" ht="15.75" customHeight="1" x14ac:dyDescent="0.15">
      <c r="A361" s="34">
        <v>359</v>
      </c>
      <c r="B361" s="35" t="s">
        <v>3417</v>
      </c>
      <c r="C361" s="51" t="s">
        <v>2655</v>
      </c>
      <c r="D361" s="34">
        <v>0</v>
      </c>
      <c r="E361" s="34">
        <v>1</v>
      </c>
      <c r="F361" s="33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4">
        <v>0</v>
      </c>
      <c r="U361" s="34">
        <v>0</v>
      </c>
      <c r="V361" s="34">
        <v>0</v>
      </c>
      <c r="W361" s="34">
        <v>0</v>
      </c>
      <c r="X361" s="34">
        <v>0</v>
      </c>
      <c r="Y361" s="34">
        <v>0</v>
      </c>
      <c r="Z361" s="22"/>
      <c r="AA361" s="22"/>
      <c r="AB361" s="22"/>
      <c r="AC361" s="22"/>
      <c r="AD361" s="22"/>
    </row>
    <row r="362" spans="1:30" ht="15.75" customHeight="1" x14ac:dyDescent="0.15">
      <c r="A362" s="22"/>
      <c r="B362" s="22"/>
      <c r="C362" s="22"/>
      <c r="D362" s="22"/>
      <c r="E362" s="22"/>
      <c r="F362" s="28"/>
      <c r="G362" s="28"/>
      <c r="H362" s="28"/>
      <c r="I362" s="28"/>
      <c r="J362" s="28"/>
      <c r="K362" s="28"/>
      <c r="L362" s="28"/>
      <c r="M362" s="22"/>
      <c r="N362" s="22"/>
      <c r="O362" s="22"/>
      <c r="P362" s="22"/>
      <c r="Q362" s="22"/>
      <c r="R362" s="28"/>
      <c r="S362" s="28"/>
      <c r="T362" s="28"/>
      <c r="U362" s="28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ht="15.75" customHeight="1" x14ac:dyDescent="0.15">
      <c r="A363" s="22"/>
      <c r="B363" s="22"/>
      <c r="C363" s="22"/>
      <c r="D363" s="22"/>
      <c r="E363" s="22"/>
      <c r="F363" s="28"/>
      <c r="G363" s="28"/>
      <c r="H363" s="28"/>
      <c r="I363" s="28"/>
      <c r="J363" s="28"/>
      <c r="K363" s="28"/>
      <c r="L363" s="28"/>
      <c r="M363" s="22"/>
      <c r="N363" s="22"/>
      <c r="O363" s="22"/>
      <c r="P363" s="22"/>
      <c r="Q363" s="22"/>
      <c r="R363" s="28"/>
      <c r="S363" s="28"/>
      <c r="T363" s="28"/>
      <c r="U363" s="28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ht="15.75" customHeight="1" x14ac:dyDescent="0.15">
      <c r="A364" s="22"/>
      <c r="B364" s="22"/>
      <c r="C364" s="22"/>
      <c r="D364" s="22"/>
      <c r="E364" s="22"/>
      <c r="F364" s="28"/>
      <c r="G364" s="28"/>
      <c r="H364" s="28"/>
      <c r="I364" s="28"/>
      <c r="J364" s="28"/>
      <c r="K364" s="28"/>
      <c r="L364" s="28"/>
      <c r="M364" s="22"/>
      <c r="N364" s="22"/>
      <c r="O364" s="22"/>
      <c r="P364" s="22"/>
      <c r="Q364" s="22"/>
      <c r="R364" s="28"/>
      <c r="S364" s="28"/>
      <c r="T364" s="28"/>
      <c r="U364" s="28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ht="15.75" customHeight="1" x14ac:dyDescent="0.15">
      <c r="A365" s="22"/>
      <c r="B365" s="22"/>
      <c r="C365" s="22"/>
      <c r="D365" s="22"/>
      <c r="E365" s="22"/>
      <c r="F365" s="28"/>
      <c r="G365" s="28"/>
      <c r="H365" s="28"/>
      <c r="I365" s="28"/>
      <c r="J365" s="28"/>
      <c r="K365" s="28"/>
      <c r="L365" s="28"/>
      <c r="M365" s="22"/>
      <c r="N365" s="22"/>
      <c r="O365" s="22"/>
      <c r="P365" s="22"/>
      <c r="Q365" s="22"/>
      <c r="R365" s="28"/>
      <c r="S365" s="28"/>
      <c r="T365" s="28"/>
      <c r="U365" s="28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ht="15.75" customHeight="1" x14ac:dyDescent="0.15">
      <c r="A366" s="22"/>
      <c r="B366" s="22"/>
      <c r="C366" s="22"/>
      <c r="D366" s="22"/>
      <c r="E366" s="22"/>
      <c r="F366" s="28"/>
      <c r="G366" s="28"/>
      <c r="H366" s="28"/>
      <c r="I366" s="28"/>
      <c r="J366" s="28"/>
      <c r="K366" s="28"/>
      <c r="L366" s="28"/>
      <c r="M366" s="22"/>
      <c r="N366" s="22"/>
      <c r="O366" s="22"/>
      <c r="P366" s="22"/>
      <c r="Q366" s="22"/>
      <c r="R366" s="28"/>
      <c r="S366" s="28"/>
      <c r="T366" s="28"/>
      <c r="U366" s="28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ht="15.75" customHeight="1" x14ac:dyDescent="0.15">
      <c r="A367" s="22"/>
      <c r="B367" s="22"/>
      <c r="C367" s="22"/>
      <c r="D367" s="22"/>
      <c r="E367" s="22"/>
      <c r="F367" s="28"/>
      <c r="G367" s="28"/>
      <c r="H367" s="28"/>
      <c r="I367" s="28"/>
      <c r="J367" s="28"/>
      <c r="K367" s="28"/>
      <c r="L367" s="28"/>
      <c r="M367" s="22"/>
      <c r="N367" s="22"/>
      <c r="O367" s="22"/>
      <c r="P367" s="22"/>
      <c r="Q367" s="22"/>
      <c r="R367" s="28"/>
      <c r="S367" s="28"/>
      <c r="T367" s="28"/>
      <c r="U367" s="28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ht="15.75" customHeight="1" x14ac:dyDescent="0.15">
      <c r="A368" s="22"/>
      <c r="B368" s="22"/>
      <c r="C368" s="22"/>
      <c r="D368" s="22"/>
      <c r="E368" s="22"/>
      <c r="F368" s="28"/>
      <c r="G368" s="28"/>
      <c r="H368" s="28"/>
      <c r="I368" s="28"/>
      <c r="J368" s="28"/>
      <c r="K368" s="28"/>
      <c r="L368" s="28"/>
      <c r="M368" s="22"/>
      <c r="N368" s="22"/>
      <c r="O368" s="22"/>
      <c r="P368" s="22"/>
      <c r="Q368" s="22"/>
      <c r="R368" s="28"/>
      <c r="S368" s="28"/>
      <c r="T368" s="28"/>
      <c r="U368" s="28"/>
      <c r="V368" s="22"/>
      <c r="W368" s="22"/>
      <c r="X368" s="22"/>
      <c r="Y368" s="22"/>
      <c r="Z368" s="22"/>
      <c r="AA368" s="22"/>
      <c r="AB368" s="22"/>
      <c r="AC368" s="22"/>
      <c r="AD368" s="22"/>
    </row>
    <row r="369" spans="1:30" ht="15.75" customHeight="1" x14ac:dyDescent="0.15">
      <c r="A369" s="22"/>
      <c r="B369" s="22"/>
      <c r="C369" s="22"/>
      <c r="D369" s="22"/>
      <c r="E369" s="22"/>
      <c r="F369" s="28"/>
      <c r="G369" s="28"/>
      <c r="H369" s="28"/>
      <c r="I369" s="28"/>
      <c r="J369" s="28"/>
      <c r="K369" s="28"/>
      <c r="L369" s="28"/>
      <c r="M369" s="22"/>
      <c r="N369" s="22"/>
      <c r="O369" s="22"/>
      <c r="P369" s="22"/>
      <c r="Q369" s="22"/>
      <c r="R369" s="28"/>
      <c r="S369" s="28"/>
      <c r="T369" s="28"/>
      <c r="U369" s="28"/>
      <c r="V369" s="22"/>
      <c r="W369" s="22"/>
      <c r="X369" s="22"/>
      <c r="Y369" s="22"/>
      <c r="Z369" s="22"/>
      <c r="AA369" s="22"/>
      <c r="AB369" s="22"/>
      <c r="AC369" s="22"/>
      <c r="AD369" s="22"/>
    </row>
    <row r="370" spans="1:30" ht="15.75" customHeight="1" x14ac:dyDescent="0.15">
      <c r="A370" s="22"/>
      <c r="B370" s="22"/>
      <c r="C370" s="22"/>
      <c r="D370" s="22"/>
      <c r="E370" s="22"/>
      <c r="F370" s="28"/>
      <c r="G370" s="28"/>
      <c r="H370" s="28"/>
      <c r="I370" s="28"/>
      <c r="J370" s="28"/>
      <c r="K370" s="28"/>
      <c r="L370" s="28"/>
      <c r="M370" s="22"/>
      <c r="N370" s="22"/>
      <c r="O370" s="22"/>
      <c r="P370" s="22"/>
      <c r="Q370" s="22"/>
      <c r="R370" s="28"/>
      <c r="S370" s="28"/>
      <c r="T370" s="28"/>
      <c r="U370" s="28"/>
      <c r="V370" s="22"/>
      <c r="W370" s="22"/>
      <c r="X370" s="22"/>
      <c r="Y370" s="22"/>
      <c r="Z370" s="22"/>
      <c r="AA370" s="22"/>
      <c r="AB370" s="22"/>
      <c r="AC370" s="22"/>
      <c r="AD370" s="22"/>
    </row>
    <row r="371" spans="1:30" ht="15.75" customHeight="1" x14ac:dyDescent="0.15">
      <c r="A371" s="22"/>
      <c r="B371" s="22"/>
      <c r="C371" s="22"/>
      <c r="D371" s="22"/>
      <c r="E371" s="22"/>
      <c r="F371" s="28"/>
      <c r="G371" s="28"/>
      <c r="H371" s="28"/>
      <c r="I371" s="28"/>
      <c r="J371" s="28"/>
      <c r="K371" s="28"/>
      <c r="L371" s="28"/>
      <c r="M371" s="22"/>
      <c r="N371" s="22"/>
      <c r="O371" s="22"/>
      <c r="P371" s="22"/>
      <c r="Q371" s="22"/>
      <c r="R371" s="28"/>
      <c r="S371" s="28"/>
      <c r="T371" s="28"/>
      <c r="U371" s="28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ht="15.75" customHeight="1" x14ac:dyDescent="0.15">
      <c r="A372" s="22"/>
      <c r="B372" s="22"/>
      <c r="C372" s="22"/>
      <c r="D372" s="22"/>
      <c r="E372" s="22"/>
      <c r="F372" s="28"/>
      <c r="G372" s="28"/>
      <c r="H372" s="28"/>
      <c r="I372" s="28"/>
      <c r="J372" s="28"/>
      <c r="K372" s="28"/>
      <c r="L372" s="28"/>
      <c r="M372" s="22"/>
      <c r="N372" s="22"/>
      <c r="O372" s="22"/>
      <c r="P372" s="22"/>
      <c r="Q372" s="22"/>
      <c r="R372" s="28"/>
      <c r="S372" s="28"/>
      <c r="T372" s="28"/>
      <c r="U372" s="28"/>
      <c r="V372" s="22"/>
      <c r="W372" s="22"/>
      <c r="X372" s="22"/>
      <c r="Y372" s="22"/>
      <c r="Z372" s="22"/>
      <c r="AA372" s="22"/>
      <c r="AB372" s="22"/>
      <c r="AC372" s="22"/>
      <c r="AD372" s="22"/>
    </row>
    <row r="373" spans="1:30" ht="15.75" customHeight="1" x14ac:dyDescent="0.15">
      <c r="A373" s="22"/>
      <c r="B373" s="22"/>
      <c r="C373" s="22"/>
      <c r="D373" s="22"/>
      <c r="E373" s="22"/>
      <c r="F373" s="28"/>
      <c r="G373" s="28"/>
      <c r="H373" s="28"/>
      <c r="I373" s="28"/>
      <c r="J373" s="28"/>
      <c r="K373" s="28"/>
      <c r="L373" s="28"/>
      <c r="M373" s="22"/>
      <c r="N373" s="22"/>
      <c r="O373" s="22"/>
      <c r="P373" s="22"/>
      <c r="Q373" s="22"/>
      <c r="R373" s="28"/>
      <c r="S373" s="28"/>
      <c r="T373" s="28"/>
      <c r="U373" s="28"/>
      <c r="V373" s="22"/>
      <c r="W373" s="22"/>
      <c r="X373" s="22"/>
      <c r="Y373" s="22"/>
      <c r="Z373" s="22"/>
      <c r="AA373" s="22"/>
      <c r="AB373" s="22"/>
      <c r="AC373" s="22"/>
      <c r="AD373" s="22"/>
    </row>
    <row r="374" spans="1:30" ht="15.75" customHeight="1" x14ac:dyDescent="0.15">
      <c r="A374" s="22"/>
      <c r="B374" s="22"/>
      <c r="C374" s="22"/>
      <c r="D374" s="22"/>
      <c r="E374" s="22"/>
      <c r="F374" s="28"/>
      <c r="G374" s="28"/>
      <c r="H374" s="28"/>
      <c r="I374" s="28"/>
      <c r="J374" s="28"/>
      <c r="K374" s="28"/>
      <c r="L374" s="28"/>
      <c r="M374" s="22"/>
      <c r="N374" s="22"/>
      <c r="O374" s="22"/>
      <c r="P374" s="22"/>
      <c r="Q374" s="22"/>
      <c r="R374" s="28"/>
      <c r="S374" s="28"/>
      <c r="T374" s="28"/>
      <c r="U374" s="28"/>
      <c r="V374" s="22"/>
      <c r="W374" s="22"/>
      <c r="X374" s="22"/>
      <c r="Y374" s="22"/>
      <c r="Z374" s="22"/>
      <c r="AA374" s="22"/>
      <c r="AB374" s="22"/>
      <c r="AC374" s="22"/>
      <c r="AD374" s="22"/>
    </row>
    <row r="375" spans="1:30" ht="15.75" customHeight="1" x14ac:dyDescent="0.15">
      <c r="A375" s="22"/>
      <c r="B375" s="22"/>
      <c r="C375" s="22"/>
      <c r="D375" s="22"/>
      <c r="E375" s="22"/>
      <c r="F375" s="28"/>
      <c r="G375" s="28"/>
      <c r="H375" s="28"/>
      <c r="I375" s="28"/>
      <c r="J375" s="28"/>
      <c r="K375" s="28"/>
      <c r="L375" s="28"/>
      <c r="M375" s="22"/>
      <c r="N375" s="22"/>
      <c r="O375" s="22"/>
      <c r="P375" s="22"/>
      <c r="Q375" s="22"/>
      <c r="R375" s="28"/>
      <c r="S375" s="28"/>
      <c r="T375" s="28"/>
      <c r="U375" s="28"/>
      <c r="V375" s="22"/>
      <c r="W375" s="22"/>
      <c r="X375" s="22"/>
      <c r="Y375" s="22"/>
      <c r="Z375" s="22"/>
      <c r="AA375" s="22"/>
      <c r="AB375" s="22"/>
      <c r="AC375" s="22"/>
      <c r="AD375" s="22"/>
    </row>
    <row r="376" spans="1:30" ht="15.75" customHeight="1" x14ac:dyDescent="0.15">
      <c r="A376" s="22"/>
      <c r="B376" s="22"/>
      <c r="C376" s="22"/>
      <c r="D376" s="22"/>
      <c r="E376" s="22"/>
      <c r="F376" s="28"/>
      <c r="G376" s="28"/>
      <c r="H376" s="28"/>
      <c r="I376" s="28"/>
      <c r="J376" s="28"/>
      <c r="K376" s="28"/>
      <c r="L376" s="28"/>
      <c r="M376" s="22"/>
      <c r="N376" s="22"/>
      <c r="O376" s="22"/>
      <c r="P376" s="22"/>
      <c r="Q376" s="22"/>
      <c r="R376" s="28"/>
      <c r="S376" s="28"/>
      <c r="T376" s="28"/>
      <c r="U376" s="28"/>
      <c r="V376" s="22"/>
      <c r="W376" s="22"/>
      <c r="X376" s="22"/>
      <c r="Y376" s="22"/>
      <c r="Z376" s="22"/>
      <c r="AA376" s="22"/>
      <c r="AB376" s="22"/>
      <c r="AC376" s="22"/>
      <c r="AD376" s="22"/>
    </row>
    <row r="377" spans="1:30" ht="15.75" customHeight="1" x14ac:dyDescent="0.15">
      <c r="A377" s="22"/>
      <c r="B377" s="22"/>
      <c r="C377" s="22"/>
      <c r="D377" s="22"/>
      <c r="E377" s="22"/>
      <c r="F377" s="28"/>
      <c r="G377" s="28"/>
      <c r="H377" s="28"/>
      <c r="I377" s="28"/>
      <c r="J377" s="28"/>
      <c r="K377" s="28"/>
      <c r="L377" s="28"/>
      <c r="M377" s="22"/>
      <c r="N377" s="22"/>
      <c r="O377" s="22"/>
      <c r="P377" s="22"/>
      <c r="Q377" s="22"/>
      <c r="R377" s="28"/>
      <c r="S377" s="28"/>
      <c r="T377" s="28"/>
      <c r="U377" s="28"/>
      <c r="V377" s="22"/>
      <c r="W377" s="22"/>
      <c r="X377" s="22"/>
      <c r="Y377" s="22"/>
      <c r="Z377" s="22"/>
      <c r="AA377" s="22"/>
      <c r="AB377" s="22"/>
      <c r="AC377" s="22"/>
      <c r="AD377" s="22"/>
    </row>
    <row r="378" spans="1:30" ht="15.75" customHeight="1" x14ac:dyDescent="0.15">
      <c r="A378" s="22"/>
      <c r="B378" s="22"/>
      <c r="C378" s="22"/>
      <c r="D378" s="22"/>
      <c r="E378" s="22"/>
      <c r="F378" s="28"/>
      <c r="G378" s="28"/>
      <c r="H378" s="28"/>
      <c r="I378" s="28"/>
      <c r="J378" s="28"/>
      <c r="K378" s="28"/>
      <c r="L378" s="28"/>
      <c r="M378" s="22"/>
      <c r="N378" s="22"/>
      <c r="O378" s="22"/>
      <c r="P378" s="22"/>
      <c r="Q378" s="22"/>
      <c r="R378" s="28"/>
      <c r="S378" s="28"/>
      <c r="T378" s="28"/>
      <c r="U378" s="28"/>
      <c r="V378" s="22"/>
      <c r="W378" s="22"/>
      <c r="X378" s="22"/>
      <c r="Y378" s="22"/>
      <c r="Z378" s="22"/>
      <c r="AA378" s="22"/>
      <c r="AB378" s="22"/>
      <c r="AC378" s="22"/>
      <c r="AD378" s="22"/>
    </row>
    <row r="379" spans="1:30" ht="15.75" customHeight="1" x14ac:dyDescent="0.15">
      <c r="A379" s="22"/>
      <c r="B379" s="22"/>
      <c r="C379" s="22"/>
      <c r="D379" s="22"/>
      <c r="E379" s="22"/>
      <c r="F379" s="28"/>
      <c r="G379" s="28"/>
      <c r="H379" s="28"/>
      <c r="I379" s="28"/>
      <c r="J379" s="28"/>
      <c r="K379" s="28"/>
      <c r="L379" s="28"/>
      <c r="M379" s="22"/>
      <c r="N379" s="22"/>
      <c r="O379" s="22"/>
      <c r="P379" s="22"/>
      <c r="Q379" s="22"/>
      <c r="R379" s="28"/>
      <c r="S379" s="28"/>
      <c r="T379" s="28"/>
      <c r="U379" s="28"/>
      <c r="V379" s="22"/>
      <c r="W379" s="22"/>
      <c r="X379" s="22"/>
      <c r="Y379" s="22"/>
      <c r="Z379" s="22"/>
      <c r="AA379" s="22"/>
      <c r="AB379" s="22"/>
      <c r="AC379" s="22"/>
      <c r="AD379" s="22"/>
    </row>
    <row r="380" spans="1:30" ht="15.75" customHeight="1" x14ac:dyDescent="0.15">
      <c r="A380" s="22"/>
      <c r="B380" s="22"/>
      <c r="C380" s="22"/>
      <c r="D380" s="22"/>
      <c r="E380" s="22"/>
      <c r="F380" s="28"/>
      <c r="G380" s="28"/>
      <c r="H380" s="28"/>
      <c r="I380" s="28"/>
      <c r="J380" s="28"/>
      <c r="K380" s="28"/>
      <c r="L380" s="28"/>
      <c r="M380" s="22"/>
      <c r="N380" s="22"/>
      <c r="O380" s="22"/>
      <c r="P380" s="22"/>
      <c r="Q380" s="22"/>
      <c r="R380" s="28"/>
      <c r="S380" s="28"/>
      <c r="T380" s="28"/>
      <c r="U380" s="28"/>
      <c r="V380" s="22"/>
      <c r="W380" s="22"/>
      <c r="X380" s="22"/>
      <c r="Y380" s="22"/>
      <c r="Z380" s="22"/>
      <c r="AA380" s="22"/>
      <c r="AB380" s="22"/>
      <c r="AC380" s="22"/>
      <c r="AD380" s="22"/>
    </row>
    <row r="381" spans="1:30" ht="15.75" customHeight="1" x14ac:dyDescent="0.15">
      <c r="A381" s="22"/>
      <c r="B381" s="22"/>
      <c r="C381" s="22"/>
      <c r="D381" s="22"/>
      <c r="E381" s="22"/>
      <c r="F381" s="28"/>
      <c r="G381" s="28"/>
      <c r="H381" s="28"/>
      <c r="I381" s="28"/>
      <c r="J381" s="28"/>
      <c r="K381" s="28"/>
      <c r="L381" s="28"/>
      <c r="M381" s="22"/>
      <c r="N381" s="22"/>
      <c r="O381" s="22"/>
      <c r="P381" s="22"/>
      <c r="Q381" s="22"/>
      <c r="R381" s="28"/>
      <c r="S381" s="28"/>
      <c r="T381" s="28"/>
      <c r="U381" s="28"/>
      <c r="V381" s="22"/>
      <c r="W381" s="22"/>
      <c r="X381" s="22"/>
      <c r="Y381" s="22"/>
      <c r="Z381" s="22"/>
      <c r="AA381" s="22"/>
      <c r="AB381" s="22"/>
      <c r="AC381" s="22"/>
      <c r="AD381" s="22"/>
    </row>
    <row r="382" spans="1:30" ht="15.75" customHeight="1" x14ac:dyDescent="0.15">
      <c r="A382" s="22"/>
      <c r="B382" s="22"/>
      <c r="C382" s="22"/>
      <c r="D382" s="22"/>
      <c r="E382" s="22"/>
      <c r="F382" s="28"/>
      <c r="G382" s="28"/>
      <c r="H382" s="28"/>
      <c r="I382" s="28"/>
      <c r="J382" s="28"/>
      <c r="K382" s="28"/>
      <c r="L382" s="28"/>
      <c r="M382" s="22"/>
      <c r="N382" s="22"/>
      <c r="O382" s="22"/>
      <c r="P382" s="22"/>
      <c r="Q382" s="22"/>
      <c r="R382" s="28"/>
      <c r="S382" s="28"/>
      <c r="T382" s="28"/>
      <c r="U382" s="28"/>
      <c r="V382" s="22"/>
      <c r="W382" s="22"/>
      <c r="X382" s="22"/>
      <c r="Y382" s="22"/>
      <c r="Z382" s="22"/>
      <c r="AA382" s="22"/>
      <c r="AB382" s="22"/>
      <c r="AC382" s="22"/>
      <c r="AD382" s="22"/>
    </row>
    <row r="383" spans="1:30" ht="15.75" customHeight="1" x14ac:dyDescent="0.15">
      <c r="A383" s="22"/>
      <c r="B383" s="22"/>
      <c r="C383" s="22"/>
      <c r="D383" s="22"/>
      <c r="E383" s="22"/>
      <c r="F383" s="28"/>
      <c r="G383" s="28"/>
      <c r="H383" s="28"/>
      <c r="I383" s="28"/>
      <c r="J383" s="28"/>
      <c r="K383" s="28"/>
      <c r="L383" s="28"/>
      <c r="M383" s="22"/>
      <c r="N383" s="22"/>
      <c r="O383" s="22"/>
      <c r="P383" s="22"/>
      <c r="Q383" s="22"/>
      <c r="R383" s="28"/>
      <c r="S383" s="28"/>
      <c r="T383" s="28"/>
      <c r="U383" s="28"/>
      <c r="V383" s="22"/>
      <c r="W383" s="22"/>
      <c r="X383" s="22"/>
      <c r="Y383" s="22"/>
      <c r="Z383" s="22"/>
      <c r="AA383" s="22"/>
      <c r="AB383" s="22"/>
      <c r="AC383" s="22"/>
      <c r="AD383" s="22"/>
    </row>
    <row r="384" spans="1:30" ht="15.75" customHeight="1" x14ac:dyDescent="0.15">
      <c r="A384" s="22"/>
      <c r="B384" s="22"/>
      <c r="C384" s="22"/>
      <c r="D384" s="22"/>
      <c r="E384" s="22"/>
      <c r="F384" s="28"/>
      <c r="G384" s="28"/>
      <c r="H384" s="28"/>
      <c r="I384" s="28"/>
      <c r="J384" s="28"/>
      <c r="K384" s="28"/>
      <c r="L384" s="28"/>
      <c r="M384" s="22"/>
      <c r="N384" s="22"/>
      <c r="O384" s="22"/>
      <c r="P384" s="22"/>
      <c r="Q384" s="22"/>
      <c r="R384" s="28"/>
      <c r="S384" s="28"/>
      <c r="T384" s="28"/>
      <c r="U384" s="28"/>
      <c r="V384" s="22"/>
      <c r="W384" s="22"/>
      <c r="X384" s="22"/>
      <c r="Y384" s="22"/>
      <c r="Z384" s="22"/>
      <c r="AA384" s="22"/>
      <c r="AB384" s="22"/>
      <c r="AC384" s="22"/>
      <c r="AD384" s="22"/>
    </row>
    <row r="385" spans="1:30" ht="15.75" customHeight="1" x14ac:dyDescent="0.15">
      <c r="A385" s="22"/>
      <c r="B385" s="22"/>
      <c r="C385" s="22"/>
      <c r="D385" s="22"/>
      <c r="E385" s="22"/>
      <c r="F385" s="28"/>
      <c r="G385" s="28"/>
      <c r="H385" s="28"/>
      <c r="I385" s="28"/>
      <c r="J385" s="28"/>
      <c r="K385" s="28"/>
      <c r="L385" s="28"/>
      <c r="M385" s="22"/>
      <c r="N385" s="22"/>
      <c r="O385" s="22"/>
      <c r="P385" s="22"/>
      <c r="Q385" s="22"/>
      <c r="R385" s="28"/>
      <c r="S385" s="28"/>
      <c r="T385" s="28"/>
      <c r="U385" s="28"/>
      <c r="V385" s="22"/>
      <c r="W385" s="22"/>
      <c r="X385" s="22"/>
      <c r="Y385" s="22"/>
      <c r="Z385" s="22"/>
      <c r="AA385" s="22"/>
      <c r="AB385" s="22"/>
      <c r="AC385" s="22"/>
      <c r="AD385" s="22"/>
    </row>
    <row r="386" spans="1:30" ht="15.75" customHeight="1" x14ac:dyDescent="0.15">
      <c r="A386" s="22"/>
      <c r="B386" s="22"/>
      <c r="C386" s="22"/>
      <c r="D386" s="22"/>
      <c r="E386" s="22"/>
      <c r="F386" s="28"/>
      <c r="G386" s="28"/>
      <c r="H386" s="28"/>
      <c r="I386" s="28"/>
      <c r="J386" s="28"/>
      <c r="K386" s="28"/>
      <c r="L386" s="28"/>
      <c r="M386" s="22"/>
      <c r="N386" s="22"/>
      <c r="O386" s="22"/>
      <c r="P386" s="22"/>
      <c r="Q386" s="22"/>
      <c r="R386" s="28"/>
      <c r="S386" s="28"/>
      <c r="T386" s="28"/>
      <c r="U386" s="28"/>
      <c r="V386" s="22"/>
      <c r="W386" s="22"/>
      <c r="X386" s="22"/>
      <c r="Y386" s="22"/>
      <c r="Z386" s="22"/>
      <c r="AA386" s="22"/>
      <c r="AB386" s="22"/>
      <c r="AC386" s="22"/>
      <c r="AD386" s="22"/>
    </row>
    <row r="387" spans="1:30" ht="15.75" customHeight="1" x14ac:dyDescent="0.15">
      <c r="A387" s="22"/>
      <c r="B387" s="22"/>
      <c r="C387" s="22"/>
      <c r="D387" s="22"/>
      <c r="E387" s="22"/>
      <c r="F387" s="28"/>
      <c r="G387" s="28"/>
      <c r="H387" s="28"/>
      <c r="I387" s="28"/>
      <c r="J387" s="28"/>
      <c r="K387" s="28"/>
      <c r="L387" s="28"/>
      <c r="M387" s="22"/>
      <c r="N387" s="22"/>
      <c r="O387" s="22"/>
      <c r="P387" s="22"/>
      <c r="Q387" s="22"/>
      <c r="R387" s="28"/>
      <c r="S387" s="28"/>
      <c r="T387" s="28"/>
      <c r="U387" s="28"/>
      <c r="V387" s="22"/>
      <c r="W387" s="22"/>
      <c r="X387" s="22"/>
      <c r="Y387" s="22"/>
      <c r="Z387" s="22"/>
      <c r="AA387" s="22"/>
      <c r="AB387" s="22"/>
      <c r="AC387" s="22"/>
      <c r="AD387" s="22"/>
    </row>
    <row r="388" spans="1:30" ht="15.75" customHeight="1" x14ac:dyDescent="0.15">
      <c r="A388" s="22"/>
      <c r="B388" s="22"/>
      <c r="C388" s="22"/>
      <c r="D388" s="22"/>
      <c r="E388" s="22"/>
      <c r="F388" s="28"/>
      <c r="G388" s="28"/>
      <c r="H388" s="28"/>
      <c r="I388" s="28"/>
      <c r="J388" s="28"/>
      <c r="K388" s="28"/>
      <c r="L388" s="28"/>
      <c r="M388" s="22"/>
      <c r="N388" s="22"/>
      <c r="O388" s="22"/>
      <c r="P388" s="22"/>
      <c r="Q388" s="22"/>
      <c r="R388" s="28"/>
      <c r="S388" s="28"/>
      <c r="T388" s="28"/>
      <c r="U388" s="28"/>
      <c r="V388" s="22"/>
      <c r="W388" s="22"/>
      <c r="X388" s="22"/>
      <c r="Y388" s="22"/>
      <c r="Z388" s="22"/>
      <c r="AA388" s="22"/>
      <c r="AB388" s="22"/>
      <c r="AC388" s="22"/>
      <c r="AD388" s="22"/>
    </row>
    <row r="389" spans="1:30" ht="15.75" customHeight="1" x14ac:dyDescent="0.15">
      <c r="A389" s="22"/>
      <c r="B389" s="22"/>
      <c r="C389" s="22"/>
      <c r="D389" s="22"/>
      <c r="E389" s="22"/>
      <c r="F389" s="28"/>
      <c r="G389" s="28"/>
      <c r="H389" s="28"/>
      <c r="I389" s="28"/>
      <c r="J389" s="28"/>
      <c r="K389" s="28"/>
      <c r="L389" s="28"/>
      <c r="M389" s="22"/>
      <c r="N389" s="22"/>
      <c r="O389" s="22"/>
      <c r="P389" s="22"/>
      <c r="Q389" s="22"/>
      <c r="R389" s="28"/>
      <c r="S389" s="28"/>
      <c r="T389" s="28"/>
      <c r="U389" s="28"/>
      <c r="V389" s="22"/>
      <c r="W389" s="22"/>
      <c r="X389" s="22"/>
      <c r="Y389" s="22"/>
      <c r="Z389" s="22"/>
      <c r="AA389" s="22"/>
      <c r="AB389" s="22"/>
      <c r="AC389" s="22"/>
      <c r="AD389" s="22"/>
    </row>
    <row r="390" spans="1:30" ht="15.75" customHeight="1" x14ac:dyDescent="0.15">
      <c r="A390" s="22"/>
      <c r="B390" s="22"/>
      <c r="C390" s="22"/>
      <c r="D390" s="22"/>
      <c r="E390" s="22"/>
      <c r="F390" s="28"/>
      <c r="G390" s="28"/>
      <c r="H390" s="28"/>
      <c r="I390" s="28"/>
      <c r="J390" s="28"/>
      <c r="K390" s="28"/>
      <c r="L390" s="28"/>
      <c r="M390" s="22"/>
      <c r="N390" s="22"/>
      <c r="O390" s="22"/>
      <c r="P390" s="22"/>
      <c r="Q390" s="22"/>
      <c r="R390" s="28"/>
      <c r="S390" s="28"/>
      <c r="T390" s="28"/>
      <c r="U390" s="28"/>
      <c r="V390" s="22"/>
      <c r="W390" s="22"/>
      <c r="X390" s="22"/>
      <c r="Y390" s="22"/>
      <c r="Z390" s="22"/>
      <c r="AA390" s="22"/>
      <c r="AB390" s="22"/>
      <c r="AC390" s="22"/>
      <c r="AD390" s="22"/>
    </row>
    <row r="391" spans="1:30" ht="15.75" customHeight="1" x14ac:dyDescent="0.15">
      <c r="A391" s="22"/>
      <c r="B391" s="22"/>
      <c r="C391" s="22"/>
      <c r="D391" s="22"/>
      <c r="E391" s="22"/>
      <c r="F391" s="28"/>
      <c r="G391" s="28"/>
      <c r="H391" s="28"/>
      <c r="I391" s="28"/>
      <c r="J391" s="28"/>
      <c r="K391" s="28"/>
      <c r="L391" s="28"/>
      <c r="M391" s="22"/>
      <c r="N391" s="22"/>
      <c r="O391" s="22"/>
      <c r="P391" s="22"/>
      <c r="Q391" s="22"/>
      <c r="R391" s="28"/>
      <c r="S391" s="28"/>
      <c r="T391" s="28"/>
      <c r="U391" s="28"/>
      <c r="V391" s="22"/>
      <c r="W391" s="22"/>
      <c r="X391" s="22"/>
      <c r="Y391" s="22"/>
      <c r="Z391" s="22"/>
      <c r="AA391" s="22"/>
      <c r="AB391" s="22"/>
      <c r="AC391" s="22"/>
      <c r="AD391" s="22"/>
    </row>
    <row r="392" spans="1:30" ht="15.75" customHeight="1" x14ac:dyDescent="0.15">
      <c r="A392" s="22"/>
      <c r="B392" s="22"/>
      <c r="C392" s="22"/>
      <c r="D392" s="22"/>
      <c r="E392" s="22"/>
      <c r="F392" s="28"/>
      <c r="G392" s="28"/>
      <c r="H392" s="28"/>
      <c r="I392" s="28"/>
      <c r="J392" s="28"/>
      <c r="K392" s="28"/>
      <c r="L392" s="28"/>
      <c r="M392" s="22"/>
      <c r="N392" s="22"/>
      <c r="O392" s="22"/>
      <c r="P392" s="22"/>
      <c r="Q392" s="22"/>
      <c r="R392" s="28"/>
      <c r="S392" s="28"/>
      <c r="T392" s="28"/>
      <c r="U392" s="28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ht="15.75" customHeight="1" x14ac:dyDescent="0.15">
      <c r="A393" s="22"/>
      <c r="B393" s="22"/>
      <c r="C393" s="22"/>
      <c r="D393" s="22"/>
      <c r="E393" s="22"/>
      <c r="F393" s="28"/>
      <c r="G393" s="28"/>
      <c r="H393" s="28"/>
      <c r="I393" s="28"/>
      <c r="J393" s="28"/>
      <c r="K393" s="28"/>
      <c r="L393" s="28"/>
      <c r="M393" s="22"/>
      <c r="N393" s="22"/>
      <c r="O393" s="22"/>
      <c r="P393" s="22"/>
      <c r="Q393" s="22"/>
      <c r="R393" s="28"/>
      <c r="S393" s="28"/>
      <c r="T393" s="28"/>
      <c r="U393" s="28"/>
      <c r="V393" s="22"/>
      <c r="W393" s="22"/>
      <c r="X393" s="22"/>
      <c r="Y393" s="22"/>
      <c r="Z393" s="22"/>
      <c r="AA393" s="22"/>
      <c r="AB393" s="22"/>
      <c r="AC393" s="22"/>
      <c r="AD393" s="22"/>
    </row>
    <row r="394" spans="1:30" ht="15.75" customHeight="1" x14ac:dyDescent="0.15">
      <c r="A394" s="22"/>
      <c r="B394" s="22"/>
      <c r="C394" s="22"/>
      <c r="D394" s="22"/>
      <c r="E394" s="22"/>
      <c r="F394" s="28"/>
      <c r="G394" s="28"/>
      <c r="H394" s="28"/>
      <c r="I394" s="28"/>
      <c r="J394" s="28"/>
      <c r="K394" s="28"/>
      <c r="L394" s="28"/>
      <c r="M394" s="22"/>
      <c r="N394" s="22"/>
      <c r="O394" s="22"/>
      <c r="P394" s="22"/>
      <c r="Q394" s="22"/>
      <c r="R394" s="28"/>
      <c r="S394" s="28"/>
      <c r="T394" s="28"/>
      <c r="U394" s="28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ht="15.75" customHeight="1" x14ac:dyDescent="0.15">
      <c r="A395" s="22"/>
      <c r="B395" s="22"/>
      <c r="C395" s="22"/>
      <c r="D395" s="22"/>
      <c r="E395" s="22"/>
      <c r="F395" s="28"/>
      <c r="G395" s="28"/>
      <c r="H395" s="28"/>
      <c r="I395" s="28"/>
      <c r="J395" s="28"/>
      <c r="K395" s="28"/>
      <c r="L395" s="28"/>
      <c r="M395" s="22"/>
      <c r="N395" s="22"/>
      <c r="O395" s="22"/>
      <c r="P395" s="22"/>
      <c r="Q395" s="22"/>
      <c r="R395" s="28"/>
      <c r="S395" s="28"/>
      <c r="T395" s="28"/>
      <c r="U395" s="28"/>
      <c r="V395" s="22"/>
      <c r="W395" s="22"/>
      <c r="X395" s="22"/>
      <c r="Y395" s="22"/>
      <c r="Z395" s="22"/>
      <c r="AA395" s="22"/>
      <c r="AB395" s="22"/>
      <c r="AC395" s="22"/>
      <c r="AD395" s="22"/>
    </row>
    <row r="396" spans="1:30" ht="15.75" customHeight="1" x14ac:dyDescent="0.15">
      <c r="A396" s="22"/>
      <c r="B396" s="22"/>
      <c r="C396" s="22"/>
      <c r="D396" s="22"/>
      <c r="E396" s="22"/>
      <c r="F396" s="28"/>
      <c r="G396" s="28"/>
      <c r="H396" s="28"/>
      <c r="I396" s="28"/>
      <c r="J396" s="28"/>
      <c r="K396" s="28"/>
      <c r="L396" s="28"/>
      <c r="M396" s="22"/>
      <c r="N396" s="22"/>
      <c r="O396" s="22"/>
      <c r="P396" s="22"/>
      <c r="Q396" s="22"/>
      <c r="R396" s="28"/>
      <c r="S396" s="28"/>
      <c r="T396" s="28"/>
      <c r="U396" s="28"/>
      <c r="V396" s="22"/>
      <c r="W396" s="22"/>
      <c r="X396" s="22"/>
      <c r="Y396" s="22"/>
      <c r="Z396" s="22"/>
      <c r="AA396" s="22"/>
      <c r="AB396" s="22"/>
      <c r="AC396" s="22"/>
      <c r="AD396" s="22"/>
    </row>
    <row r="397" spans="1:30" ht="15.75" customHeight="1" x14ac:dyDescent="0.15">
      <c r="A397" s="22"/>
      <c r="B397" s="22"/>
      <c r="C397" s="22"/>
      <c r="D397" s="22"/>
      <c r="E397" s="22"/>
      <c r="F397" s="28"/>
      <c r="G397" s="28"/>
      <c r="H397" s="28"/>
      <c r="I397" s="28"/>
      <c r="J397" s="28"/>
      <c r="K397" s="28"/>
      <c r="L397" s="28"/>
      <c r="M397" s="22"/>
      <c r="N397" s="22"/>
      <c r="O397" s="22"/>
      <c r="P397" s="22"/>
      <c r="Q397" s="22"/>
      <c r="R397" s="28"/>
      <c r="S397" s="28"/>
      <c r="T397" s="28"/>
      <c r="U397" s="28"/>
      <c r="V397" s="22"/>
      <c r="W397" s="22"/>
      <c r="X397" s="22"/>
      <c r="Y397" s="22"/>
      <c r="Z397" s="22"/>
      <c r="AA397" s="22"/>
      <c r="AB397" s="22"/>
      <c r="AC397" s="22"/>
      <c r="AD397" s="22"/>
    </row>
    <row r="398" spans="1:30" ht="15.75" customHeight="1" x14ac:dyDescent="0.15">
      <c r="A398" s="22"/>
      <c r="B398" s="22"/>
      <c r="C398" s="22"/>
      <c r="D398" s="22"/>
      <c r="E398" s="22"/>
      <c r="F398" s="28"/>
      <c r="G398" s="28"/>
      <c r="H398" s="28"/>
      <c r="I398" s="28"/>
      <c r="J398" s="28"/>
      <c r="K398" s="28"/>
      <c r="L398" s="28"/>
      <c r="M398" s="22"/>
      <c r="N398" s="22"/>
      <c r="O398" s="22"/>
      <c r="P398" s="22"/>
      <c r="Q398" s="22"/>
      <c r="R398" s="28"/>
      <c r="S398" s="28"/>
      <c r="T398" s="28"/>
      <c r="U398" s="28"/>
      <c r="V398" s="22"/>
      <c r="W398" s="22"/>
      <c r="X398" s="22"/>
      <c r="Y398" s="22"/>
      <c r="Z398" s="22"/>
      <c r="AA398" s="22"/>
      <c r="AB398" s="22"/>
      <c r="AC398" s="22"/>
      <c r="AD398" s="22"/>
    </row>
    <row r="399" spans="1:30" ht="15.75" customHeight="1" x14ac:dyDescent="0.15">
      <c r="A399" s="22"/>
      <c r="B399" s="22"/>
      <c r="C399" s="22"/>
      <c r="D399" s="22"/>
      <c r="E399" s="22"/>
      <c r="F399" s="28"/>
      <c r="G399" s="28"/>
      <c r="H399" s="28"/>
      <c r="I399" s="28"/>
      <c r="J399" s="28"/>
      <c r="K399" s="28"/>
      <c r="L399" s="28"/>
      <c r="M399" s="22"/>
      <c r="N399" s="22"/>
      <c r="O399" s="22"/>
      <c r="P399" s="22"/>
      <c r="Q399" s="22"/>
      <c r="R399" s="28"/>
      <c r="S399" s="28"/>
      <c r="T399" s="28"/>
      <c r="U399" s="28"/>
      <c r="V399" s="22"/>
      <c r="W399" s="22"/>
      <c r="X399" s="22"/>
      <c r="Y399" s="22"/>
      <c r="Z399" s="22"/>
      <c r="AA399" s="22"/>
      <c r="AB399" s="22"/>
      <c r="AC399" s="22"/>
      <c r="AD399" s="22"/>
    </row>
    <row r="400" spans="1:30" ht="15.75" customHeight="1" x14ac:dyDescent="0.15">
      <c r="A400" s="22"/>
      <c r="B400" s="22"/>
      <c r="C400" s="22"/>
      <c r="D400" s="22"/>
      <c r="E400" s="22"/>
      <c r="F400" s="28"/>
      <c r="G400" s="28"/>
      <c r="H400" s="28"/>
      <c r="I400" s="28"/>
      <c r="J400" s="28"/>
      <c r="K400" s="28"/>
      <c r="L400" s="28"/>
      <c r="M400" s="22"/>
      <c r="N400" s="22"/>
      <c r="O400" s="22"/>
      <c r="P400" s="22"/>
      <c r="Q400" s="22"/>
      <c r="R400" s="28"/>
      <c r="S400" s="28"/>
      <c r="T400" s="28"/>
      <c r="U400" s="28"/>
      <c r="V400" s="22"/>
      <c r="W400" s="22"/>
      <c r="X400" s="22"/>
      <c r="Y400" s="22"/>
      <c r="Z400" s="22"/>
      <c r="AA400" s="22"/>
      <c r="AB400" s="22"/>
      <c r="AC400" s="22"/>
      <c r="AD400" s="22"/>
    </row>
    <row r="401" spans="1:30" ht="15.75" customHeight="1" x14ac:dyDescent="0.15">
      <c r="A401" s="22"/>
      <c r="B401" s="22"/>
      <c r="C401" s="22"/>
      <c r="D401" s="22"/>
      <c r="E401" s="22"/>
      <c r="F401" s="28"/>
      <c r="G401" s="28"/>
      <c r="H401" s="28"/>
      <c r="I401" s="28"/>
      <c r="J401" s="28"/>
      <c r="K401" s="28"/>
      <c r="L401" s="28"/>
      <c r="M401" s="22"/>
      <c r="N401" s="22"/>
      <c r="O401" s="22"/>
      <c r="P401" s="22"/>
      <c r="Q401" s="22"/>
      <c r="R401" s="28"/>
      <c r="S401" s="28"/>
      <c r="T401" s="28"/>
      <c r="U401" s="28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ht="15.75" customHeight="1" x14ac:dyDescent="0.15">
      <c r="A402" s="22"/>
      <c r="B402" s="22"/>
      <c r="C402" s="22"/>
      <c r="D402" s="22"/>
      <c r="E402" s="22"/>
      <c r="F402" s="28"/>
      <c r="G402" s="28"/>
      <c r="H402" s="28"/>
      <c r="I402" s="28"/>
      <c r="J402" s="28"/>
      <c r="K402" s="28"/>
      <c r="L402" s="28"/>
      <c r="M402" s="22"/>
      <c r="N402" s="22"/>
      <c r="O402" s="22"/>
      <c r="P402" s="22"/>
      <c r="Q402" s="22"/>
      <c r="R402" s="28"/>
      <c r="S402" s="28"/>
      <c r="T402" s="28"/>
      <c r="U402" s="28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ht="15.75" customHeight="1" x14ac:dyDescent="0.15">
      <c r="A403" s="22"/>
      <c r="B403" s="22"/>
      <c r="C403" s="22"/>
      <c r="D403" s="22"/>
      <c r="E403" s="22"/>
      <c r="F403" s="28"/>
      <c r="G403" s="28"/>
      <c r="H403" s="28"/>
      <c r="I403" s="28"/>
      <c r="J403" s="28"/>
      <c r="K403" s="28"/>
      <c r="L403" s="28"/>
      <c r="M403" s="22"/>
      <c r="N403" s="22"/>
      <c r="O403" s="22"/>
      <c r="P403" s="22"/>
      <c r="Q403" s="22"/>
      <c r="R403" s="28"/>
      <c r="S403" s="28"/>
      <c r="T403" s="28"/>
      <c r="U403" s="28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ht="15.75" customHeight="1" x14ac:dyDescent="0.15">
      <c r="A404" s="22"/>
      <c r="B404" s="22"/>
      <c r="C404" s="22"/>
      <c r="D404" s="22"/>
      <c r="E404" s="22"/>
      <c r="F404" s="28"/>
      <c r="G404" s="28"/>
      <c r="H404" s="28"/>
      <c r="I404" s="28"/>
      <c r="J404" s="28"/>
      <c r="K404" s="28"/>
      <c r="L404" s="28"/>
      <c r="M404" s="22"/>
      <c r="N404" s="22"/>
      <c r="O404" s="22"/>
      <c r="P404" s="22"/>
      <c r="Q404" s="22"/>
      <c r="R404" s="28"/>
      <c r="S404" s="28"/>
      <c r="T404" s="28"/>
      <c r="U404" s="28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ht="15.75" customHeight="1" x14ac:dyDescent="0.15">
      <c r="A405" s="22"/>
      <c r="B405" s="22"/>
      <c r="C405" s="22"/>
      <c r="D405" s="22"/>
      <c r="E405" s="22"/>
      <c r="F405" s="28"/>
      <c r="G405" s="28"/>
      <c r="H405" s="28"/>
      <c r="I405" s="28"/>
      <c r="J405" s="28"/>
      <c r="K405" s="28"/>
      <c r="L405" s="28"/>
      <c r="M405" s="22"/>
      <c r="N405" s="22"/>
      <c r="O405" s="22"/>
      <c r="P405" s="22"/>
      <c r="Q405" s="22"/>
      <c r="R405" s="28"/>
      <c r="S405" s="28"/>
      <c r="T405" s="28"/>
      <c r="U405" s="28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ht="15.75" customHeight="1" x14ac:dyDescent="0.15">
      <c r="A406" s="22"/>
      <c r="B406" s="22"/>
      <c r="C406" s="22"/>
      <c r="D406" s="22"/>
      <c r="E406" s="22"/>
      <c r="F406" s="28"/>
      <c r="G406" s="28"/>
      <c r="H406" s="28"/>
      <c r="I406" s="28"/>
      <c r="J406" s="28"/>
      <c r="K406" s="28"/>
      <c r="L406" s="28"/>
      <c r="M406" s="22"/>
      <c r="N406" s="22"/>
      <c r="O406" s="22"/>
      <c r="P406" s="22"/>
      <c r="Q406" s="22"/>
      <c r="R406" s="28"/>
      <c r="S406" s="28"/>
      <c r="T406" s="28"/>
      <c r="U406" s="28"/>
      <c r="V406" s="22"/>
      <c r="W406" s="22"/>
      <c r="X406" s="22"/>
      <c r="Y406" s="22"/>
      <c r="Z406" s="22"/>
      <c r="AA406" s="22"/>
      <c r="AB406" s="22"/>
      <c r="AC406" s="22"/>
      <c r="AD406" s="22"/>
    </row>
    <row r="407" spans="1:30" ht="15.75" customHeight="1" x14ac:dyDescent="0.15">
      <c r="A407" s="22"/>
      <c r="B407" s="22"/>
      <c r="C407" s="22"/>
      <c r="D407" s="22"/>
      <c r="E407" s="22"/>
      <c r="F407" s="28"/>
      <c r="G407" s="28"/>
      <c r="H407" s="28"/>
      <c r="I407" s="28"/>
      <c r="J407" s="28"/>
      <c r="K407" s="28"/>
      <c r="L407" s="28"/>
      <c r="M407" s="22"/>
      <c r="N407" s="22"/>
      <c r="O407" s="22"/>
      <c r="P407" s="22"/>
      <c r="Q407" s="22"/>
      <c r="R407" s="28"/>
      <c r="S407" s="28"/>
      <c r="T407" s="28"/>
      <c r="U407" s="28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ht="15.75" customHeight="1" x14ac:dyDescent="0.15">
      <c r="A408" s="22"/>
      <c r="B408" s="22"/>
      <c r="C408" s="22"/>
      <c r="D408" s="22"/>
      <c r="E408" s="22"/>
      <c r="F408" s="28"/>
      <c r="G408" s="28"/>
      <c r="H408" s="28"/>
      <c r="I408" s="28"/>
      <c r="J408" s="28"/>
      <c r="K408" s="28"/>
      <c r="L408" s="28"/>
      <c r="M408" s="22"/>
      <c r="N408" s="22"/>
      <c r="O408" s="22"/>
      <c r="P408" s="22"/>
      <c r="Q408" s="22"/>
      <c r="R408" s="28"/>
      <c r="S408" s="28"/>
      <c r="T408" s="28"/>
      <c r="U408" s="28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ht="15.75" customHeight="1" x14ac:dyDescent="0.15">
      <c r="A409" s="22"/>
      <c r="B409" s="22"/>
      <c r="C409" s="22"/>
      <c r="D409" s="22"/>
      <c r="E409" s="22"/>
      <c r="F409" s="28"/>
      <c r="G409" s="28"/>
      <c r="H409" s="28"/>
      <c r="I409" s="28"/>
      <c r="J409" s="28"/>
      <c r="K409" s="28"/>
      <c r="L409" s="28"/>
      <c r="M409" s="22"/>
      <c r="N409" s="22"/>
      <c r="O409" s="22"/>
      <c r="P409" s="22"/>
      <c r="Q409" s="22"/>
      <c r="R409" s="28"/>
      <c r="S409" s="28"/>
      <c r="T409" s="28"/>
      <c r="U409" s="28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ht="15.75" customHeight="1" x14ac:dyDescent="0.15">
      <c r="A410" s="22"/>
      <c r="B410" s="22"/>
      <c r="C410" s="22"/>
      <c r="D410" s="22"/>
      <c r="E410" s="22"/>
      <c r="F410" s="28"/>
      <c r="G410" s="28"/>
      <c r="H410" s="28"/>
      <c r="I410" s="28"/>
      <c r="J410" s="28"/>
      <c r="K410" s="28"/>
      <c r="L410" s="28"/>
      <c r="M410" s="22"/>
      <c r="N410" s="22"/>
      <c r="O410" s="22"/>
      <c r="P410" s="22"/>
      <c r="Q410" s="22"/>
      <c r="R410" s="28"/>
      <c r="S410" s="28"/>
      <c r="T410" s="28"/>
      <c r="U410" s="28"/>
      <c r="V410" s="22"/>
      <c r="W410" s="22"/>
      <c r="X410" s="22"/>
      <c r="Y410" s="22"/>
      <c r="Z410" s="22"/>
      <c r="AA410" s="22"/>
      <c r="AB410" s="22"/>
      <c r="AC410" s="22"/>
      <c r="AD410" s="22"/>
    </row>
    <row r="411" spans="1:30" ht="15.75" customHeight="1" x14ac:dyDescent="0.15">
      <c r="A411" s="22"/>
      <c r="B411" s="22"/>
      <c r="C411" s="22"/>
      <c r="D411" s="22"/>
      <c r="E411" s="22"/>
      <c r="F411" s="28"/>
      <c r="G411" s="28"/>
      <c r="H411" s="28"/>
      <c r="I411" s="28"/>
      <c r="J411" s="28"/>
      <c r="K411" s="28"/>
      <c r="L411" s="28"/>
      <c r="M411" s="22"/>
      <c r="N411" s="22"/>
      <c r="O411" s="22"/>
      <c r="P411" s="22"/>
      <c r="Q411" s="22"/>
      <c r="R411" s="28"/>
      <c r="S411" s="28"/>
      <c r="T411" s="28"/>
      <c r="U411" s="28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ht="15.75" customHeight="1" x14ac:dyDescent="0.15">
      <c r="A412" s="22"/>
      <c r="B412" s="22"/>
      <c r="C412" s="22"/>
      <c r="D412" s="22"/>
      <c r="E412" s="22"/>
      <c r="F412" s="28"/>
      <c r="G412" s="28"/>
      <c r="H412" s="28"/>
      <c r="I412" s="28"/>
      <c r="J412" s="28"/>
      <c r="K412" s="28"/>
      <c r="L412" s="28"/>
      <c r="M412" s="22"/>
      <c r="N412" s="22"/>
      <c r="O412" s="22"/>
      <c r="P412" s="22"/>
      <c r="Q412" s="22"/>
      <c r="R412" s="28"/>
      <c r="S412" s="28"/>
      <c r="T412" s="28"/>
      <c r="U412" s="28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ht="15.75" customHeight="1" x14ac:dyDescent="0.15">
      <c r="A413" s="22"/>
      <c r="B413" s="22"/>
      <c r="C413" s="22"/>
      <c r="D413" s="22"/>
      <c r="E413" s="22"/>
      <c r="F413" s="28"/>
      <c r="G413" s="28"/>
      <c r="H413" s="28"/>
      <c r="I413" s="28"/>
      <c r="J413" s="28"/>
      <c r="K413" s="28"/>
      <c r="L413" s="28"/>
      <c r="M413" s="22"/>
      <c r="N413" s="22"/>
      <c r="O413" s="22"/>
      <c r="P413" s="22"/>
      <c r="Q413" s="22"/>
      <c r="R413" s="28"/>
      <c r="S413" s="28"/>
      <c r="T413" s="28"/>
      <c r="U413" s="28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ht="15.75" customHeight="1" x14ac:dyDescent="0.15">
      <c r="A414" s="22"/>
      <c r="B414" s="22"/>
      <c r="C414" s="22"/>
      <c r="D414" s="22"/>
      <c r="E414" s="22"/>
      <c r="F414" s="28"/>
      <c r="G414" s="28"/>
      <c r="H414" s="28"/>
      <c r="I414" s="28"/>
      <c r="J414" s="28"/>
      <c r="K414" s="28"/>
      <c r="L414" s="28"/>
      <c r="M414" s="22"/>
      <c r="N414" s="22"/>
      <c r="O414" s="22"/>
      <c r="P414" s="22"/>
      <c r="Q414" s="22"/>
      <c r="R414" s="28"/>
      <c r="S414" s="28"/>
      <c r="T414" s="28"/>
      <c r="U414" s="28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ht="15.75" customHeight="1" x14ac:dyDescent="0.15">
      <c r="A415" s="22"/>
      <c r="B415" s="22"/>
      <c r="C415" s="22"/>
      <c r="D415" s="22"/>
      <c r="E415" s="22"/>
      <c r="F415" s="28"/>
      <c r="G415" s="28"/>
      <c r="H415" s="28"/>
      <c r="I415" s="28"/>
      <c r="J415" s="28"/>
      <c r="K415" s="28"/>
      <c r="L415" s="28"/>
      <c r="M415" s="22"/>
      <c r="N415" s="22"/>
      <c r="O415" s="22"/>
      <c r="P415" s="22"/>
      <c r="Q415" s="22"/>
      <c r="R415" s="28"/>
      <c r="S415" s="28"/>
      <c r="T415" s="28"/>
      <c r="U415" s="28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ht="15.75" customHeight="1" x14ac:dyDescent="0.15">
      <c r="A416" s="22"/>
      <c r="B416" s="22"/>
      <c r="C416" s="22"/>
      <c r="D416" s="22"/>
      <c r="E416" s="22"/>
      <c r="F416" s="28"/>
      <c r="G416" s="28"/>
      <c r="H416" s="28"/>
      <c r="I416" s="28"/>
      <c r="J416" s="28"/>
      <c r="K416" s="28"/>
      <c r="L416" s="28"/>
      <c r="M416" s="22"/>
      <c r="N416" s="22"/>
      <c r="O416" s="22"/>
      <c r="P416" s="22"/>
      <c r="Q416" s="22"/>
      <c r="R416" s="28"/>
      <c r="S416" s="28"/>
      <c r="T416" s="28"/>
      <c r="U416" s="28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30" ht="15.75" customHeight="1" x14ac:dyDescent="0.15">
      <c r="A417" s="22"/>
      <c r="B417" s="22"/>
      <c r="C417" s="22"/>
      <c r="D417" s="22"/>
      <c r="E417" s="22"/>
      <c r="F417" s="28"/>
      <c r="G417" s="28"/>
      <c r="H417" s="28"/>
      <c r="I417" s="28"/>
      <c r="J417" s="28"/>
      <c r="K417" s="28"/>
      <c r="L417" s="28"/>
      <c r="M417" s="22"/>
      <c r="N417" s="22"/>
      <c r="O417" s="22"/>
      <c r="P417" s="22"/>
      <c r="Q417" s="22"/>
      <c r="R417" s="28"/>
      <c r="S417" s="28"/>
      <c r="T417" s="28"/>
      <c r="U417" s="28"/>
      <c r="V417" s="22"/>
      <c r="W417" s="22"/>
      <c r="X417" s="22"/>
      <c r="Y417" s="22"/>
      <c r="Z417" s="22"/>
      <c r="AA417" s="22"/>
      <c r="AB417" s="22"/>
      <c r="AC417" s="22"/>
      <c r="AD417" s="22"/>
    </row>
    <row r="418" spans="1:30" ht="15.75" customHeight="1" x14ac:dyDescent="0.15">
      <c r="A418" s="22"/>
      <c r="B418" s="22"/>
      <c r="C418" s="22"/>
      <c r="D418" s="22"/>
      <c r="E418" s="22"/>
      <c r="F418" s="28"/>
      <c r="G418" s="28"/>
      <c r="H418" s="28"/>
      <c r="I418" s="28"/>
      <c r="J418" s="28"/>
      <c r="K418" s="28"/>
      <c r="L418" s="28"/>
      <c r="M418" s="22"/>
      <c r="N418" s="22"/>
      <c r="O418" s="22"/>
      <c r="P418" s="22"/>
      <c r="Q418" s="22"/>
      <c r="R418" s="28"/>
      <c r="S418" s="28"/>
      <c r="T418" s="28"/>
      <c r="U418" s="28"/>
      <c r="V418" s="22"/>
      <c r="W418" s="22"/>
      <c r="X418" s="22"/>
      <c r="Y418" s="22"/>
      <c r="Z418" s="22"/>
      <c r="AA418" s="22"/>
      <c r="AB418" s="22"/>
      <c r="AC418" s="22"/>
      <c r="AD418" s="22"/>
    </row>
    <row r="419" spans="1:30" ht="15.75" customHeight="1" x14ac:dyDescent="0.15">
      <c r="A419" s="22"/>
      <c r="B419" s="22"/>
      <c r="C419" s="22"/>
      <c r="D419" s="22"/>
      <c r="E419" s="22"/>
      <c r="F419" s="28"/>
      <c r="G419" s="28"/>
      <c r="H419" s="28"/>
      <c r="I419" s="28"/>
      <c r="J419" s="28"/>
      <c r="K419" s="28"/>
      <c r="L419" s="28"/>
      <c r="M419" s="22"/>
      <c r="N419" s="22"/>
      <c r="O419" s="22"/>
      <c r="P419" s="22"/>
      <c r="Q419" s="22"/>
      <c r="R419" s="28"/>
      <c r="S419" s="28"/>
      <c r="T419" s="28"/>
      <c r="U419" s="28"/>
      <c r="V419" s="22"/>
      <c r="W419" s="22"/>
      <c r="X419" s="22"/>
      <c r="Y419" s="22"/>
      <c r="Z419" s="22"/>
      <c r="AA419" s="22"/>
      <c r="AB419" s="22"/>
      <c r="AC419" s="22"/>
      <c r="AD419" s="22"/>
    </row>
    <row r="420" spans="1:30" ht="15.75" customHeight="1" x14ac:dyDescent="0.15">
      <c r="A420" s="22"/>
      <c r="B420" s="22"/>
      <c r="C420" s="22"/>
      <c r="D420" s="22"/>
      <c r="E420" s="22"/>
      <c r="F420" s="28"/>
      <c r="G420" s="28"/>
      <c r="H420" s="28"/>
      <c r="I420" s="28"/>
      <c r="J420" s="28"/>
      <c r="K420" s="28"/>
      <c r="L420" s="28"/>
      <c r="M420" s="22"/>
      <c r="N420" s="22"/>
      <c r="O420" s="22"/>
      <c r="P420" s="22"/>
      <c r="Q420" s="22"/>
      <c r="R420" s="28"/>
      <c r="S420" s="28"/>
      <c r="T420" s="28"/>
      <c r="U420" s="28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ht="15.75" customHeight="1" x14ac:dyDescent="0.15">
      <c r="A421" s="22"/>
      <c r="B421" s="22"/>
      <c r="C421" s="22"/>
      <c r="D421" s="22"/>
      <c r="E421" s="22"/>
      <c r="F421" s="28"/>
      <c r="G421" s="28"/>
      <c r="H421" s="28"/>
      <c r="I421" s="28"/>
      <c r="J421" s="28"/>
      <c r="K421" s="28"/>
      <c r="L421" s="28"/>
      <c r="M421" s="22"/>
      <c r="N421" s="22"/>
      <c r="O421" s="22"/>
      <c r="P421" s="22"/>
      <c r="Q421" s="22"/>
      <c r="R421" s="28"/>
      <c r="S421" s="28"/>
      <c r="T421" s="28"/>
      <c r="U421" s="28"/>
      <c r="V421" s="22"/>
      <c r="W421" s="22"/>
      <c r="X421" s="22"/>
      <c r="Y421" s="22"/>
      <c r="Z421" s="22"/>
      <c r="AA421" s="22"/>
      <c r="AB421" s="22"/>
      <c r="AC421" s="22"/>
      <c r="AD421" s="22"/>
    </row>
    <row r="422" spans="1:30" ht="15.75" customHeight="1" x14ac:dyDescent="0.15">
      <c r="A422" s="22"/>
      <c r="B422" s="22"/>
      <c r="C422" s="22"/>
      <c r="D422" s="22"/>
      <c r="E422" s="22"/>
      <c r="F422" s="28"/>
      <c r="G422" s="28"/>
      <c r="H422" s="28"/>
      <c r="I422" s="28"/>
      <c r="J422" s="28"/>
      <c r="K422" s="28"/>
      <c r="L422" s="28"/>
      <c r="M422" s="22"/>
      <c r="N422" s="22"/>
      <c r="O422" s="22"/>
      <c r="P422" s="22"/>
      <c r="Q422" s="22"/>
      <c r="R422" s="28"/>
      <c r="S422" s="28"/>
      <c r="T422" s="28"/>
      <c r="U422" s="28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ht="15.75" customHeight="1" x14ac:dyDescent="0.15">
      <c r="A423" s="22"/>
      <c r="B423" s="22"/>
      <c r="C423" s="22"/>
      <c r="D423" s="22"/>
      <c r="E423" s="22"/>
      <c r="F423" s="28"/>
      <c r="G423" s="28"/>
      <c r="H423" s="28"/>
      <c r="I423" s="28"/>
      <c r="J423" s="28"/>
      <c r="K423" s="28"/>
      <c r="L423" s="28"/>
      <c r="M423" s="22"/>
      <c r="N423" s="22"/>
      <c r="O423" s="22"/>
      <c r="P423" s="22"/>
      <c r="Q423" s="22"/>
      <c r="R423" s="28"/>
      <c r="S423" s="28"/>
      <c r="T423" s="28"/>
      <c r="U423" s="28"/>
      <c r="V423" s="22"/>
      <c r="W423" s="22"/>
      <c r="X423" s="22"/>
      <c r="Y423" s="22"/>
      <c r="Z423" s="22"/>
      <c r="AA423" s="22"/>
      <c r="AB423" s="22"/>
      <c r="AC423" s="22"/>
      <c r="AD423" s="22"/>
    </row>
    <row r="424" spans="1:30" ht="15.75" customHeight="1" x14ac:dyDescent="0.15">
      <c r="A424" s="22"/>
      <c r="B424" s="22"/>
      <c r="C424" s="22"/>
      <c r="D424" s="22"/>
      <c r="E424" s="22"/>
      <c r="F424" s="28"/>
      <c r="G424" s="28"/>
      <c r="H424" s="28"/>
      <c r="I424" s="28"/>
      <c r="J424" s="28"/>
      <c r="K424" s="28"/>
      <c r="L424" s="28"/>
      <c r="M424" s="22"/>
      <c r="N424" s="22"/>
      <c r="O424" s="22"/>
      <c r="P424" s="22"/>
      <c r="Q424" s="22"/>
      <c r="R424" s="28"/>
      <c r="S424" s="28"/>
      <c r="T424" s="28"/>
      <c r="U424" s="28"/>
      <c r="V424" s="22"/>
      <c r="W424" s="22"/>
      <c r="X424" s="22"/>
      <c r="Y424" s="22"/>
      <c r="Z424" s="22"/>
      <c r="AA424" s="22"/>
      <c r="AB424" s="22"/>
      <c r="AC424" s="22"/>
      <c r="AD424" s="22"/>
    </row>
    <row r="425" spans="1:30" ht="15.75" customHeight="1" x14ac:dyDescent="0.15">
      <c r="A425" s="22"/>
      <c r="B425" s="22"/>
      <c r="C425" s="22"/>
      <c r="D425" s="22"/>
      <c r="E425" s="22"/>
      <c r="F425" s="28"/>
      <c r="G425" s="28"/>
      <c r="H425" s="28"/>
      <c r="I425" s="28"/>
      <c r="J425" s="28"/>
      <c r="K425" s="28"/>
      <c r="L425" s="28"/>
      <c r="M425" s="22"/>
      <c r="N425" s="22"/>
      <c r="O425" s="22"/>
      <c r="P425" s="22"/>
      <c r="Q425" s="22"/>
      <c r="R425" s="28"/>
      <c r="S425" s="28"/>
      <c r="T425" s="28"/>
      <c r="U425" s="28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ht="15.75" customHeight="1" x14ac:dyDescent="0.15">
      <c r="A426" s="22"/>
      <c r="B426" s="22"/>
      <c r="C426" s="22"/>
      <c r="D426" s="22"/>
      <c r="E426" s="22"/>
      <c r="F426" s="28"/>
      <c r="G426" s="28"/>
      <c r="H426" s="28"/>
      <c r="I426" s="28"/>
      <c r="J426" s="28"/>
      <c r="K426" s="28"/>
      <c r="L426" s="28"/>
      <c r="M426" s="22"/>
      <c r="N426" s="22"/>
      <c r="O426" s="22"/>
      <c r="P426" s="22"/>
      <c r="Q426" s="22"/>
      <c r="R426" s="28"/>
      <c r="S426" s="28"/>
      <c r="T426" s="28"/>
      <c r="U426" s="28"/>
      <c r="V426" s="22"/>
      <c r="W426" s="22"/>
      <c r="X426" s="22"/>
      <c r="Y426" s="22"/>
      <c r="Z426" s="22"/>
      <c r="AA426" s="22"/>
      <c r="AB426" s="22"/>
      <c r="AC426" s="22"/>
      <c r="AD426" s="22"/>
    </row>
    <row r="427" spans="1:30" ht="15.75" customHeight="1" x14ac:dyDescent="0.15">
      <c r="A427" s="22"/>
      <c r="B427" s="22"/>
      <c r="C427" s="22"/>
      <c r="D427" s="22"/>
      <c r="E427" s="22"/>
      <c r="F427" s="28"/>
      <c r="G427" s="28"/>
      <c r="H427" s="28"/>
      <c r="I427" s="28"/>
      <c r="J427" s="28"/>
      <c r="K427" s="28"/>
      <c r="L427" s="28"/>
      <c r="M427" s="22"/>
      <c r="N427" s="22"/>
      <c r="O427" s="22"/>
      <c r="P427" s="22"/>
      <c r="Q427" s="22"/>
      <c r="R427" s="28"/>
      <c r="S427" s="28"/>
      <c r="T427" s="28"/>
      <c r="U427" s="28"/>
      <c r="V427" s="22"/>
      <c r="W427" s="22"/>
      <c r="X427" s="22"/>
      <c r="Y427" s="22"/>
      <c r="Z427" s="22"/>
      <c r="AA427" s="22"/>
      <c r="AB427" s="22"/>
      <c r="AC427" s="22"/>
      <c r="AD427" s="22"/>
    </row>
    <row r="428" spans="1:30" ht="15.75" customHeight="1" x14ac:dyDescent="0.15">
      <c r="A428" s="22"/>
      <c r="B428" s="22"/>
      <c r="C428" s="22"/>
      <c r="D428" s="22"/>
      <c r="E428" s="22"/>
      <c r="F428" s="28"/>
      <c r="G428" s="28"/>
      <c r="H428" s="28"/>
      <c r="I428" s="28"/>
      <c r="J428" s="28"/>
      <c r="K428" s="28"/>
      <c r="L428" s="28"/>
      <c r="M428" s="22"/>
      <c r="N428" s="22"/>
      <c r="O428" s="22"/>
      <c r="P428" s="22"/>
      <c r="Q428" s="22"/>
      <c r="R428" s="28"/>
      <c r="S428" s="28"/>
      <c r="T428" s="28"/>
      <c r="U428" s="28"/>
      <c r="V428" s="22"/>
      <c r="W428" s="22"/>
      <c r="X428" s="22"/>
      <c r="Y428" s="22"/>
      <c r="Z428" s="22"/>
      <c r="AA428" s="22"/>
      <c r="AB428" s="22"/>
      <c r="AC428" s="22"/>
      <c r="AD428" s="22"/>
    </row>
    <row r="429" spans="1:30" ht="15.75" customHeight="1" x14ac:dyDescent="0.15">
      <c r="A429" s="22"/>
      <c r="B429" s="22"/>
      <c r="C429" s="22"/>
      <c r="D429" s="22"/>
      <c r="E429" s="22"/>
      <c r="F429" s="28"/>
      <c r="G429" s="28"/>
      <c r="H429" s="28"/>
      <c r="I429" s="28"/>
      <c r="J429" s="28"/>
      <c r="K429" s="28"/>
      <c r="L429" s="28"/>
      <c r="M429" s="22"/>
      <c r="N429" s="22"/>
      <c r="O429" s="22"/>
      <c r="P429" s="22"/>
      <c r="Q429" s="22"/>
      <c r="R429" s="28"/>
      <c r="S429" s="28"/>
      <c r="T429" s="28"/>
      <c r="U429" s="28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ht="15.75" customHeight="1" x14ac:dyDescent="0.15">
      <c r="A430" s="22"/>
      <c r="B430" s="22"/>
      <c r="C430" s="22"/>
      <c r="D430" s="22"/>
      <c r="E430" s="22"/>
      <c r="F430" s="28"/>
      <c r="G430" s="28"/>
      <c r="H430" s="28"/>
      <c r="I430" s="28"/>
      <c r="J430" s="28"/>
      <c r="K430" s="28"/>
      <c r="L430" s="28"/>
      <c r="M430" s="22"/>
      <c r="N430" s="22"/>
      <c r="O430" s="22"/>
      <c r="P430" s="22"/>
      <c r="Q430" s="22"/>
      <c r="R430" s="28"/>
      <c r="S430" s="28"/>
      <c r="T430" s="28"/>
      <c r="U430" s="28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ht="15.75" customHeight="1" x14ac:dyDescent="0.15">
      <c r="A431" s="22"/>
      <c r="B431" s="22"/>
      <c r="C431" s="22"/>
      <c r="D431" s="22"/>
      <c r="E431" s="22"/>
      <c r="F431" s="28"/>
      <c r="G431" s="28"/>
      <c r="H431" s="28"/>
      <c r="I431" s="28"/>
      <c r="J431" s="28"/>
      <c r="K431" s="28"/>
      <c r="L431" s="28"/>
      <c r="M431" s="22"/>
      <c r="N431" s="22"/>
      <c r="O431" s="22"/>
      <c r="P431" s="22"/>
      <c r="Q431" s="22"/>
      <c r="R431" s="28"/>
      <c r="S431" s="28"/>
      <c r="T431" s="28"/>
      <c r="U431" s="28"/>
      <c r="V431" s="22"/>
      <c r="W431" s="22"/>
      <c r="X431" s="22"/>
      <c r="Y431" s="22"/>
      <c r="Z431" s="22"/>
      <c r="AA431" s="22"/>
      <c r="AB431" s="22"/>
      <c r="AC431" s="22"/>
      <c r="AD431" s="22"/>
    </row>
    <row r="432" spans="1:30" ht="15.75" customHeight="1" x14ac:dyDescent="0.15">
      <c r="A432" s="22"/>
      <c r="B432" s="22"/>
      <c r="C432" s="22"/>
      <c r="D432" s="22"/>
      <c r="E432" s="22"/>
      <c r="F432" s="28"/>
      <c r="G432" s="28"/>
      <c r="H432" s="28"/>
      <c r="I432" s="28"/>
      <c r="J432" s="28"/>
      <c r="K432" s="28"/>
      <c r="L432" s="28"/>
      <c r="M432" s="22"/>
      <c r="N432" s="22"/>
      <c r="O432" s="22"/>
      <c r="P432" s="22"/>
      <c r="Q432" s="22"/>
      <c r="R432" s="28"/>
      <c r="S432" s="28"/>
      <c r="T432" s="28"/>
      <c r="U432" s="28"/>
      <c r="V432" s="22"/>
      <c r="W432" s="22"/>
      <c r="X432" s="22"/>
      <c r="Y432" s="22"/>
      <c r="Z432" s="22"/>
      <c r="AA432" s="22"/>
      <c r="AB432" s="22"/>
      <c r="AC432" s="22"/>
      <c r="AD432" s="22"/>
    </row>
    <row r="433" spans="1:30" ht="15.75" customHeight="1" x14ac:dyDescent="0.15">
      <c r="A433" s="22"/>
      <c r="B433" s="22"/>
      <c r="C433" s="22"/>
      <c r="D433" s="22"/>
      <c r="E433" s="22"/>
      <c r="F433" s="28"/>
      <c r="G433" s="28"/>
      <c r="H433" s="28"/>
      <c r="I433" s="28"/>
      <c r="J433" s="28"/>
      <c r="K433" s="28"/>
      <c r="L433" s="28"/>
      <c r="M433" s="22"/>
      <c r="N433" s="22"/>
      <c r="O433" s="22"/>
      <c r="P433" s="22"/>
      <c r="Q433" s="22"/>
      <c r="R433" s="28"/>
      <c r="S433" s="28"/>
      <c r="T433" s="28"/>
      <c r="U433" s="28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ht="15.75" customHeight="1" x14ac:dyDescent="0.15">
      <c r="A434" s="22"/>
      <c r="B434" s="22"/>
      <c r="C434" s="22"/>
      <c r="D434" s="22"/>
      <c r="E434" s="22"/>
      <c r="F434" s="28"/>
      <c r="G434" s="28"/>
      <c r="H434" s="28"/>
      <c r="I434" s="28"/>
      <c r="J434" s="28"/>
      <c r="K434" s="28"/>
      <c r="L434" s="28"/>
      <c r="M434" s="22"/>
      <c r="N434" s="22"/>
      <c r="O434" s="22"/>
      <c r="P434" s="22"/>
      <c r="Q434" s="22"/>
      <c r="R434" s="28"/>
      <c r="S434" s="28"/>
      <c r="T434" s="28"/>
      <c r="U434" s="28"/>
      <c r="V434" s="22"/>
      <c r="W434" s="22"/>
      <c r="X434" s="22"/>
      <c r="Y434" s="22"/>
      <c r="Z434" s="22"/>
      <c r="AA434" s="22"/>
      <c r="AB434" s="22"/>
      <c r="AC434" s="22"/>
      <c r="AD434" s="22"/>
    </row>
    <row r="435" spans="1:30" ht="15.75" customHeight="1" x14ac:dyDescent="0.15">
      <c r="A435" s="22"/>
      <c r="B435" s="22"/>
      <c r="C435" s="22"/>
      <c r="D435" s="22"/>
      <c r="E435" s="22"/>
      <c r="F435" s="28"/>
      <c r="G435" s="28"/>
      <c r="H435" s="28"/>
      <c r="I435" s="28"/>
      <c r="J435" s="28"/>
      <c r="K435" s="28"/>
      <c r="L435" s="28"/>
      <c r="M435" s="22"/>
      <c r="N435" s="22"/>
      <c r="O435" s="22"/>
      <c r="P435" s="22"/>
      <c r="Q435" s="22"/>
      <c r="R435" s="28"/>
      <c r="S435" s="28"/>
      <c r="T435" s="28"/>
      <c r="U435" s="28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ht="15.75" customHeight="1" x14ac:dyDescent="0.15">
      <c r="A436" s="22"/>
      <c r="B436" s="22"/>
      <c r="C436" s="22"/>
      <c r="D436" s="22"/>
      <c r="E436" s="22"/>
      <c r="F436" s="28"/>
      <c r="G436" s="28"/>
      <c r="H436" s="28"/>
      <c r="I436" s="28"/>
      <c r="J436" s="28"/>
      <c r="K436" s="28"/>
      <c r="L436" s="28"/>
      <c r="M436" s="22"/>
      <c r="N436" s="22"/>
      <c r="O436" s="22"/>
      <c r="P436" s="22"/>
      <c r="Q436" s="22"/>
      <c r="R436" s="28"/>
      <c r="S436" s="28"/>
      <c r="T436" s="28"/>
      <c r="U436" s="28"/>
      <c r="V436" s="22"/>
      <c r="W436" s="22"/>
      <c r="X436" s="22"/>
      <c r="Y436" s="22"/>
      <c r="Z436" s="22"/>
      <c r="AA436" s="22"/>
      <c r="AB436" s="22"/>
      <c r="AC436" s="22"/>
      <c r="AD436" s="22"/>
    </row>
    <row r="437" spans="1:30" ht="15.75" customHeight="1" x14ac:dyDescent="0.15">
      <c r="A437" s="22"/>
      <c r="B437" s="22"/>
      <c r="C437" s="22"/>
      <c r="D437" s="22"/>
      <c r="E437" s="22"/>
      <c r="F437" s="28"/>
      <c r="G437" s="28"/>
      <c r="H437" s="28"/>
      <c r="I437" s="28"/>
      <c r="J437" s="28"/>
      <c r="K437" s="28"/>
      <c r="L437" s="28"/>
      <c r="M437" s="22"/>
      <c r="N437" s="22"/>
      <c r="O437" s="22"/>
      <c r="P437" s="22"/>
      <c r="Q437" s="22"/>
      <c r="R437" s="28"/>
      <c r="S437" s="28"/>
      <c r="T437" s="28"/>
      <c r="U437" s="28"/>
      <c r="V437" s="22"/>
      <c r="W437" s="22"/>
      <c r="X437" s="22"/>
      <c r="Y437" s="22"/>
      <c r="Z437" s="22"/>
      <c r="AA437" s="22"/>
      <c r="AB437" s="22"/>
      <c r="AC437" s="22"/>
      <c r="AD437" s="22"/>
    </row>
    <row r="438" spans="1:30" ht="15.75" customHeight="1" x14ac:dyDescent="0.15">
      <c r="A438" s="22"/>
      <c r="B438" s="22"/>
      <c r="C438" s="22"/>
      <c r="D438" s="22"/>
      <c r="E438" s="22"/>
      <c r="F438" s="28"/>
      <c r="G438" s="28"/>
      <c r="H438" s="28"/>
      <c r="I438" s="28"/>
      <c r="J438" s="28"/>
      <c r="K438" s="28"/>
      <c r="L438" s="28"/>
      <c r="M438" s="22"/>
      <c r="N438" s="22"/>
      <c r="O438" s="22"/>
      <c r="P438" s="22"/>
      <c r="Q438" s="22"/>
      <c r="R438" s="28"/>
      <c r="S438" s="28"/>
      <c r="T438" s="28"/>
      <c r="U438" s="28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ht="15.75" customHeight="1" x14ac:dyDescent="0.15">
      <c r="A439" s="22"/>
      <c r="B439" s="22"/>
      <c r="C439" s="22"/>
      <c r="D439" s="22"/>
      <c r="E439" s="22"/>
      <c r="F439" s="28"/>
      <c r="G439" s="28"/>
      <c r="H439" s="28"/>
      <c r="I439" s="28"/>
      <c r="J439" s="28"/>
      <c r="K439" s="28"/>
      <c r="L439" s="28"/>
      <c r="M439" s="22"/>
      <c r="N439" s="22"/>
      <c r="O439" s="22"/>
      <c r="P439" s="22"/>
      <c r="Q439" s="22"/>
      <c r="R439" s="28"/>
      <c r="S439" s="28"/>
      <c r="T439" s="28"/>
      <c r="U439" s="28"/>
      <c r="V439" s="22"/>
      <c r="W439" s="22"/>
      <c r="X439" s="22"/>
      <c r="Y439" s="22"/>
      <c r="Z439" s="22"/>
      <c r="AA439" s="22"/>
      <c r="AB439" s="22"/>
      <c r="AC439" s="22"/>
      <c r="AD439" s="22"/>
    </row>
    <row r="440" spans="1:30" ht="15.75" customHeight="1" x14ac:dyDescent="0.15">
      <c r="A440" s="22"/>
      <c r="B440" s="22"/>
      <c r="C440" s="22"/>
      <c r="D440" s="22"/>
      <c r="E440" s="22"/>
      <c r="F440" s="28"/>
      <c r="G440" s="28"/>
      <c r="H440" s="28"/>
      <c r="I440" s="28"/>
      <c r="J440" s="28"/>
      <c r="K440" s="28"/>
      <c r="L440" s="28"/>
      <c r="M440" s="22"/>
      <c r="N440" s="22"/>
      <c r="O440" s="22"/>
      <c r="P440" s="22"/>
      <c r="Q440" s="22"/>
      <c r="R440" s="28"/>
      <c r="S440" s="28"/>
      <c r="T440" s="28"/>
      <c r="U440" s="28"/>
      <c r="V440" s="22"/>
      <c r="W440" s="22"/>
      <c r="X440" s="22"/>
      <c r="Y440" s="22"/>
      <c r="Z440" s="22"/>
      <c r="AA440" s="22"/>
      <c r="AB440" s="22"/>
      <c r="AC440" s="22"/>
      <c r="AD440" s="22"/>
    </row>
    <row r="441" spans="1:30" ht="15.75" customHeight="1" x14ac:dyDescent="0.15">
      <c r="A441" s="22"/>
      <c r="B441" s="22"/>
      <c r="C441" s="22"/>
      <c r="D441" s="22"/>
      <c r="E441" s="22"/>
      <c r="F441" s="28"/>
      <c r="G441" s="28"/>
      <c r="H441" s="28"/>
      <c r="I441" s="28"/>
      <c r="J441" s="28"/>
      <c r="K441" s="28"/>
      <c r="L441" s="28"/>
      <c r="M441" s="22"/>
      <c r="N441" s="22"/>
      <c r="O441" s="22"/>
      <c r="P441" s="22"/>
      <c r="Q441" s="22"/>
      <c r="R441" s="28"/>
      <c r="S441" s="28"/>
      <c r="T441" s="28"/>
      <c r="U441" s="28"/>
      <c r="V441" s="22"/>
      <c r="W441" s="22"/>
      <c r="X441" s="22"/>
      <c r="Y441" s="22"/>
      <c r="Z441" s="22"/>
      <c r="AA441" s="22"/>
      <c r="AB441" s="22"/>
      <c r="AC441" s="22"/>
      <c r="AD441" s="22"/>
    </row>
    <row r="442" spans="1:30" ht="15.75" customHeight="1" x14ac:dyDescent="0.15">
      <c r="A442" s="22"/>
      <c r="B442" s="22"/>
      <c r="C442" s="22"/>
      <c r="D442" s="22"/>
      <c r="E442" s="22"/>
      <c r="F442" s="28"/>
      <c r="G442" s="28"/>
      <c r="H442" s="28"/>
      <c r="I442" s="28"/>
      <c r="J442" s="28"/>
      <c r="K442" s="28"/>
      <c r="L442" s="28"/>
      <c r="M442" s="22"/>
      <c r="N442" s="22"/>
      <c r="O442" s="22"/>
      <c r="P442" s="22"/>
      <c r="Q442" s="22"/>
      <c r="R442" s="28"/>
      <c r="S442" s="28"/>
      <c r="T442" s="28"/>
      <c r="U442" s="28"/>
      <c r="V442" s="22"/>
      <c r="W442" s="22"/>
      <c r="X442" s="22"/>
      <c r="Y442" s="22"/>
      <c r="Z442" s="22"/>
      <c r="AA442" s="22"/>
      <c r="AB442" s="22"/>
      <c r="AC442" s="22"/>
      <c r="AD442" s="22"/>
    </row>
    <row r="443" spans="1:30" ht="15.75" customHeight="1" x14ac:dyDescent="0.15">
      <c r="A443" s="22"/>
      <c r="B443" s="22"/>
      <c r="C443" s="22"/>
      <c r="D443" s="22"/>
      <c r="E443" s="22"/>
      <c r="F443" s="28"/>
      <c r="G443" s="28"/>
      <c r="H443" s="28"/>
      <c r="I443" s="28"/>
      <c r="J443" s="28"/>
      <c r="K443" s="28"/>
      <c r="L443" s="28"/>
      <c r="M443" s="22"/>
      <c r="N443" s="22"/>
      <c r="O443" s="22"/>
      <c r="P443" s="22"/>
      <c r="Q443" s="22"/>
      <c r="R443" s="28"/>
      <c r="S443" s="28"/>
      <c r="T443" s="28"/>
      <c r="U443" s="28"/>
      <c r="V443" s="22"/>
      <c r="W443" s="22"/>
      <c r="X443" s="22"/>
      <c r="Y443" s="22"/>
      <c r="Z443" s="22"/>
      <c r="AA443" s="22"/>
      <c r="AB443" s="22"/>
      <c r="AC443" s="22"/>
      <c r="AD443" s="22"/>
    </row>
    <row r="444" spans="1:30" ht="15.75" customHeight="1" x14ac:dyDescent="0.15">
      <c r="A444" s="22"/>
      <c r="B444" s="22"/>
      <c r="C444" s="22"/>
      <c r="D444" s="22"/>
      <c r="E444" s="22"/>
      <c r="F444" s="28"/>
      <c r="G444" s="28"/>
      <c r="H444" s="28"/>
      <c r="I444" s="28"/>
      <c r="J444" s="28"/>
      <c r="K444" s="28"/>
      <c r="L444" s="28"/>
      <c r="M444" s="22"/>
      <c r="N444" s="22"/>
      <c r="O444" s="22"/>
      <c r="P444" s="22"/>
      <c r="Q444" s="22"/>
      <c r="R444" s="28"/>
      <c r="S444" s="28"/>
      <c r="T444" s="28"/>
      <c r="U444" s="28"/>
      <c r="V444" s="22"/>
      <c r="W444" s="22"/>
      <c r="X444" s="22"/>
      <c r="Y444" s="22"/>
      <c r="Z444" s="22"/>
      <c r="AA444" s="22"/>
      <c r="AB444" s="22"/>
      <c r="AC444" s="22"/>
      <c r="AD444" s="22"/>
    </row>
    <row r="445" spans="1:30" ht="15.75" customHeight="1" x14ac:dyDescent="0.15">
      <c r="A445" s="22"/>
      <c r="B445" s="22"/>
      <c r="C445" s="22"/>
      <c r="D445" s="22"/>
      <c r="E445" s="22"/>
      <c r="F445" s="28"/>
      <c r="G445" s="28"/>
      <c r="H445" s="28"/>
      <c r="I445" s="28"/>
      <c r="J445" s="28"/>
      <c r="K445" s="28"/>
      <c r="L445" s="28"/>
      <c r="M445" s="22"/>
      <c r="N445" s="22"/>
      <c r="O445" s="22"/>
      <c r="P445" s="22"/>
      <c r="Q445" s="22"/>
      <c r="R445" s="28"/>
      <c r="S445" s="28"/>
      <c r="T445" s="28"/>
      <c r="U445" s="28"/>
      <c r="V445" s="22"/>
      <c r="W445" s="22"/>
      <c r="X445" s="22"/>
      <c r="Y445" s="22"/>
      <c r="Z445" s="22"/>
      <c r="AA445" s="22"/>
      <c r="AB445" s="22"/>
      <c r="AC445" s="22"/>
      <c r="AD445" s="22"/>
    </row>
    <row r="446" spans="1:30" ht="15.75" customHeight="1" x14ac:dyDescent="0.15">
      <c r="A446" s="22"/>
      <c r="B446" s="22"/>
      <c r="C446" s="22"/>
      <c r="D446" s="22"/>
      <c r="E446" s="22"/>
      <c r="F446" s="28"/>
      <c r="G446" s="28"/>
      <c r="H446" s="28"/>
      <c r="I446" s="28"/>
      <c r="J446" s="28"/>
      <c r="K446" s="28"/>
      <c r="L446" s="28"/>
      <c r="M446" s="22"/>
      <c r="N446" s="22"/>
      <c r="O446" s="22"/>
      <c r="P446" s="22"/>
      <c r="Q446" s="22"/>
      <c r="R446" s="28"/>
      <c r="S446" s="28"/>
      <c r="T446" s="28"/>
      <c r="U446" s="28"/>
      <c r="V446" s="22"/>
      <c r="W446" s="22"/>
      <c r="X446" s="22"/>
      <c r="Y446" s="22"/>
      <c r="Z446" s="22"/>
      <c r="AA446" s="22"/>
      <c r="AB446" s="22"/>
      <c r="AC446" s="22"/>
      <c r="AD446" s="22"/>
    </row>
    <row r="447" spans="1:30" ht="15.75" customHeight="1" x14ac:dyDescent="0.15">
      <c r="A447" s="22"/>
      <c r="B447" s="22"/>
      <c r="C447" s="22"/>
      <c r="D447" s="22"/>
      <c r="E447" s="22"/>
      <c r="F447" s="28"/>
      <c r="G447" s="28"/>
      <c r="H447" s="28"/>
      <c r="I447" s="28"/>
      <c r="J447" s="28"/>
      <c r="K447" s="28"/>
      <c r="L447" s="28"/>
      <c r="M447" s="22"/>
      <c r="N447" s="22"/>
      <c r="O447" s="22"/>
      <c r="P447" s="22"/>
      <c r="Q447" s="22"/>
      <c r="R447" s="28"/>
      <c r="S447" s="28"/>
      <c r="T447" s="28"/>
      <c r="U447" s="28"/>
      <c r="V447" s="22"/>
      <c r="W447" s="22"/>
      <c r="X447" s="22"/>
      <c r="Y447" s="22"/>
      <c r="Z447" s="22"/>
      <c r="AA447" s="22"/>
      <c r="AB447" s="22"/>
      <c r="AC447" s="22"/>
      <c r="AD447" s="22"/>
    </row>
    <row r="448" spans="1:30" ht="15.75" customHeight="1" x14ac:dyDescent="0.15">
      <c r="A448" s="22"/>
      <c r="B448" s="22"/>
      <c r="C448" s="22"/>
      <c r="D448" s="22"/>
      <c r="E448" s="22"/>
      <c r="F448" s="28"/>
      <c r="G448" s="28"/>
      <c r="H448" s="28"/>
      <c r="I448" s="28"/>
      <c r="J448" s="28"/>
      <c r="K448" s="28"/>
      <c r="L448" s="28"/>
      <c r="M448" s="22"/>
      <c r="N448" s="22"/>
      <c r="O448" s="22"/>
      <c r="P448" s="22"/>
      <c r="Q448" s="22"/>
      <c r="R448" s="28"/>
      <c r="S448" s="28"/>
      <c r="T448" s="28"/>
      <c r="U448" s="28"/>
      <c r="V448" s="22"/>
      <c r="W448" s="22"/>
      <c r="X448" s="22"/>
      <c r="Y448" s="22"/>
      <c r="Z448" s="22"/>
      <c r="AA448" s="22"/>
      <c r="AB448" s="22"/>
      <c r="AC448" s="22"/>
      <c r="AD448" s="22"/>
    </row>
    <row r="449" spans="1:30" ht="15.75" customHeight="1" x14ac:dyDescent="0.15">
      <c r="A449" s="22"/>
      <c r="B449" s="22"/>
      <c r="C449" s="22"/>
      <c r="D449" s="22"/>
      <c r="E449" s="22"/>
      <c r="F449" s="28"/>
      <c r="G449" s="28"/>
      <c r="H449" s="28"/>
      <c r="I449" s="28"/>
      <c r="J449" s="28"/>
      <c r="K449" s="28"/>
      <c r="L449" s="28"/>
      <c r="M449" s="22"/>
      <c r="N449" s="22"/>
      <c r="O449" s="22"/>
      <c r="P449" s="22"/>
      <c r="Q449" s="22"/>
      <c r="R449" s="28"/>
      <c r="S449" s="28"/>
      <c r="T449" s="28"/>
      <c r="U449" s="28"/>
      <c r="V449" s="22"/>
      <c r="W449" s="22"/>
      <c r="X449" s="22"/>
      <c r="Y449" s="22"/>
      <c r="Z449" s="22"/>
      <c r="AA449" s="22"/>
      <c r="AB449" s="22"/>
      <c r="AC449" s="22"/>
      <c r="AD449" s="22"/>
    </row>
    <row r="450" spans="1:30" ht="15.75" customHeight="1" x14ac:dyDescent="0.15">
      <c r="A450" s="22"/>
      <c r="B450" s="22"/>
      <c r="C450" s="22"/>
      <c r="D450" s="22"/>
      <c r="E450" s="22"/>
      <c r="F450" s="28"/>
      <c r="G450" s="28"/>
      <c r="H450" s="28"/>
      <c r="I450" s="28"/>
      <c r="J450" s="28"/>
      <c r="K450" s="28"/>
      <c r="L450" s="28"/>
      <c r="M450" s="22"/>
      <c r="N450" s="22"/>
      <c r="O450" s="22"/>
      <c r="P450" s="22"/>
      <c r="Q450" s="22"/>
      <c r="R450" s="28"/>
      <c r="S450" s="28"/>
      <c r="T450" s="28"/>
      <c r="U450" s="28"/>
      <c r="V450" s="22"/>
      <c r="W450" s="22"/>
      <c r="X450" s="22"/>
      <c r="Y450" s="22"/>
      <c r="Z450" s="22"/>
      <c r="AA450" s="22"/>
      <c r="AB450" s="22"/>
      <c r="AC450" s="22"/>
      <c r="AD450" s="22"/>
    </row>
    <row r="451" spans="1:30" ht="15.75" customHeight="1" x14ac:dyDescent="0.15">
      <c r="A451" s="22"/>
      <c r="B451" s="22"/>
      <c r="C451" s="22"/>
      <c r="D451" s="22"/>
      <c r="E451" s="22"/>
      <c r="F451" s="28"/>
      <c r="G451" s="28"/>
      <c r="H451" s="28"/>
      <c r="I451" s="28"/>
      <c r="J451" s="28"/>
      <c r="K451" s="28"/>
      <c r="L451" s="28"/>
      <c r="M451" s="22"/>
      <c r="N451" s="22"/>
      <c r="O451" s="22"/>
      <c r="P451" s="22"/>
      <c r="Q451" s="22"/>
      <c r="R451" s="28"/>
      <c r="S451" s="28"/>
      <c r="T451" s="28"/>
      <c r="U451" s="28"/>
      <c r="V451" s="22"/>
      <c r="W451" s="22"/>
      <c r="X451" s="22"/>
      <c r="Y451" s="22"/>
      <c r="Z451" s="22"/>
      <c r="AA451" s="22"/>
      <c r="AB451" s="22"/>
      <c r="AC451" s="22"/>
      <c r="AD451" s="22"/>
    </row>
    <row r="452" spans="1:30" ht="15.75" customHeight="1" x14ac:dyDescent="0.15">
      <c r="A452" s="22"/>
      <c r="B452" s="22"/>
      <c r="C452" s="22"/>
      <c r="D452" s="22"/>
      <c r="E452" s="22"/>
      <c r="F452" s="28"/>
      <c r="G452" s="28"/>
      <c r="H452" s="28"/>
      <c r="I452" s="28"/>
      <c r="J452" s="28"/>
      <c r="K452" s="28"/>
      <c r="L452" s="28"/>
      <c r="M452" s="22"/>
      <c r="N452" s="22"/>
      <c r="O452" s="22"/>
      <c r="P452" s="22"/>
      <c r="Q452" s="22"/>
      <c r="R452" s="28"/>
      <c r="S452" s="28"/>
      <c r="T452" s="28"/>
      <c r="U452" s="28"/>
      <c r="V452" s="22"/>
      <c r="W452" s="22"/>
      <c r="X452" s="22"/>
      <c r="Y452" s="22"/>
      <c r="Z452" s="22"/>
      <c r="AA452" s="22"/>
      <c r="AB452" s="22"/>
      <c r="AC452" s="22"/>
      <c r="AD452" s="22"/>
    </row>
    <row r="453" spans="1:30" ht="15.75" customHeight="1" x14ac:dyDescent="0.15">
      <c r="A453" s="22"/>
      <c r="B453" s="22"/>
      <c r="C453" s="22"/>
      <c r="D453" s="22"/>
      <c r="E453" s="22"/>
      <c r="F453" s="28"/>
      <c r="G453" s="28"/>
      <c r="H453" s="28"/>
      <c r="I453" s="28"/>
      <c r="J453" s="28"/>
      <c r="K453" s="28"/>
      <c r="L453" s="28"/>
      <c r="M453" s="22"/>
      <c r="N453" s="22"/>
      <c r="O453" s="22"/>
      <c r="P453" s="22"/>
      <c r="Q453" s="22"/>
      <c r="R453" s="28"/>
      <c r="S453" s="28"/>
      <c r="T453" s="28"/>
      <c r="U453" s="28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ht="15.75" customHeight="1" x14ac:dyDescent="0.15">
      <c r="A454" s="22"/>
      <c r="B454" s="22"/>
      <c r="C454" s="22"/>
      <c r="D454" s="22"/>
      <c r="E454" s="22"/>
      <c r="F454" s="28"/>
      <c r="G454" s="28"/>
      <c r="H454" s="28"/>
      <c r="I454" s="28"/>
      <c r="J454" s="28"/>
      <c r="K454" s="28"/>
      <c r="L454" s="28"/>
      <c r="M454" s="22"/>
      <c r="N454" s="22"/>
      <c r="O454" s="22"/>
      <c r="P454" s="22"/>
      <c r="Q454" s="22"/>
      <c r="R454" s="28"/>
      <c r="S454" s="28"/>
      <c r="T454" s="28"/>
      <c r="U454" s="28"/>
      <c r="V454" s="22"/>
      <c r="W454" s="22"/>
      <c r="X454" s="22"/>
      <c r="Y454" s="22"/>
      <c r="Z454" s="22"/>
      <c r="AA454" s="22"/>
      <c r="AB454" s="22"/>
      <c r="AC454" s="22"/>
      <c r="AD454" s="22"/>
    </row>
    <row r="455" spans="1:30" ht="15.75" customHeight="1" x14ac:dyDescent="0.15">
      <c r="A455" s="22"/>
      <c r="B455" s="22"/>
      <c r="C455" s="22"/>
      <c r="D455" s="22"/>
      <c r="E455" s="22"/>
      <c r="F455" s="28"/>
      <c r="G455" s="28"/>
      <c r="H455" s="28"/>
      <c r="I455" s="28"/>
      <c r="J455" s="28"/>
      <c r="K455" s="28"/>
      <c r="L455" s="28"/>
      <c r="M455" s="22"/>
      <c r="N455" s="22"/>
      <c r="O455" s="22"/>
      <c r="P455" s="22"/>
      <c r="Q455" s="22"/>
      <c r="R455" s="28"/>
      <c r="S455" s="28"/>
      <c r="T455" s="28"/>
      <c r="U455" s="28"/>
      <c r="V455" s="22"/>
      <c r="W455" s="22"/>
      <c r="X455" s="22"/>
      <c r="Y455" s="22"/>
      <c r="Z455" s="22"/>
      <c r="AA455" s="22"/>
      <c r="AB455" s="22"/>
      <c r="AC455" s="22"/>
      <c r="AD455" s="22"/>
    </row>
    <row r="456" spans="1:30" ht="15.75" customHeight="1" x14ac:dyDescent="0.15">
      <c r="A456" s="22"/>
      <c r="B456" s="22"/>
      <c r="C456" s="22"/>
      <c r="D456" s="22"/>
      <c r="E456" s="22"/>
      <c r="F456" s="28"/>
      <c r="G456" s="28"/>
      <c r="H456" s="28"/>
      <c r="I456" s="28"/>
      <c r="J456" s="28"/>
      <c r="K456" s="28"/>
      <c r="L456" s="28"/>
      <c r="M456" s="22"/>
      <c r="N456" s="22"/>
      <c r="O456" s="22"/>
      <c r="P456" s="22"/>
      <c r="Q456" s="22"/>
      <c r="R456" s="28"/>
      <c r="S456" s="28"/>
      <c r="T456" s="28"/>
      <c r="U456" s="28"/>
      <c r="V456" s="22"/>
      <c r="W456" s="22"/>
      <c r="X456" s="22"/>
      <c r="Y456" s="22"/>
      <c r="Z456" s="22"/>
      <c r="AA456" s="22"/>
      <c r="AB456" s="22"/>
      <c r="AC456" s="22"/>
      <c r="AD456" s="22"/>
    </row>
    <row r="457" spans="1:30" ht="15.75" customHeight="1" x14ac:dyDescent="0.15">
      <c r="A457" s="22"/>
      <c r="B457" s="22"/>
      <c r="C457" s="22"/>
      <c r="D457" s="22"/>
      <c r="E457" s="22"/>
      <c r="F457" s="28"/>
      <c r="G457" s="28"/>
      <c r="H457" s="28"/>
      <c r="I457" s="28"/>
      <c r="J457" s="28"/>
      <c r="K457" s="28"/>
      <c r="L457" s="28"/>
      <c r="M457" s="22"/>
      <c r="N457" s="22"/>
      <c r="O457" s="22"/>
      <c r="P457" s="22"/>
      <c r="Q457" s="22"/>
      <c r="R457" s="28"/>
      <c r="S457" s="28"/>
      <c r="T457" s="28"/>
      <c r="U457" s="28"/>
      <c r="V457" s="22"/>
      <c r="W457" s="22"/>
      <c r="X457" s="22"/>
      <c r="Y457" s="22"/>
      <c r="Z457" s="22"/>
      <c r="AA457" s="22"/>
      <c r="AB457" s="22"/>
      <c r="AC457" s="22"/>
      <c r="AD457" s="22"/>
    </row>
    <row r="458" spans="1:30" ht="15.75" customHeight="1" x14ac:dyDescent="0.15">
      <c r="A458" s="22"/>
      <c r="B458" s="22"/>
      <c r="C458" s="22"/>
      <c r="D458" s="22"/>
      <c r="E458" s="22"/>
      <c r="F458" s="28"/>
      <c r="G458" s="28"/>
      <c r="H458" s="28"/>
      <c r="I458" s="28"/>
      <c r="J458" s="28"/>
      <c r="K458" s="28"/>
      <c r="L458" s="28"/>
      <c r="M458" s="22"/>
      <c r="N458" s="22"/>
      <c r="O458" s="22"/>
      <c r="P458" s="22"/>
      <c r="Q458" s="22"/>
      <c r="R458" s="28"/>
      <c r="S458" s="28"/>
      <c r="T458" s="28"/>
      <c r="U458" s="28"/>
      <c r="V458" s="22"/>
      <c r="W458" s="22"/>
      <c r="X458" s="22"/>
      <c r="Y458" s="22"/>
      <c r="Z458" s="22"/>
      <c r="AA458" s="22"/>
      <c r="AB458" s="22"/>
      <c r="AC458" s="22"/>
      <c r="AD458" s="22"/>
    </row>
    <row r="459" spans="1:30" ht="15.75" customHeight="1" x14ac:dyDescent="0.15">
      <c r="A459" s="22"/>
      <c r="B459" s="22"/>
      <c r="C459" s="22"/>
      <c r="D459" s="22"/>
      <c r="E459" s="22"/>
      <c r="F459" s="28"/>
      <c r="G459" s="28"/>
      <c r="H459" s="28"/>
      <c r="I459" s="28"/>
      <c r="J459" s="28"/>
      <c r="K459" s="28"/>
      <c r="L459" s="28"/>
      <c r="M459" s="22"/>
      <c r="N459" s="22"/>
      <c r="O459" s="22"/>
      <c r="P459" s="22"/>
      <c r="Q459" s="22"/>
      <c r="R459" s="28"/>
      <c r="S459" s="28"/>
      <c r="T459" s="28"/>
      <c r="U459" s="28"/>
      <c r="V459" s="22"/>
      <c r="W459" s="22"/>
      <c r="X459" s="22"/>
      <c r="Y459" s="22"/>
      <c r="Z459" s="22"/>
      <c r="AA459" s="22"/>
      <c r="AB459" s="22"/>
      <c r="AC459" s="22"/>
      <c r="AD459" s="22"/>
    </row>
    <row r="460" spans="1:30" ht="15.75" customHeight="1" x14ac:dyDescent="0.15">
      <c r="A460" s="22"/>
      <c r="B460" s="22"/>
      <c r="C460" s="22"/>
      <c r="D460" s="22"/>
      <c r="E460" s="22"/>
      <c r="F460" s="28"/>
      <c r="G460" s="28"/>
      <c r="H460" s="28"/>
      <c r="I460" s="28"/>
      <c r="J460" s="28"/>
      <c r="K460" s="28"/>
      <c r="L460" s="28"/>
      <c r="M460" s="22"/>
      <c r="N460" s="22"/>
      <c r="O460" s="22"/>
      <c r="P460" s="22"/>
      <c r="Q460" s="22"/>
      <c r="R460" s="28"/>
      <c r="S460" s="28"/>
      <c r="T460" s="28"/>
      <c r="U460" s="28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ht="15.75" customHeight="1" x14ac:dyDescent="0.15">
      <c r="A461" s="22"/>
      <c r="B461" s="22"/>
      <c r="C461" s="22"/>
      <c r="D461" s="22"/>
      <c r="E461" s="22"/>
      <c r="F461" s="28"/>
      <c r="G461" s="28"/>
      <c r="H461" s="28"/>
      <c r="I461" s="28"/>
      <c r="J461" s="28"/>
      <c r="K461" s="28"/>
      <c r="L461" s="28"/>
      <c r="M461" s="22"/>
      <c r="N461" s="22"/>
      <c r="O461" s="22"/>
      <c r="P461" s="22"/>
      <c r="Q461" s="22"/>
      <c r="R461" s="28"/>
      <c r="S461" s="28"/>
      <c r="T461" s="28"/>
      <c r="U461" s="28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ht="15.75" customHeight="1" x14ac:dyDescent="0.15">
      <c r="A462" s="22"/>
      <c r="B462" s="22"/>
      <c r="C462" s="22"/>
      <c r="D462" s="22"/>
      <c r="E462" s="22"/>
      <c r="F462" s="28"/>
      <c r="G462" s="28"/>
      <c r="H462" s="28"/>
      <c r="I462" s="28"/>
      <c r="J462" s="28"/>
      <c r="K462" s="28"/>
      <c r="L462" s="28"/>
      <c r="M462" s="22"/>
      <c r="N462" s="22"/>
      <c r="O462" s="22"/>
      <c r="P462" s="22"/>
      <c r="Q462" s="22"/>
      <c r="R462" s="28"/>
      <c r="S462" s="28"/>
      <c r="T462" s="28"/>
      <c r="U462" s="28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ht="15.75" customHeight="1" x14ac:dyDescent="0.15">
      <c r="A463" s="22"/>
      <c r="B463" s="22"/>
      <c r="C463" s="22"/>
      <c r="D463" s="22"/>
      <c r="E463" s="22"/>
      <c r="F463" s="28"/>
      <c r="G463" s="28"/>
      <c r="H463" s="28"/>
      <c r="I463" s="28"/>
      <c r="J463" s="28"/>
      <c r="K463" s="28"/>
      <c r="L463" s="28"/>
      <c r="M463" s="22"/>
      <c r="N463" s="22"/>
      <c r="O463" s="22"/>
      <c r="P463" s="22"/>
      <c r="Q463" s="22"/>
      <c r="R463" s="28"/>
      <c r="S463" s="28"/>
      <c r="T463" s="28"/>
      <c r="U463" s="28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ht="15.75" customHeight="1" x14ac:dyDescent="0.15">
      <c r="A464" s="22"/>
      <c r="B464" s="22"/>
      <c r="C464" s="22"/>
      <c r="D464" s="22"/>
      <c r="E464" s="22"/>
      <c r="F464" s="28"/>
      <c r="G464" s="28"/>
      <c r="H464" s="28"/>
      <c r="I464" s="28"/>
      <c r="J464" s="28"/>
      <c r="K464" s="28"/>
      <c r="L464" s="28"/>
      <c r="M464" s="22"/>
      <c r="N464" s="22"/>
      <c r="O464" s="22"/>
      <c r="P464" s="22"/>
      <c r="Q464" s="22"/>
      <c r="R464" s="28"/>
      <c r="S464" s="28"/>
      <c r="T464" s="28"/>
      <c r="U464" s="28"/>
      <c r="V464" s="22"/>
      <c r="W464" s="22"/>
      <c r="X464" s="22"/>
      <c r="Y464" s="22"/>
      <c r="Z464" s="22"/>
      <c r="AA464" s="22"/>
      <c r="AB464" s="22"/>
      <c r="AC464" s="22"/>
      <c r="AD464" s="22"/>
    </row>
    <row r="465" spans="1:30" ht="15.75" customHeight="1" x14ac:dyDescent="0.15">
      <c r="A465" s="22"/>
      <c r="B465" s="22"/>
      <c r="C465" s="22"/>
      <c r="D465" s="22"/>
      <c r="E465" s="22"/>
      <c r="F465" s="28"/>
      <c r="G465" s="28"/>
      <c r="H465" s="28"/>
      <c r="I465" s="28"/>
      <c r="J465" s="28"/>
      <c r="K465" s="28"/>
      <c r="L465" s="28"/>
      <c r="M465" s="22"/>
      <c r="N465" s="22"/>
      <c r="O465" s="22"/>
      <c r="P465" s="22"/>
      <c r="Q465" s="22"/>
      <c r="R465" s="28"/>
      <c r="S465" s="28"/>
      <c r="T465" s="28"/>
      <c r="U465" s="28"/>
      <c r="V465" s="22"/>
      <c r="W465" s="22"/>
      <c r="X465" s="22"/>
      <c r="Y465" s="22"/>
      <c r="Z465" s="22"/>
      <c r="AA465" s="22"/>
      <c r="AB465" s="22"/>
      <c r="AC465" s="22"/>
      <c r="AD465" s="22"/>
    </row>
    <row r="466" spans="1:30" ht="15.75" customHeight="1" x14ac:dyDescent="0.15">
      <c r="A466" s="22"/>
      <c r="B466" s="22"/>
      <c r="C466" s="22"/>
      <c r="D466" s="22"/>
      <c r="E466" s="22"/>
      <c r="F466" s="28"/>
      <c r="G466" s="28"/>
      <c r="H466" s="28"/>
      <c r="I466" s="28"/>
      <c r="J466" s="28"/>
      <c r="K466" s="28"/>
      <c r="L466" s="28"/>
      <c r="M466" s="22"/>
      <c r="N466" s="22"/>
      <c r="O466" s="22"/>
      <c r="P466" s="22"/>
      <c r="Q466" s="22"/>
      <c r="R466" s="28"/>
      <c r="S466" s="28"/>
      <c r="T466" s="28"/>
      <c r="U466" s="28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ht="15.75" customHeight="1" x14ac:dyDescent="0.15">
      <c r="A467" s="22"/>
      <c r="B467" s="22"/>
      <c r="C467" s="22"/>
      <c r="D467" s="22"/>
      <c r="E467" s="22"/>
      <c r="F467" s="28"/>
      <c r="G467" s="28"/>
      <c r="H467" s="28"/>
      <c r="I467" s="28"/>
      <c r="J467" s="28"/>
      <c r="K467" s="28"/>
      <c r="L467" s="28"/>
      <c r="M467" s="22"/>
      <c r="N467" s="22"/>
      <c r="O467" s="22"/>
      <c r="P467" s="22"/>
      <c r="Q467" s="22"/>
      <c r="R467" s="28"/>
      <c r="S467" s="28"/>
      <c r="T467" s="28"/>
      <c r="U467" s="28"/>
      <c r="V467" s="22"/>
      <c r="W467" s="22"/>
      <c r="X467" s="22"/>
      <c r="Y467" s="22"/>
      <c r="Z467" s="22"/>
      <c r="AA467" s="22"/>
      <c r="AB467" s="22"/>
      <c r="AC467" s="22"/>
      <c r="AD467" s="22"/>
    </row>
    <row r="468" spans="1:30" ht="15.75" customHeight="1" x14ac:dyDescent="0.15">
      <c r="A468" s="22"/>
      <c r="B468" s="22"/>
      <c r="C468" s="22"/>
      <c r="D468" s="22"/>
      <c r="E468" s="22"/>
      <c r="F468" s="28"/>
      <c r="G468" s="28"/>
      <c r="H468" s="28"/>
      <c r="I468" s="28"/>
      <c r="J468" s="28"/>
      <c r="K468" s="28"/>
      <c r="L468" s="28"/>
      <c r="M468" s="22"/>
      <c r="N468" s="22"/>
      <c r="O468" s="22"/>
      <c r="P468" s="22"/>
      <c r="Q468" s="22"/>
      <c r="R468" s="28"/>
      <c r="S468" s="28"/>
      <c r="T468" s="28"/>
      <c r="U468" s="28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ht="15.75" customHeight="1" x14ac:dyDescent="0.15">
      <c r="A469" s="22"/>
      <c r="B469" s="22"/>
      <c r="C469" s="22"/>
      <c r="D469" s="22"/>
      <c r="E469" s="22"/>
      <c r="F469" s="28"/>
      <c r="G469" s="28"/>
      <c r="H469" s="28"/>
      <c r="I469" s="28"/>
      <c r="J469" s="28"/>
      <c r="K469" s="28"/>
      <c r="L469" s="28"/>
      <c r="M469" s="22"/>
      <c r="N469" s="22"/>
      <c r="O469" s="22"/>
      <c r="P469" s="22"/>
      <c r="Q469" s="22"/>
      <c r="R469" s="28"/>
      <c r="S469" s="28"/>
      <c r="T469" s="28"/>
      <c r="U469" s="28"/>
      <c r="V469" s="22"/>
      <c r="W469" s="22"/>
      <c r="X469" s="22"/>
      <c r="Y469" s="22"/>
      <c r="Z469" s="22"/>
      <c r="AA469" s="22"/>
      <c r="AB469" s="22"/>
      <c r="AC469" s="22"/>
      <c r="AD469" s="22"/>
    </row>
    <row r="470" spans="1:30" ht="15.75" customHeight="1" x14ac:dyDescent="0.15">
      <c r="A470" s="22"/>
      <c r="B470" s="22"/>
      <c r="C470" s="22"/>
      <c r="D470" s="22"/>
      <c r="E470" s="22"/>
      <c r="F470" s="28"/>
      <c r="G470" s="28"/>
      <c r="H470" s="28"/>
      <c r="I470" s="28"/>
      <c r="J470" s="28"/>
      <c r="K470" s="28"/>
      <c r="L470" s="28"/>
      <c r="M470" s="22"/>
      <c r="N470" s="22"/>
      <c r="O470" s="22"/>
      <c r="P470" s="22"/>
      <c r="Q470" s="22"/>
      <c r="R470" s="28"/>
      <c r="S470" s="28"/>
      <c r="T470" s="28"/>
      <c r="U470" s="28"/>
      <c r="V470" s="22"/>
      <c r="W470" s="22"/>
      <c r="X470" s="22"/>
      <c r="Y470" s="22"/>
      <c r="Z470" s="22"/>
      <c r="AA470" s="22"/>
      <c r="AB470" s="22"/>
      <c r="AC470" s="22"/>
      <c r="AD470" s="22"/>
    </row>
    <row r="471" spans="1:30" ht="15.75" customHeight="1" x14ac:dyDescent="0.15">
      <c r="A471" s="22"/>
      <c r="B471" s="22"/>
      <c r="C471" s="22"/>
      <c r="D471" s="22"/>
      <c r="E471" s="22"/>
      <c r="F471" s="28"/>
      <c r="G471" s="28"/>
      <c r="H471" s="28"/>
      <c r="I471" s="28"/>
      <c r="J471" s="28"/>
      <c r="K471" s="28"/>
      <c r="L471" s="28"/>
      <c r="M471" s="22"/>
      <c r="N471" s="22"/>
      <c r="O471" s="22"/>
      <c r="P471" s="22"/>
      <c r="Q471" s="22"/>
      <c r="R471" s="28"/>
      <c r="S471" s="28"/>
      <c r="T471" s="28"/>
      <c r="U471" s="28"/>
      <c r="V471" s="22"/>
      <c r="W471" s="22"/>
      <c r="X471" s="22"/>
      <c r="Y471" s="22"/>
      <c r="Z471" s="22"/>
      <c r="AA471" s="22"/>
      <c r="AB471" s="22"/>
      <c r="AC471" s="22"/>
      <c r="AD471" s="22"/>
    </row>
    <row r="472" spans="1:30" ht="15.75" customHeight="1" x14ac:dyDescent="0.15">
      <c r="A472" s="22"/>
      <c r="B472" s="22"/>
      <c r="C472" s="22"/>
      <c r="D472" s="22"/>
      <c r="E472" s="22"/>
      <c r="F472" s="28"/>
      <c r="G472" s="28"/>
      <c r="H472" s="28"/>
      <c r="I472" s="28"/>
      <c r="J472" s="28"/>
      <c r="K472" s="28"/>
      <c r="L472" s="28"/>
      <c r="M472" s="22"/>
      <c r="N472" s="22"/>
      <c r="O472" s="22"/>
      <c r="P472" s="22"/>
      <c r="Q472" s="22"/>
      <c r="R472" s="28"/>
      <c r="S472" s="28"/>
      <c r="T472" s="28"/>
      <c r="U472" s="28"/>
      <c r="V472" s="22"/>
      <c r="W472" s="22"/>
      <c r="X472" s="22"/>
      <c r="Y472" s="22"/>
      <c r="Z472" s="22"/>
      <c r="AA472" s="22"/>
      <c r="AB472" s="22"/>
      <c r="AC472" s="22"/>
      <c r="AD472" s="22"/>
    </row>
    <row r="473" spans="1:30" ht="15.75" customHeight="1" x14ac:dyDescent="0.15">
      <c r="A473" s="22"/>
      <c r="B473" s="22"/>
      <c r="C473" s="22"/>
      <c r="D473" s="22"/>
      <c r="E473" s="22"/>
      <c r="F473" s="28"/>
      <c r="G473" s="28"/>
      <c r="H473" s="28"/>
      <c r="I473" s="28"/>
      <c r="J473" s="28"/>
      <c r="K473" s="28"/>
      <c r="L473" s="28"/>
      <c r="M473" s="22"/>
      <c r="N473" s="22"/>
      <c r="O473" s="22"/>
      <c r="P473" s="22"/>
      <c r="Q473" s="22"/>
      <c r="R473" s="28"/>
      <c r="S473" s="28"/>
      <c r="T473" s="28"/>
      <c r="U473" s="28"/>
      <c r="V473" s="22"/>
      <c r="W473" s="22"/>
      <c r="X473" s="22"/>
      <c r="Y473" s="22"/>
      <c r="Z473" s="22"/>
      <c r="AA473" s="22"/>
      <c r="AB473" s="22"/>
      <c r="AC473" s="22"/>
      <c r="AD473" s="22"/>
    </row>
    <row r="474" spans="1:30" ht="15.75" customHeight="1" x14ac:dyDescent="0.15">
      <c r="A474" s="22"/>
      <c r="B474" s="22"/>
      <c r="C474" s="22"/>
      <c r="D474" s="22"/>
      <c r="E474" s="22"/>
      <c r="F474" s="28"/>
      <c r="G474" s="28"/>
      <c r="H474" s="28"/>
      <c r="I474" s="28"/>
      <c r="J474" s="28"/>
      <c r="K474" s="28"/>
      <c r="L474" s="28"/>
      <c r="M474" s="22"/>
      <c r="N474" s="22"/>
      <c r="O474" s="22"/>
      <c r="P474" s="22"/>
      <c r="Q474" s="22"/>
      <c r="R474" s="28"/>
      <c r="S474" s="28"/>
      <c r="T474" s="28"/>
      <c r="U474" s="28"/>
      <c r="V474" s="22"/>
      <c r="W474" s="22"/>
      <c r="X474" s="22"/>
      <c r="Y474" s="22"/>
      <c r="Z474" s="22"/>
      <c r="AA474" s="22"/>
      <c r="AB474" s="22"/>
      <c r="AC474" s="22"/>
      <c r="AD474" s="22"/>
    </row>
    <row r="475" spans="1:30" ht="15.75" customHeight="1" x14ac:dyDescent="0.15">
      <c r="A475" s="22"/>
      <c r="B475" s="22"/>
      <c r="C475" s="22"/>
      <c r="D475" s="22"/>
      <c r="E475" s="22"/>
      <c r="F475" s="28"/>
      <c r="G475" s="28"/>
      <c r="H475" s="28"/>
      <c r="I475" s="28"/>
      <c r="J475" s="28"/>
      <c r="K475" s="28"/>
      <c r="L475" s="28"/>
      <c r="M475" s="22"/>
      <c r="N475" s="22"/>
      <c r="O475" s="22"/>
      <c r="P475" s="22"/>
      <c r="Q475" s="22"/>
      <c r="R475" s="28"/>
      <c r="S475" s="28"/>
      <c r="T475" s="28"/>
      <c r="U475" s="28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ht="15.75" customHeight="1" x14ac:dyDescent="0.15">
      <c r="A476" s="22"/>
      <c r="B476" s="22"/>
      <c r="C476" s="22"/>
      <c r="D476" s="22"/>
      <c r="E476" s="22"/>
      <c r="F476" s="28"/>
      <c r="G476" s="28"/>
      <c r="H476" s="28"/>
      <c r="I476" s="28"/>
      <c r="J476" s="28"/>
      <c r="K476" s="28"/>
      <c r="L476" s="28"/>
      <c r="M476" s="22"/>
      <c r="N476" s="22"/>
      <c r="O476" s="22"/>
      <c r="P476" s="22"/>
      <c r="Q476" s="22"/>
      <c r="R476" s="28"/>
      <c r="S476" s="28"/>
      <c r="T476" s="28"/>
      <c r="U476" s="28"/>
      <c r="V476" s="22"/>
      <c r="W476" s="22"/>
      <c r="X476" s="22"/>
      <c r="Y476" s="22"/>
      <c r="Z476" s="22"/>
      <c r="AA476" s="22"/>
      <c r="AB476" s="22"/>
      <c r="AC476" s="22"/>
      <c r="AD476" s="22"/>
    </row>
    <row r="477" spans="1:30" ht="15.75" customHeight="1" x14ac:dyDescent="0.15">
      <c r="A477" s="22"/>
      <c r="B477" s="22"/>
      <c r="C477" s="22"/>
      <c r="D477" s="22"/>
      <c r="E477" s="22"/>
      <c r="F477" s="28"/>
      <c r="G477" s="28"/>
      <c r="H477" s="28"/>
      <c r="I477" s="28"/>
      <c r="J477" s="28"/>
      <c r="K477" s="28"/>
      <c r="L477" s="28"/>
      <c r="M477" s="22"/>
      <c r="N477" s="22"/>
      <c r="O477" s="22"/>
      <c r="P477" s="22"/>
      <c r="Q477" s="22"/>
      <c r="R477" s="28"/>
      <c r="S477" s="28"/>
      <c r="T477" s="28"/>
      <c r="U477" s="28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ht="15.75" customHeight="1" x14ac:dyDescent="0.15">
      <c r="A478" s="22"/>
      <c r="B478" s="22"/>
      <c r="C478" s="22"/>
      <c r="D478" s="22"/>
      <c r="E478" s="22"/>
      <c r="F478" s="28"/>
      <c r="G478" s="28"/>
      <c r="H478" s="28"/>
      <c r="I478" s="28"/>
      <c r="J478" s="28"/>
      <c r="K478" s="28"/>
      <c r="L478" s="28"/>
      <c r="M478" s="22"/>
      <c r="N478" s="22"/>
      <c r="O478" s="22"/>
      <c r="P478" s="22"/>
      <c r="Q478" s="22"/>
      <c r="R478" s="28"/>
      <c r="S478" s="28"/>
      <c r="T478" s="28"/>
      <c r="U478" s="28"/>
      <c r="V478" s="22"/>
      <c r="W478" s="22"/>
      <c r="X478" s="22"/>
      <c r="Y478" s="22"/>
      <c r="Z478" s="22"/>
      <c r="AA478" s="22"/>
      <c r="AB478" s="22"/>
      <c r="AC478" s="22"/>
      <c r="AD478" s="22"/>
    </row>
    <row r="479" spans="1:30" ht="15.75" customHeight="1" x14ac:dyDescent="0.15">
      <c r="A479" s="22"/>
      <c r="B479" s="22"/>
      <c r="C479" s="22"/>
      <c r="D479" s="22"/>
      <c r="E479" s="22"/>
      <c r="F479" s="28"/>
      <c r="G479" s="28"/>
      <c r="H479" s="28"/>
      <c r="I479" s="28"/>
      <c r="J479" s="28"/>
      <c r="K479" s="28"/>
      <c r="L479" s="28"/>
      <c r="M479" s="22"/>
      <c r="N479" s="22"/>
      <c r="O479" s="22"/>
      <c r="P479" s="22"/>
      <c r="Q479" s="22"/>
      <c r="R479" s="28"/>
      <c r="S479" s="28"/>
      <c r="T479" s="28"/>
      <c r="U479" s="28"/>
      <c r="V479" s="22"/>
      <c r="W479" s="22"/>
      <c r="X479" s="22"/>
      <c r="Y479" s="22"/>
      <c r="Z479" s="22"/>
      <c r="AA479" s="22"/>
      <c r="AB479" s="22"/>
      <c r="AC479" s="22"/>
      <c r="AD479" s="22"/>
    </row>
    <row r="480" spans="1:30" ht="15.75" customHeight="1" x14ac:dyDescent="0.15">
      <c r="A480" s="22"/>
      <c r="B480" s="22"/>
      <c r="C480" s="22"/>
      <c r="D480" s="22"/>
      <c r="E480" s="22"/>
      <c r="F480" s="28"/>
      <c r="G480" s="28"/>
      <c r="H480" s="28"/>
      <c r="I480" s="28"/>
      <c r="J480" s="28"/>
      <c r="K480" s="28"/>
      <c r="L480" s="28"/>
      <c r="M480" s="22"/>
      <c r="N480" s="22"/>
      <c r="O480" s="22"/>
      <c r="P480" s="22"/>
      <c r="Q480" s="22"/>
      <c r="R480" s="28"/>
      <c r="S480" s="28"/>
      <c r="T480" s="28"/>
      <c r="U480" s="28"/>
      <c r="V480" s="22"/>
      <c r="W480" s="22"/>
      <c r="X480" s="22"/>
      <c r="Y480" s="22"/>
      <c r="Z480" s="22"/>
      <c r="AA480" s="22"/>
      <c r="AB480" s="22"/>
      <c r="AC480" s="22"/>
      <c r="AD480" s="22"/>
    </row>
    <row r="481" spans="1:30" ht="15.75" customHeight="1" x14ac:dyDescent="0.15">
      <c r="A481" s="22"/>
      <c r="B481" s="22"/>
      <c r="C481" s="22"/>
      <c r="D481" s="22"/>
      <c r="E481" s="22"/>
      <c r="F481" s="28"/>
      <c r="G481" s="28"/>
      <c r="H481" s="28"/>
      <c r="I481" s="28"/>
      <c r="J481" s="28"/>
      <c r="K481" s="28"/>
      <c r="L481" s="28"/>
      <c r="M481" s="22"/>
      <c r="N481" s="22"/>
      <c r="O481" s="22"/>
      <c r="P481" s="22"/>
      <c r="Q481" s="22"/>
      <c r="R481" s="28"/>
      <c r="S481" s="28"/>
      <c r="T481" s="28"/>
      <c r="U481" s="28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ht="15.75" customHeight="1" x14ac:dyDescent="0.15">
      <c r="A482" s="22"/>
      <c r="B482" s="22"/>
      <c r="C482" s="22"/>
      <c r="D482" s="22"/>
      <c r="E482" s="22"/>
      <c r="F482" s="28"/>
      <c r="G482" s="28"/>
      <c r="H482" s="28"/>
      <c r="I482" s="28"/>
      <c r="J482" s="28"/>
      <c r="K482" s="28"/>
      <c r="L482" s="28"/>
      <c r="M482" s="22"/>
      <c r="N482" s="22"/>
      <c r="O482" s="22"/>
      <c r="P482" s="22"/>
      <c r="Q482" s="22"/>
      <c r="R482" s="28"/>
      <c r="S482" s="28"/>
      <c r="T482" s="28"/>
      <c r="U482" s="28"/>
      <c r="V482" s="22"/>
      <c r="W482" s="22"/>
      <c r="X482" s="22"/>
      <c r="Y482" s="22"/>
      <c r="Z482" s="22"/>
      <c r="AA482" s="22"/>
      <c r="AB482" s="22"/>
      <c r="AC482" s="22"/>
      <c r="AD482" s="22"/>
    </row>
    <row r="483" spans="1:30" ht="15.75" customHeight="1" x14ac:dyDescent="0.15">
      <c r="A483" s="22"/>
      <c r="B483" s="22"/>
      <c r="C483" s="22"/>
      <c r="D483" s="22"/>
      <c r="E483" s="22"/>
      <c r="F483" s="28"/>
      <c r="G483" s="28"/>
      <c r="H483" s="28"/>
      <c r="I483" s="28"/>
      <c r="J483" s="28"/>
      <c r="K483" s="28"/>
      <c r="L483" s="28"/>
      <c r="M483" s="22"/>
      <c r="N483" s="22"/>
      <c r="O483" s="22"/>
      <c r="P483" s="22"/>
      <c r="Q483" s="22"/>
      <c r="R483" s="28"/>
      <c r="S483" s="28"/>
      <c r="T483" s="28"/>
      <c r="U483" s="28"/>
      <c r="V483" s="22"/>
      <c r="W483" s="22"/>
      <c r="X483" s="22"/>
      <c r="Y483" s="22"/>
      <c r="Z483" s="22"/>
      <c r="AA483" s="22"/>
      <c r="AB483" s="22"/>
      <c r="AC483" s="22"/>
      <c r="AD483" s="22"/>
    </row>
    <row r="484" spans="1:30" ht="15.75" customHeight="1" x14ac:dyDescent="0.15">
      <c r="A484" s="22"/>
      <c r="B484" s="22"/>
      <c r="C484" s="22"/>
      <c r="D484" s="22"/>
      <c r="E484" s="22"/>
      <c r="F484" s="28"/>
      <c r="G484" s="28"/>
      <c r="H484" s="28"/>
      <c r="I484" s="28"/>
      <c r="J484" s="28"/>
      <c r="K484" s="28"/>
      <c r="L484" s="28"/>
      <c r="M484" s="22"/>
      <c r="N484" s="22"/>
      <c r="O484" s="22"/>
      <c r="P484" s="22"/>
      <c r="Q484" s="22"/>
      <c r="R484" s="28"/>
      <c r="S484" s="28"/>
      <c r="T484" s="28"/>
      <c r="U484" s="28"/>
      <c r="V484" s="22"/>
      <c r="W484" s="22"/>
      <c r="X484" s="22"/>
      <c r="Y484" s="22"/>
      <c r="Z484" s="22"/>
      <c r="AA484" s="22"/>
      <c r="AB484" s="22"/>
      <c r="AC484" s="22"/>
      <c r="AD484" s="22"/>
    </row>
    <row r="485" spans="1:30" ht="15.75" customHeight="1" x14ac:dyDescent="0.15">
      <c r="A485" s="22"/>
      <c r="B485" s="22"/>
      <c r="C485" s="22"/>
      <c r="D485" s="22"/>
      <c r="E485" s="22"/>
      <c r="F485" s="28"/>
      <c r="G485" s="28"/>
      <c r="H485" s="28"/>
      <c r="I485" s="28"/>
      <c r="J485" s="28"/>
      <c r="K485" s="28"/>
      <c r="L485" s="28"/>
      <c r="M485" s="22"/>
      <c r="N485" s="22"/>
      <c r="O485" s="22"/>
      <c r="P485" s="22"/>
      <c r="Q485" s="22"/>
      <c r="R485" s="28"/>
      <c r="S485" s="28"/>
      <c r="T485" s="28"/>
      <c r="U485" s="28"/>
      <c r="V485" s="22"/>
      <c r="W485" s="22"/>
      <c r="X485" s="22"/>
      <c r="Y485" s="22"/>
      <c r="Z485" s="22"/>
      <c r="AA485" s="22"/>
      <c r="AB485" s="22"/>
      <c r="AC485" s="22"/>
      <c r="AD485" s="22"/>
    </row>
    <row r="486" spans="1:30" ht="15.75" customHeight="1" x14ac:dyDescent="0.15">
      <c r="A486" s="22"/>
      <c r="B486" s="22"/>
      <c r="C486" s="22"/>
      <c r="D486" s="22"/>
      <c r="E486" s="22"/>
      <c r="F486" s="28"/>
      <c r="G486" s="28"/>
      <c r="H486" s="28"/>
      <c r="I486" s="28"/>
      <c r="J486" s="28"/>
      <c r="K486" s="28"/>
      <c r="L486" s="28"/>
      <c r="M486" s="22"/>
      <c r="N486" s="22"/>
      <c r="O486" s="22"/>
      <c r="P486" s="22"/>
      <c r="Q486" s="22"/>
      <c r="R486" s="28"/>
      <c r="S486" s="28"/>
      <c r="T486" s="28"/>
      <c r="U486" s="28"/>
      <c r="V486" s="22"/>
      <c r="W486" s="22"/>
      <c r="X486" s="22"/>
      <c r="Y486" s="22"/>
      <c r="Z486" s="22"/>
      <c r="AA486" s="22"/>
      <c r="AB486" s="22"/>
      <c r="AC486" s="22"/>
      <c r="AD486" s="22"/>
    </row>
    <row r="487" spans="1:30" ht="15.75" customHeight="1" x14ac:dyDescent="0.15">
      <c r="A487" s="22"/>
      <c r="B487" s="22"/>
      <c r="C487" s="22"/>
      <c r="D487" s="22"/>
      <c r="E487" s="22"/>
      <c r="F487" s="28"/>
      <c r="G487" s="28"/>
      <c r="H487" s="28"/>
      <c r="I487" s="28"/>
      <c r="J487" s="28"/>
      <c r="K487" s="28"/>
      <c r="L487" s="28"/>
      <c r="M487" s="22"/>
      <c r="N487" s="22"/>
      <c r="O487" s="22"/>
      <c r="P487" s="22"/>
      <c r="Q487" s="22"/>
      <c r="R487" s="28"/>
      <c r="S487" s="28"/>
      <c r="T487" s="28"/>
      <c r="U487" s="28"/>
      <c r="V487" s="22"/>
      <c r="W487" s="22"/>
      <c r="X487" s="22"/>
      <c r="Y487" s="22"/>
      <c r="Z487" s="22"/>
      <c r="AA487" s="22"/>
      <c r="AB487" s="22"/>
      <c r="AC487" s="22"/>
      <c r="AD487" s="22"/>
    </row>
    <row r="488" spans="1:30" ht="15.75" customHeight="1" x14ac:dyDescent="0.15">
      <c r="A488" s="22"/>
      <c r="B488" s="22"/>
      <c r="C488" s="22"/>
      <c r="D488" s="22"/>
      <c r="E488" s="22"/>
      <c r="F488" s="28"/>
      <c r="G488" s="28"/>
      <c r="H488" s="28"/>
      <c r="I488" s="28"/>
      <c r="J488" s="28"/>
      <c r="K488" s="28"/>
      <c r="L488" s="28"/>
      <c r="M488" s="22"/>
      <c r="N488" s="22"/>
      <c r="O488" s="22"/>
      <c r="P488" s="22"/>
      <c r="Q488" s="22"/>
      <c r="R488" s="28"/>
      <c r="S488" s="28"/>
      <c r="T488" s="28"/>
      <c r="U488" s="28"/>
      <c r="V488" s="22"/>
      <c r="W488" s="22"/>
      <c r="X488" s="22"/>
      <c r="Y488" s="22"/>
      <c r="Z488" s="22"/>
      <c r="AA488" s="22"/>
      <c r="AB488" s="22"/>
      <c r="AC488" s="22"/>
      <c r="AD488" s="22"/>
    </row>
    <row r="489" spans="1:30" ht="15.75" customHeight="1" x14ac:dyDescent="0.15">
      <c r="A489" s="22"/>
      <c r="B489" s="22"/>
      <c r="C489" s="22"/>
      <c r="D489" s="22"/>
      <c r="E489" s="22"/>
      <c r="F489" s="28"/>
      <c r="G489" s="28"/>
      <c r="H489" s="28"/>
      <c r="I489" s="28"/>
      <c r="J489" s="28"/>
      <c r="K489" s="28"/>
      <c r="L489" s="28"/>
      <c r="M489" s="22"/>
      <c r="N489" s="22"/>
      <c r="O489" s="22"/>
      <c r="P489" s="22"/>
      <c r="Q489" s="22"/>
      <c r="R489" s="28"/>
      <c r="S489" s="28"/>
      <c r="T489" s="28"/>
      <c r="U489" s="28"/>
      <c r="V489" s="22"/>
      <c r="W489" s="22"/>
      <c r="X489" s="22"/>
      <c r="Y489" s="22"/>
      <c r="Z489" s="22"/>
      <c r="AA489" s="22"/>
      <c r="AB489" s="22"/>
      <c r="AC489" s="22"/>
      <c r="AD489" s="22"/>
    </row>
    <row r="490" spans="1:30" ht="15.75" customHeight="1" x14ac:dyDescent="0.15">
      <c r="A490" s="22"/>
      <c r="B490" s="22"/>
      <c r="C490" s="22"/>
      <c r="D490" s="22"/>
      <c r="E490" s="22"/>
      <c r="F490" s="28"/>
      <c r="G490" s="28"/>
      <c r="H490" s="28"/>
      <c r="I490" s="28"/>
      <c r="J490" s="28"/>
      <c r="K490" s="28"/>
      <c r="L490" s="28"/>
      <c r="M490" s="22"/>
      <c r="N490" s="22"/>
      <c r="O490" s="22"/>
      <c r="P490" s="22"/>
      <c r="Q490" s="22"/>
      <c r="R490" s="28"/>
      <c r="S490" s="28"/>
      <c r="T490" s="28"/>
      <c r="U490" s="28"/>
      <c r="V490" s="22"/>
      <c r="W490" s="22"/>
      <c r="X490" s="22"/>
      <c r="Y490" s="22"/>
      <c r="Z490" s="22"/>
      <c r="AA490" s="22"/>
      <c r="AB490" s="22"/>
      <c r="AC490" s="22"/>
      <c r="AD490" s="22"/>
    </row>
    <row r="491" spans="1:30" ht="15.75" customHeight="1" x14ac:dyDescent="0.15">
      <c r="A491" s="22"/>
      <c r="B491" s="22"/>
      <c r="C491" s="22"/>
      <c r="D491" s="22"/>
      <c r="E491" s="22"/>
      <c r="F491" s="28"/>
      <c r="G491" s="28"/>
      <c r="H491" s="28"/>
      <c r="I491" s="28"/>
      <c r="J491" s="28"/>
      <c r="K491" s="28"/>
      <c r="L491" s="28"/>
      <c r="M491" s="22"/>
      <c r="N491" s="22"/>
      <c r="O491" s="22"/>
      <c r="P491" s="22"/>
      <c r="Q491" s="22"/>
      <c r="R491" s="28"/>
      <c r="S491" s="28"/>
      <c r="T491" s="28"/>
      <c r="U491" s="28"/>
      <c r="V491" s="22"/>
      <c r="W491" s="22"/>
      <c r="X491" s="22"/>
      <c r="Y491" s="22"/>
      <c r="Z491" s="22"/>
      <c r="AA491" s="22"/>
      <c r="AB491" s="22"/>
      <c r="AC491" s="22"/>
      <c r="AD491" s="22"/>
    </row>
    <row r="492" spans="1:30" ht="15.75" customHeight="1" x14ac:dyDescent="0.15">
      <c r="A492" s="22"/>
      <c r="B492" s="22"/>
      <c r="C492" s="22"/>
      <c r="D492" s="22"/>
      <c r="E492" s="22"/>
      <c r="F492" s="28"/>
      <c r="G492" s="28"/>
      <c r="H492" s="28"/>
      <c r="I492" s="28"/>
      <c r="J492" s="28"/>
      <c r="K492" s="28"/>
      <c r="L492" s="28"/>
      <c r="M492" s="22"/>
      <c r="N492" s="22"/>
      <c r="O492" s="22"/>
      <c r="P492" s="22"/>
      <c r="Q492" s="22"/>
      <c r="R492" s="28"/>
      <c r="S492" s="28"/>
      <c r="T492" s="28"/>
      <c r="U492" s="28"/>
      <c r="V492" s="22"/>
      <c r="W492" s="22"/>
      <c r="X492" s="22"/>
      <c r="Y492" s="22"/>
      <c r="Z492" s="22"/>
      <c r="AA492" s="22"/>
      <c r="AB492" s="22"/>
      <c r="AC492" s="22"/>
      <c r="AD492" s="22"/>
    </row>
    <row r="493" spans="1:30" ht="15.75" customHeight="1" x14ac:dyDescent="0.15">
      <c r="A493" s="22"/>
      <c r="B493" s="22"/>
      <c r="C493" s="22"/>
      <c r="D493" s="22"/>
      <c r="E493" s="22"/>
      <c r="F493" s="28"/>
      <c r="G493" s="28"/>
      <c r="H493" s="28"/>
      <c r="I493" s="28"/>
      <c r="J493" s="28"/>
      <c r="K493" s="28"/>
      <c r="L493" s="28"/>
      <c r="M493" s="22"/>
      <c r="N493" s="22"/>
      <c r="O493" s="22"/>
      <c r="P493" s="22"/>
      <c r="Q493" s="22"/>
      <c r="R493" s="28"/>
      <c r="S493" s="28"/>
      <c r="T493" s="28"/>
      <c r="U493" s="28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ht="15.75" customHeight="1" x14ac:dyDescent="0.15">
      <c r="A494" s="22"/>
      <c r="B494" s="22"/>
      <c r="C494" s="22"/>
      <c r="D494" s="22"/>
      <c r="E494" s="22"/>
      <c r="F494" s="28"/>
      <c r="G494" s="28"/>
      <c r="H494" s="28"/>
      <c r="I494" s="28"/>
      <c r="J494" s="28"/>
      <c r="K494" s="28"/>
      <c r="L494" s="28"/>
      <c r="M494" s="22"/>
      <c r="N494" s="22"/>
      <c r="O494" s="22"/>
      <c r="P494" s="22"/>
      <c r="Q494" s="22"/>
      <c r="R494" s="28"/>
      <c r="S494" s="28"/>
      <c r="T494" s="28"/>
      <c r="U494" s="28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ht="15.75" customHeight="1" x14ac:dyDescent="0.15">
      <c r="A495" s="22"/>
      <c r="B495" s="22"/>
      <c r="C495" s="22"/>
      <c r="D495" s="22"/>
      <c r="E495" s="22"/>
      <c r="F495" s="28"/>
      <c r="G495" s="28"/>
      <c r="H495" s="28"/>
      <c r="I495" s="28"/>
      <c r="J495" s="28"/>
      <c r="K495" s="28"/>
      <c r="L495" s="28"/>
      <c r="M495" s="22"/>
      <c r="N495" s="22"/>
      <c r="O495" s="22"/>
      <c r="P495" s="22"/>
      <c r="Q495" s="22"/>
      <c r="R495" s="28"/>
      <c r="S495" s="28"/>
      <c r="T495" s="28"/>
      <c r="U495" s="28"/>
      <c r="V495" s="22"/>
      <c r="W495" s="22"/>
      <c r="X495" s="22"/>
      <c r="Y495" s="22"/>
      <c r="Z495" s="22"/>
      <c r="AA495" s="22"/>
      <c r="AB495" s="22"/>
      <c r="AC495" s="22"/>
      <c r="AD495" s="22"/>
    </row>
    <row r="496" spans="1:30" ht="15.75" customHeight="1" x14ac:dyDescent="0.15">
      <c r="A496" s="22"/>
      <c r="B496" s="22"/>
      <c r="C496" s="22"/>
      <c r="D496" s="22"/>
      <c r="E496" s="22"/>
      <c r="F496" s="28"/>
      <c r="G496" s="28"/>
      <c r="H496" s="28"/>
      <c r="I496" s="28"/>
      <c r="J496" s="28"/>
      <c r="K496" s="28"/>
      <c r="L496" s="28"/>
      <c r="M496" s="22"/>
      <c r="N496" s="22"/>
      <c r="O496" s="22"/>
      <c r="P496" s="22"/>
      <c r="Q496" s="22"/>
      <c r="R496" s="28"/>
      <c r="S496" s="28"/>
      <c r="T496" s="28"/>
      <c r="U496" s="28"/>
      <c r="V496" s="22"/>
      <c r="W496" s="22"/>
      <c r="X496" s="22"/>
      <c r="Y496" s="22"/>
      <c r="Z496" s="22"/>
      <c r="AA496" s="22"/>
      <c r="AB496" s="22"/>
      <c r="AC496" s="22"/>
      <c r="AD496" s="22"/>
    </row>
    <row r="497" spans="1:30" ht="15.75" customHeight="1" x14ac:dyDescent="0.15">
      <c r="A497" s="22"/>
      <c r="B497" s="22"/>
      <c r="C497" s="22"/>
      <c r="D497" s="22"/>
      <c r="E497" s="22"/>
      <c r="F497" s="28"/>
      <c r="G497" s="28"/>
      <c r="H497" s="28"/>
      <c r="I497" s="28"/>
      <c r="J497" s="28"/>
      <c r="K497" s="28"/>
      <c r="L497" s="28"/>
      <c r="M497" s="22"/>
      <c r="N497" s="22"/>
      <c r="O497" s="22"/>
      <c r="P497" s="22"/>
      <c r="Q497" s="22"/>
      <c r="R497" s="28"/>
      <c r="S497" s="28"/>
      <c r="T497" s="28"/>
      <c r="U497" s="28"/>
      <c r="V497" s="22"/>
      <c r="W497" s="22"/>
      <c r="X497" s="22"/>
      <c r="Y497" s="22"/>
      <c r="Z497" s="22"/>
      <c r="AA497" s="22"/>
      <c r="AB497" s="22"/>
      <c r="AC497" s="22"/>
      <c r="AD497" s="22"/>
    </row>
    <row r="498" spans="1:30" ht="15.75" customHeight="1" x14ac:dyDescent="0.15">
      <c r="A498" s="22"/>
      <c r="B498" s="22"/>
      <c r="C498" s="22"/>
      <c r="D498" s="22"/>
      <c r="E498" s="22"/>
      <c r="F498" s="28"/>
      <c r="G498" s="28"/>
      <c r="H498" s="28"/>
      <c r="I498" s="28"/>
      <c r="J498" s="28"/>
      <c r="K498" s="28"/>
      <c r="L498" s="28"/>
      <c r="M498" s="22"/>
      <c r="N498" s="22"/>
      <c r="O498" s="22"/>
      <c r="P498" s="22"/>
      <c r="Q498" s="22"/>
      <c r="R498" s="28"/>
      <c r="S498" s="28"/>
      <c r="T498" s="28"/>
      <c r="U498" s="28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ht="15.75" customHeight="1" x14ac:dyDescent="0.15">
      <c r="A499" s="22"/>
      <c r="B499" s="22"/>
      <c r="C499" s="22"/>
      <c r="D499" s="22"/>
      <c r="E499" s="22"/>
      <c r="F499" s="28"/>
      <c r="G499" s="28"/>
      <c r="H499" s="28"/>
      <c r="I499" s="28"/>
      <c r="J499" s="28"/>
      <c r="K499" s="28"/>
      <c r="L499" s="28"/>
      <c r="M499" s="22"/>
      <c r="N499" s="22"/>
      <c r="O499" s="22"/>
      <c r="P499" s="22"/>
      <c r="Q499" s="22"/>
      <c r="R499" s="28"/>
      <c r="S499" s="28"/>
      <c r="T499" s="28"/>
      <c r="U499" s="28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ht="15.75" customHeight="1" x14ac:dyDescent="0.15">
      <c r="A500" s="22"/>
      <c r="B500" s="22"/>
      <c r="C500" s="22"/>
      <c r="D500" s="22"/>
      <c r="E500" s="22"/>
      <c r="F500" s="28"/>
      <c r="G500" s="28"/>
      <c r="H500" s="28"/>
      <c r="I500" s="28"/>
      <c r="J500" s="28"/>
      <c r="K500" s="28"/>
      <c r="L500" s="28"/>
      <c r="M500" s="22"/>
      <c r="N500" s="22"/>
      <c r="O500" s="22"/>
      <c r="P500" s="22"/>
      <c r="Q500" s="22"/>
      <c r="R500" s="28"/>
      <c r="S500" s="28"/>
      <c r="T500" s="28"/>
      <c r="U500" s="28"/>
      <c r="V500" s="22"/>
      <c r="W500" s="22"/>
      <c r="X500" s="22"/>
      <c r="Y500" s="22"/>
      <c r="Z500" s="22"/>
      <c r="AA500" s="22"/>
      <c r="AB500" s="22"/>
      <c r="AC500" s="22"/>
      <c r="AD500" s="22"/>
    </row>
    <row r="501" spans="1:30" ht="15.75" customHeight="1" x14ac:dyDescent="0.15">
      <c r="A501" s="22"/>
      <c r="B501" s="22"/>
      <c r="C501" s="22"/>
      <c r="D501" s="22"/>
      <c r="E501" s="22"/>
      <c r="F501" s="28"/>
      <c r="G501" s="28"/>
      <c r="H501" s="28"/>
      <c r="I501" s="28"/>
      <c r="J501" s="28"/>
      <c r="K501" s="28"/>
      <c r="L501" s="28"/>
      <c r="M501" s="22"/>
      <c r="N501" s="22"/>
      <c r="O501" s="22"/>
      <c r="P501" s="22"/>
      <c r="Q501" s="22"/>
      <c r="R501" s="28"/>
      <c r="S501" s="28"/>
      <c r="T501" s="28"/>
      <c r="U501" s="28"/>
      <c r="V501" s="22"/>
      <c r="W501" s="22"/>
      <c r="X501" s="22"/>
      <c r="Y501" s="22"/>
      <c r="Z501" s="22"/>
      <c r="AA501" s="22"/>
      <c r="AB501" s="22"/>
      <c r="AC501" s="22"/>
      <c r="AD501" s="22"/>
    </row>
    <row r="502" spans="1:30" ht="15.75" customHeight="1" x14ac:dyDescent="0.15">
      <c r="A502" s="22"/>
      <c r="B502" s="22"/>
      <c r="C502" s="22"/>
      <c r="D502" s="22"/>
      <c r="E502" s="22"/>
      <c r="F502" s="28"/>
      <c r="G502" s="28"/>
      <c r="H502" s="28"/>
      <c r="I502" s="28"/>
      <c r="J502" s="28"/>
      <c r="K502" s="28"/>
      <c r="L502" s="28"/>
      <c r="M502" s="22"/>
      <c r="N502" s="22"/>
      <c r="O502" s="22"/>
      <c r="P502" s="22"/>
      <c r="Q502" s="22"/>
      <c r="R502" s="28"/>
      <c r="S502" s="28"/>
      <c r="T502" s="28"/>
      <c r="U502" s="28"/>
      <c r="V502" s="22"/>
      <c r="W502" s="22"/>
      <c r="X502" s="22"/>
      <c r="Y502" s="22"/>
      <c r="Z502" s="22"/>
      <c r="AA502" s="22"/>
      <c r="AB502" s="22"/>
      <c r="AC502" s="22"/>
      <c r="AD502" s="22"/>
    </row>
    <row r="503" spans="1:30" ht="15.75" customHeight="1" x14ac:dyDescent="0.15">
      <c r="A503" s="22"/>
      <c r="B503" s="22"/>
      <c r="C503" s="22"/>
      <c r="D503" s="22"/>
      <c r="E503" s="22"/>
      <c r="F503" s="28"/>
      <c r="G503" s="28"/>
      <c r="H503" s="28"/>
      <c r="I503" s="28"/>
      <c r="J503" s="28"/>
      <c r="K503" s="28"/>
      <c r="L503" s="28"/>
      <c r="M503" s="22"/>
      <c r="N503" s="22"/>
      <c r="O503" s="22"/>
      <c r="P503" s="22"/>
      <c r="Q503" s="22"/>
      <c r="R503" s="28"/>
      <c r="S503" s="28"/>
      <c r="T503" s="28"/>
      <c r="U503" s="28"/>
      <c r="V503" s="22"/>
      <c r="W503" s="22"/>
      <c r="X503" s="22"/>
      <c r="Y503" s="22"/>
      <c r="Z503" s="22"/>
      <c r="AA503" s="22"/>
      <c r="AB503" s="22"/>
      <c r="AC503" s="22"/>
      <c r="AD503" s="22"/>
    </row>
    <row r="504" spans="1:30" ht="15.75" customHeight="1" x14ac:dyDescent="0.15">
      <c r="A504" s="22"/>
      <c r="B504" s="22"/>
      <c r="C504" s="22"/>
      <c r="D504" s="22"/>
      <c r="E504" s="22"/>
      <c r="F504" s="28"/>
      <c r="G504" s="28"/>
      <c r="H504" s="28"/>
      <c r="I504" s="28"/>
      <c r="J504" s="28"/>
      <c r="K504" s="28"/>
      <c r="L504" s="28"/>
      <c r="M504" s="22"/>
      <c r="N504" s="22"/>
      <c r="O504" s="22"/>
      <c r="P504" s="22"/>
      <c r="Q504" s="22"/>
      <c r="R504" s="28"/>
      <c r="S504" s="28"/>
      <c r="T504" s="28"/>
      <c r="U504" s="28"/>
      <c r="V504" s="22"/>
      <c r="W504" s="22"/>
      <c r="X504" s="22"/>
      <c r="Y504" s="22"/>
      <c r="Z504" s="22"/>
      <c r="AA504" s="22"/>
      <c r="AB504" s="22"/>
      <c r="AC504" s="22"/>
      <c r="AD504" s="22"/>
    </row>
    <row r="505" spans="1:30" ht="15.75" customHeight="1" x14ac:dyDescent="0.15">
      <c r="A505" s="22"/>
      <c r="B505" s="22"/>
      <c r="C505" s="22"/>
      <c r="D505" s="22"/>
      <c r="E505" s="22"/>
      <c r="F505" s="28"/>
      <c r="G505" s="28"/>
      <c r="H505" s="28"/>
      <c r="I505" s="28"/>
      <c r="J505" s="28"/>
      <c r="K505" s="28"/>
      <c r="L505" s="28"/>
      <c r="M505" s="22"/>
      <c r="N505" s="22"/>
      <c r="O505" s="22"/>
      <c r="P505" s="22"/>
      <c r="Q505" s="22"/>
      <c r="R505" s="28"/>
      <c r="S505" s="28"/>
      <c r="T505" s="28"/>
      <c r="U505" s="28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ht="15.75" customHeight="1" x14ac:dyDescent="0.15">
      <c r="A506" s="22"/>
      <c r="B506" s="22"/>
      <c r="C506" s="22"/>
      <c r="D506" s="22"/>
      <c r="E506" s="22"/>
      <c r="F506" s="28"/>
      <c r="G506" s="28"/>
      <c r="H506" s="28"/>
      <c r="I506" s="28"/>
      <c r="J506" s="28"/>
      <c r="K506" s="28"/>
      <c r="L506" s="28"/>
      <c r="M506" s="22"/>
      <c r="N506" s="22"/>
      <c r="O506" s="22"/>
      <c r="P506" s="22"/>
      <c r="Q506" s="22"/>
      <c r="R506" s="28"/>
      <c r="S506" s="28"/>
      <c r="T506" s="28"/>
      <c r="U506" s="28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ht="15.75" customHeight="1" x14ac:dyDescent="0.15">
      <c r="A507" s="22"/>
      <c r="B507" s="22"/>
      <c r="C507" s="22"/>
      <c r="D507" s="22"/>
      <c r="E507" s="22"/>
      <c r="F507" s="28"/>
      <c r="G507" s="28"/>
      <c r="H507" s="28"/>
      <c r="I507" s="28"/>
      <c r="J507" s="28"/>
      <c r="K507" s="28"/>
      <c r="L507" s="28"/>
      <c r="M507" s="22"/>
      <c r="N507" s="22"/>
      <c r="O507" s="22"/>
      <c r="P507" s="22"/>
      <c r="Q507" s="22"/>
      <c r="R507" s="28"/>
      <c r="S507" s="28"/>
      <c r="T507" s="28"/>
      <c r="U507" s="28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ht="15.75" customHeight="1" x14ac:dyDescent="0.15">
      <c r="A508" s="22"/>
      <c r="B508" s="22"/>
      <c r="C508" s="22"/>
      <c r="D508" s="22"/>
      <c r="E508" s="22"/>
      <c r="F508" s="28"/>
      <c r="G508" s="28"/>
      <c r="H508" s="28"/>
      <c r="I508" s="28"/>
      <c r="J508" s="28"/>
      <c r="K508" s="28"/>
      <c r="L508" s="28"/>
      <c r="M508" s="22"/>
      <c r="N508" s="22"/>
      <c r="O508" s="22"/>
      <c r="P508" s="22"/>
      <c r="Q508" s="22"/>
      <c r="R508" s="28"/>
      <c r="S508" s="28"/>
      <c r="T508" s="28"/>
      <c r="U508" s="28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ht="15.75" customHeight="1" x14ac:dyDescent="0.15">
      <c r="A509" s="22"/>
      <c r="B509" s="22"/>
      <c r="C509" s="22"/>
      <c r="D509" s="22"/>
      <c r="E509" s="22"/>
      <c r="F509" s="28"/>
      <c r="G509" s="28"/>
      <c r="H509" s="28"/>
      <c r="I509" s="28"/>
      <c r="J509" s="28"/>
      <c r="K509" s="28"/>
      <c r="L509" s="28"/>
      <c r="M509" s="22"/>
      <c r="N509" s="22"/>
      <c r="O509" s="22"/>
      <c r="P509" s="22"/>
      <c r="Q509" s="22"/>
      <c r="R509" s="28"/>
      <c r="S509" s="28"/>
      <c r="T509" s="28"/>
      <c r="U509" s="28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ht="15.75" customHeight="1" x14ac:dyDescent="0.15">
      <c r="A510" s="22"/>
      <c r="B510" s="22"/>
      <c r="C510" s="22"/>
      <c r="D510" s="22"/>
      <c r="E510" s="22"/>
      <c r="F510" s="28"/>
      <c r="G510" s="28"/>
      <c r="H510" s="28"/>
      <c r="I510" s="28"/>
      <c r="J510" s="28"/>
      <c r="K510" s="28"/>
      <c r="L510" s="28"/>
      <c r="M510" s="22"/>
      <c r="N510" s="22"/>
      <c r="O510" s="22"/>
      <c r="P510" s="22"/>
      <c r="Q510" s="22"/>
      <c r="R510" s="28"/>
      <c r="S510" s="28"/>
      <c r="T510" s="28"/>
      <c r="U510" s="28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ht="15.75" customHeight="1" x14ac:dyDescent="0.15">
      <c r="A511" s="22"/>
      <c r="B511" s="22"/>
      <c r="C511" s="22"/>
      <c r="D511" s="22"/>
      <c r="E511" s="22"/>
      <c r="F511" s="28"/>
      <c r="G511" s="28"/>
      <c r="H511" s="28"/>
      <c r="I511" s="28"/>
      <c r="J511" s="28"/>
      <c r="K511" s="28"/>
      <c r="L511" s="28"/>
      <c r="M511" s="22"/>
      <c r="N511" s="22"/>
      <c r="O511" s="22"/>
      <c r="P511" s="22"/>
      <c r="Q511" s="22"/>
      <c r="R511" s="28"/>
      <c r="S511" s="28"/>
      <c r="T511" s="28"/>
      <c r="U511" s="28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ht="15.75" customHeight="1" x14ac:dyDescent="0.15">
      <c r="A512" s="22"/>
      <c r="B512" s="22"/>
      <c r="C512" s="22"/>
      <c r="D512" s="22"/>
      <c r="E512" s="22"/>
      <c r="F512" s="28"/>
      <c r="G512" s="28"/>
      <c r="H512" s="28"/>
      <c r="I512" s="28"/>
      <c r="J512" s="28"/>
      <c r="K512" s="28"/>
      <c r="L512" s="28"/>
      <c r="M512" s="22"/>
      <c r="N512" s="22"/>
      <c r="O512" s="22"/>
      <c r="P512" s="22"/>
      <c r="Q512" s="22"/>
      <c r="R512" s="28"/>
      <c r="S512" s="28"/>
      <c r="T512" s="28"/>
      <c r="U512" s="28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ht="15.75" customHeight="1" x14ac:dyDescent="0.15">
      <c r="A513" s="22"/>
      <c r="B513" s="22"/>
      <c r="C513" s="22"/>
      <c r="D513" s="22"/>
      <c r="E513" s="22"/>
      <c r="F513" s="28"/>
      <c r="G513" s="28"/>
      <c r="H513" s="28"/>
      <c r="I513" s="28"/>
      <c r="J513" s="28"/>
      <c r="K513" s="28"/>
      <c r="L513" s="28"/>
      <c r="M513" s="22"/>
      <c r="N513" s="22"/>
      <c r="O513" s="22"/>
      <c r="P513" s="22"/>
      <c r="Q513" s="22"/>
      <c r="R513" s="28"/>
      <c r="S513" s="28"/>
      <c r="T513" s="28"/>
      <c r="U513" s="28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ht="15.75" customHeight="1" x14ac:dyDescent="0.15">
      <c r="A514" s="22"/>
      <c r="B514" s="22"/>
      <c r="C514" s="22"/>
      <c r="D514" s="22"/>
      <c r="E514" s="22"/>
      <c r="F514" s="28"/>
      <c r="G514" s="28"/>
      <c r="H514" s="28"/>
      <c r="I514" s="28"/>
      <c r="J514" s="28"/>
      <c r="K514" s="28"/>
      <c r="L514" s="28"/>
      <c r="M514" s="22"/>
      <c r="N514" s="22"/>
      <c r="O514" s="22"/>
      <c r="P514" s="22"/>
      <c r="Q514" s="22"/>
      <c r="R514" s="28"/>
      <c r="S514" s="28"/>
      <c r="T514" s="28"/>
      <c r="U514" s="28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ht="15.75" customHeight="1" x14ac:dyDescent="0.15">
      <c r="A515" s="22"/>
      <c r="B515" s="22"/>
      <c r="C515" s="22"/>
      <c r="D515" s="22"/>
      <c r="E515" s="22"/>
      <c r="F515" s="28"/>
      <c r="G515" s="28"/>
      <c r="H515" s="28"/>
      <c r="I515" s="28"/>
      <c r="J515" s="28"/>
      <c r="K515" s="28"/>
      <c r="L515" s="28"/>
      <c r="M515" s="22"/>
      <c r="N515" s="22"/>
      <c r="O515" s="22"/>
      <c r="P515" s="22"/>
      <c r="Q515" s="22"/>
      <c r="R515" s="28"/>
      <c r="S515" s="28"/>
      <c r="T515" s="28"/>
      <c r="U515" s="28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ht="15.75" customHeight="1" x14ac:dyDescent="0.15">
      <c r="A516" s="22"/>
      <c r="B516" s="22"/>
      <c r="C516" s="22"/>
      <c r="D516" s="22"/>
      <c r="E516" s="22"/>
      <c r="F516" s="28"/>
      <c r="G516" s="28"/>
      <c r="H516" s="28"/>
      <c r="I516" s="28"/>
      <c r="J516" s="28"/>
      <c r="K516" s="28"/>
      <c r="L516" s="28"/>
      <c r="M516" s="22"/>
      <c r="N516" s="22"/>
      <c r="O516" s="22"/>
      <c r="P516" s="22"/>
      <c r="Q516" s="22"/>
      <c r="R516" s="28"/>
      <c r="S516" s="28"/>
      <c r="T516" s="28"/>
      <c r="U516" s="28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ht="15.75" customHeight="1" x14ac:dyDescent="0.15">
      <c r="A517" s="22"/>
      <c r="B517" s="22"/>
      <c r="C517" s="22"/>
      <c r="D517" s="22"/>
      <c r="E517" s="22"/>
      <c r="F517" s="28"/>
      <c r="G517" s="28"/>
      <c r="H517" s="28"/>
      <c r="I517" s="28"/>
      <c r="J517" s="28"/>
      <c r="K517" s="28"/>
      <c r="L517" s="28"/>
      <c r="M517" s="22"/>
      <c r="N517" s="22"/>
      <c r="O517" s="22"/>
      <c r="P517" s="22"/>
      <c r="Q517" s="22"/>
      <c r="R517" s="28"/>
      <c r="S517" s="28"/>
      <c r="T517" s="28"/>
      <c r="U517" s="28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ht="15.75" customHeight="1" x14ac:dyDescent="0.15">
      <c r="A518" s="22"/>
      <c r="B518" s="22"/>
      <c r="C518" s="22"/>
      <c r="D518" s="22"/>
      <c r="E518" s="22"/>
      <c r="F518" s="28"/>
      <c r="G518" s="28"/>
      <c r="H518" s="28"/>
      <c r="I518" s="28"/>
      <c r="J518" s="28"/>
      <c r="K518" s="28"/>
      <c r="L518" s="28"/>
      <c r="M518" s="22"/>
      <c r="N518" s="22"/>
      <c r="O518" s="22"/>
      <c r="P518" s="22"/>
      <c r="Q518" s="22"/>
      <c r="R518" s="28"/>
      <c r="S518" s="28"/>
      <c r="T518" s="28"/>
      <c r="U518" s="28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ht="15.75" customHeight="1" x14ac:dyDescent="0.15">
      <c r="A519" s="22"/>
      <c r="B519" s="22"/>
      <c r="C519" s="22"/>
      <c r="D519" s="22"/>
      <c r="E519" s="22"/>
      <c r="F519" s="28"/>
      <c r="G519" s="28"/>
      <c r="H519" s="28"/>
      <c r="I519" s="28"/>
      <c r="J519" s="28"/>
      <c r="K519" s="28"/>
      <c r="L519" s="28"/>
      <c r="M519" s="22"/>
      <c r="N519" s="22"/>
      <c r="O519" s="22"/>
      <c r="P519" s="22"/>
      <c r="Q519" s="22"/>
      <c r="R519" s="28"/>
      <c r="S519" s="28"/>
      <c r="T519" s="28"/>
      <c r="U519" s="28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ht="15.75" customHeight="1" x14ac:dyDescent="0.15">
      <c r="A520" s="22"/>
      <c r="B520" s="22"/>
      <c r="C520" s="22"/>
      <c r="D520" s="22"/>
      <c r="E520" s="22"/>
      <c r="F520" s="28"/>
      <c r="G520" s="28"/>
      <c r="H520" s="28"/>
      <c r="I520" s="28"/>
      <c r="J520" s="28"/>
      <c r="K520" s="28"/>
      <c r="L520" s="28"/>
      <c r="M520" s="22"/>
      <c r="N520" s="22"/>
      <c r="O520" s="22"/>
      <c r="P520" s="22"/>
      <c r="Q520" s="22"/>
      <c r="R520" s="28"/>
      <c r="S520" s="28"/>
      <c r="T520" s="28"/>
      <c r="U520" s="28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ht="15.75" customHeight="1" x14ac:dyDescent="0.15">
      <c r="A521" s="22"/>
      <c r="B521" s="22"/>
      <c r="C521" s="22"/>
      <c r="D521" s="22"/>
      <c r="E521" s="22"/>
      <c r="F521" s="28"/>
      <c r="G521" s="28"/>
      <c r="H521" s="28"/>
      <c r="I521" s="28"/>
      <c r="J521" s="28"/>
      <c r="K521" s="28"/>
      <c r="L521" s="28"/>
      <c r="M521" s="22"/>
      <c r="N521" s="22"/>
      <c r="O521" s="22"/>
      <c r="P521" s="22"/>
      <c r="Q521" s="22"/>
      <c r="R521" s="28"/>
      <c r="S521" s="28"/>
      <c r="T521" s="28"/>
      <c r="U521" s="28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ht="15.75" customHeight="1" x14ac:dyDescent="0.15">
      <c r="A522" s="22"/>
      <c r="B522" s="22"/>
      <c r="C522" s="22"/>
      <c r="D522" s="22"/>
      <c r="E522" s="22"/>
      <c r="F522" s="28"/>
      <c r="G522" s="28"/>
      <c r="H522" s="28"/>
      <c r="I522" s="28"/>
      <c r="J522" s="28"/>
      <c r="K522" s="28"/>
      <c r="L522" s="28"/>
      <c r="M522" s="22"/>
      <c r="N522" s="22"/>
      <c r="O522" s="22"/>
      <c r="P522" s="22"/>
      <c r="Q522" s="22"/>
      <c r="R522" s="28"/>
      <c r="S522" s="28"/>
      <c r="T522" s="28"/>
      <c r="U522" s="28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ht="15.75" customHeight="1" x14ac:dyDescent="0.15">
      <c r="A523" s="22"/>
      <c r="B523" s="22"/>
      <c r="C523" s="22"/>
      <c r="D523" s="22"/>
      <c r="E523" s="22"/>
      <c r="F523" s="28"/>
      <c r="G523" s="28"/>
      <c r="H523" s="28"/>
      <c r="I523" s="28"/>
      <c r="J523" s="28"/>
      <c r="K523" s="28"/>
      <c r="L523" s="28"/>
      <c r="M523" s="22"/>
      <c r="N523" s="22"/>
      <c r="O523" s="22"/>
      <c r="P523" s="22"/>
      <c r="Q523" s="22"/>
      <c r="R523" s="28"/>
      <c r="S523" s="28"/>
      <c r="T523" s="28"/>
      <c r="U523" s="28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ht="15.75" customHeight="1" x14ac:dyDescent="0.15">
      <c r="A524" s="22"/>
      <c r="B524" s="22"/>
      <c r="C524" s="22"/>
      <c r="D524" s="22"/>
      <c r="E524" s="22"/>
      <c r="F524" s="28"/>
      <c r="G524" s="28"/>
      <c r="H524" s="28"/>
      <c r="I524" s="28"/>
      <c r="J524" s="28"/>
      <c r="K524" s="28"/>
      <c r="L524" s="28"/>
      <c r="M524" s="22"/>
      <c r="N524" s="22"/>
      <c r="O524" s="22"/>
      <c r="P524" s="22"/>
      <c r="Q524" s="22"/>
      <c r="R524" s="28"/>
      <c r="S524" s="28"/>
      <c r="T524" s="28"/>
      <c r="U524" s="28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ht="15.75" customHeight="1" x14ac:dyDescent="0.15">
      <c r="A525" s="22"/>
      <c r="B525" s="22"/>
      <c r="C525" s="22"/>
      <c r="D525" s="22"/>
      <c r="E525" s="22"/>
      <c r="F525" s="28"/>
      <c r="G525" s="28"/>
      <c r="H525" s="28"/>
      <c r="I525" s="28"/>
      <c r="J525" s="28"/>
      <c r="K525" s="28"/>
      <c r="L525" s="28"/>
      <c r="M525" s="22"/>
      <c r="N525" s="22"/>
      <c r="O525" s="22"/>
      <c r="P525" s="22"/>
      <c r="Q525" s="22"/>
      <c r="R525" s="28"/>
      <c r="S525" s="28"/>
      <c r="T525" s="28"/>
      <c r="U525" s="28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ht="15.75" customHeight="1" x14ac:dyDescent="0.15">
      <c r="A526" s="22"/>
      <c r="B526" s="22"/>
      <c r="C526" s="22"/>
      <c r="D526" s="22"/>
      <c r="E526" s="22"/>
      <c r="F526" s="28"/>
      <c r="G526" s="28"/>
      <c r="H526" s="28"/>
      <c r="I526" s="28"/>
      <c r="J526" s="28"/>
      <c r="K526" s="28"/>
      <c r="L526" s="28"/>
      <c r="M526" s="22"/>
      <c r="N526" s="22"/>
      <c r="O526" s="22"/>
      <c r="P526" s="22"/>
      <c r="Q526" s="22"/>
      <c r="R526" s="28"/>
      <c r="S526" s="28"/>
      <c r="T526" s="28"/>
      <c r="U526" s="28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ht="15.75" customHeight="1" x14ac:dyDescent="0.15">
      <c r="A527" s="22"/>
      <c r="B527" s="22"/>
      <c r="C527" s="22"/>
      <c r="D527" s="22"/>
      <c r="E527" s="22"/>
      <c r="F527" s="28"/>
      <c r="G527" s="28"/>
      <c r="H527" s="28"/>
      <c r="I527" s="28"/>
      <c r="J527" s="28"/>
      <c r="K527" s="28"/>
      <c r="L527" s="28"/>
      <c r="M527" s="22"/>
      <c r="N527" s="22"/>
      <c r="O527" s="22"/>
      <c r="P527" s="22"/>
      <c r="Q527" s="22"/>
      <c r="R527" s="28"/>
      <c r="S527" s="28"/>
      <c r="T527" s="28"/>
      <c r="U527" s="28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ht="15.75" customHeight="1" x14ac:dyDescent="0.15">
      <c r="A528" s="22"/>
      <c r="B528" s="22"/>
      <c r="C528" s="22"/>
      <c r="D528" s="22"/>
      <c r="E528" s="22"/>
      <c r="F528" s="28"/>
      <c r="G528" s="28"/>
      <c r="H528" s="28"/>
      <c r="I528" s="28"/>
      <c r="J528" s="28"/>
      <c r="K528" s="28"/>
      <c r="L528" s="28"/>
      <c r="M528" s="22"/>
      <c r="N528" s="22"/>
      <c r="O528" s="22"/>
      <c r="P528" s="22"/>
      <c r="Q528" s="22"/>
      <c r="R528" s="28"/>
      <c r="S528" s="28"/>
      <c r="T528" s="28"/>
      <c r="U528" s="28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ht="15.75" customHeight="1" x14ac:dyDescent="0.15">
      <c r="A529" s="22"/>
      <c r="B529" s="22"/>
      <c r="C529" s="22"/>
      <c r="D529" s="22"/>
      <c r="E529" s="22"/>
      <c r="F529" s="28"/>
      <c r="G529" s="28"/>
      <c r="H529" s="28"/>
      <c r="I529" s="28"/>
      <c r="J529" s="28"/>
      <c r="K529" s="28"/>
      <c r="L529" s="28"/>
      <c r="M529" s="22"/>
      <c r="N529" s="22"/>
      <c r="O529" s="22"/>
      <c r="P529" s="22"/>
      <c r="Q529" s="22"/>
      <c r="R529" s="28"/>
      <c r="S529" s="28"/>
      <c r="T529" s="28"/>
      <c r="U529" s="28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ht="15.75" customHeight="1" x14ac:dyDescent="0.15">
      <c r="A530" s="22"/>
      <c r="B530" s="22"/>
      <c r="C530" s="22"/>
      <c r="D530" s="22"/>
      <c r="E530" s="22"/>
      <c r="F530" s="28"/>
      <c r="G530" s="28"/>
      <c r="H530" s="28"/>
      <c r="I530" s="28"/>
      <c r="J530" s="28"/>
      <c r="K530" s="28"/>
      <c r="L530" s="28"/>
      <c r="M530" s="22"/>
      <c r="N530" s="22"/>
      <c r="O530" s="22"/>
      <c r="P530" s="22"/>
      <c r="Q530" s="22"/>
      <c r="R530" s="28"/>
      <c r="S530" s="28"/>
      <c r="T530" s="28"/>
      <c r="U530" s="28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ht="15.75" customHeight="1" x14ac:dyDescent="0.15">
      <c r="A531" s="22"/>
      <c r="B531" s="22"/>
      <c r="C531" s="22"/>
      <c r="D531" s="22"/>
      <c r="E531" s="22"/>
      <c r="F531" s="28"/>
      <c r="G531" s="28"/>
      <c r="H531" s="28"/>
      <c r="I531" s="28"/>
      <c r="J531" s="28"/>
      <c r="K531" s="28"/>
      <c r="L531" s="28"/>
      <c r="M531" s="22"/>
      <c r="N531" s="22"/>
      <c r="O531" s="22"/>
      <c r="P531" s="22"/>
      <c r="Q531" s="22"/>
      <c r="R531" s="28"/>
      <c r="S531" s="28"/>
      <c r="T531" s="28"/>
      <c r="U531" s="28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ht="15.75" customHeight="1" x14ac:dyDescent="0.15">
      <c r="A532" s="22"/>
      <c r="B532" s="22"/>
      <c r="C532" s="22"/>
      <c r="D532" s="22"/>
      <c r="E532" s="22"/>
      <c r="F532" s="28"/>
      <c r="G532" s="28"/>
      <c r="H532" s="28"/>
      <c r="I532" s="28"/>
      <c r="J532" s="28"/>
      <c r="K532" s="28"/>
      <c r="L532" s="28"/>
      <c r="M532" s="22"/>
      <c r="N532" s="22"/>
      <c r="O532" s="22"/>
      <c r="P532" s="22"/>
      <c r="Q532" s="22"/>
      <c r="R532" s="28"/>
      <c r="S532" s="28"/>
      <c r="T532" s="28"/>
      <c r="U532" s="28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ht="15.75" customHeight="1" x14ac:dyDescent="0.15">
      <c r="A533" s="22"/>
      <c r="B533" s="22"/>
      <c r="C533" s="22"/>
      <c r="D533" s="22"/>
      <c r="E533" s="22"/>
      <c r="F533" s="28"/>
      <c r="G533" s="28"/>
      <c r="H533" s="28"/>
      <c r="I533" s="28"/>
      <c r="J533" s="28"/>
      <c r="K533" s="28"/>
      <c r="L533" s="28"/>
      <c r="M533" s="22"/>
      <c r="N533" s="22"/>
      <c r="O533" s="22"/>
      <c r="P533" s="22"/>
      <c r="Q533" s="22"/>
      <c r="R533" s="28"/>
      <c r="S533" s="28"/>
      <c r="T533" s="28"/>
      <c r="U533" s="28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ht="15.75" customHeight="1" x14ac:dyDescent="0.15">
      <c r="A534" s="22"/>
      <c r="B534" s="22"/>
      <c r="C534" s="22"/>
      <c r="D534" s="22"/>
      <c r="E534" s="22"/>
      <c r="F534" s="28"/>
      <c r="G534" s="28"/>
      <c r="H534" s="28"/>
      <c r="I534" s="28"/>
      <c r="J534" s="28"/>
      <c r="K534" s="28"/>
      <c r="L534" s="28"/>
      <c r="M534" s="22"/>
      <c r="N534" s="22"/>
      <c r="O534" s="22"/>
      <c r="P534" s="22"/>
      <c r="Q534" s="22"/>
      <c r="R534" s="28"/>
      <c r="S534" s="28"/>
      <c r="T534" s="28"/>
      <c r="U534" s="28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ht="15.75" customHeight="1" x14ac:dyDescent="0.15">
      <c r="A535" s="22"/>
      <c r="B535" s="22"/>
      <c r="C535" s="22"/>
      <c r="D535" s="22"/>
      <c r="E535" s="22"/>
      <c r="F535" s="28"/>
      <c r="G535" s="28"/>
      <c r="H535" s="28"/>
      <c r="I535" s="28"/>
      <c r="J535" s="28"/>
      <c r="K535" s="28"/>
      <c r="L535" s="28"/>
      <c r="M535" s="22"/>
      <c r="N535" s="22"/>
      <c r="O535" s="22"/>
      <c r="P535" s="22"/>
      <c r="Q535" s="22"/>
      <c r="R535" s="28"/>
      <c r="S535" s="28"/>
      <c r="T535" s="28"/>
      <c r="U535" s="28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ht="15.75" customHeight="1" x14ac:dyDescent="0.15">
      <c r="A536" s="22"/>
      <c r="B536" s="22"/>
      <c r="C536" s="22"/>
      <c r="D536" s="22"/>
      <c r="E536" s="22"/>
      <c r="F536" s="28"/>
      <c r="G536" s="28"/>
      <c r="H536" s="28"/>
      <c r="I536" s="28"/>
      <c r="J536" s="28"/>
      <c r="K536" s="28"/>
      <c r="L536" s="28"/>
      <c r="M536" s="22"/>
      <c r="N536" s="22"/>
      <c r="O536" s="22"/>
      <c r="P536" s="22"/>
      <c r="Q536" s="22"/>
      <c r="R536" s="28"/>
      <c r="S536" s="28"/>
      <c r="T536" s="28"/>
      <c r="U536" s="28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ht="15.75" customHeight="1" x14ac:dyDescent="0.15">
      <c r="A537" s="22"/>
      <c r="B537" s="22"/>
      <c r="C537" s="22"/>
      <c r="D537" s="22"/>
      <c r="E537" s="22"/>
      <c r="F537" s="28"/>
      <c r="G537" s="28"/>
      <c r="H537" s="28"/>
      <c r="I537" s="28"/>
      <c r="J537" s="28"/>
      <c r="K537" s="28"/>
      <c r="L537" s="28"/>
      <c r="M537" s="22"/>
      <c r="N537" s="22"/>
      <c r="O537" s="22"/>
      <c r="P537" s="22"/>
      <c r="Q537" s="22"/>
      <c r="R537" s="28"/>
      <c r="S537" s="28"/>
      <c r="T537" s="28"/>
      <c r="U537" s="28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ht="15.75" customHeight="1" x14ac:dyDescent="0.15">
      <c r="A538" s="22"/>
      <c r="B538" s="22"/>
      <c r="C538" s="22"/>
      <c r="D538" s="22"/>
      <c r="E538" s="22"/>
      <c r="F538" s="28"/>
      <c r="G538" s="28"/>
      <c r="H538" s="28"/>
      <c r="I538" s="28"/>
      <c r="J538" s="28"/>
      <c r="K538" s="28"/>
      <c r="L538" s="28"/>
      <c r="M538" s="22"/>
      <c r="N538" s="22"/>
      <c r="O538" s="22"/>
      <c r="P538" s="22"/>
      <c r="Q538" s="22"/>
      <c r="R538" s="28"/>
      <c r="S538" s="28"/>
      <c r="T538" s="28"/>
      <c r="U538" s="28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ht="15.75" customHeight="1" x14ac:dyDescent="0.15">
      <c r="A539" s="22"/>
      <c r="B539" s="22"/>
      <c r="C539" s="22"/>
      <c r="D539" s="22"/>
      <c r="E539" s="22"/>
      <c r="F539" s="28"/>
      <c r="G539" s="28"/>
      <c r="H539" s="28"/>
      <c r="I539" s="28"/>
      <c r="J539" s="28"/>
      <c r="K539" s="28"/>
      <c r="L539" s="28"/>
      <c r="M539" s="22"/>
      <c r="N539" s="22"/>
      <c r="O539" s="22"/>
      <c r="P539" s="22"/>
      <c r="Q539" s="22"/>
      <c r="R539" s="28"/>
      <c r="S539" s="28"/>
      <c r="T539" s="28"/>
      <c r="U539" s="28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ht="15.75" customHeight="1" x14ac:dyDescent="0.15">
      <c r="A540" s="22"/>
      <c r="B540" s="22"/>
      <c r="C540" s="22"/>
      <c r="D540" s="22"/>
      <c r="E540" s="22"/>
      <c r="F540" s="28"/>
      <c r="G540" s="28"/>
      <c r="H540" s="28"/>
      <c r="I540" s="28"/>
      <c r="J540" s="28"/>
      <c r="K540" s="28"/>
      <c r="L540" s="28"/>
      <c r="M540" s="22"/>
      <c r="N540" s="22"/>
      <c r="O540" s="22"/>
      <c r="P540" s="22"/>
      <c r="Q540" s="22"/>
      <c r="R540" s="28"/>
      <c r="S540" s="28"/>
      <c r="T540" s="28"/>
      <c r="U540" s="28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ht="15.75" customHeight="1" x14ac:dyDescent="0.15">
      <c r="A541" s="22"/>
      <c r="B541" s="22"/>
      <c r="C541" s="22"/>
      <c r="D541" s="22"/>
      <c r="E541" s="22"/>
      <c r="F541" s="28"/>
      <c r="G541" s="28"/>
      <c r="H541" s="28"/>
      <c r="I541" s="28"/>
      <c r="J541" s="28"/>
      <c r="K541" s="28"/>
      <c r="L541" s="28"/>
      <c r="M541" s="22"/>
      <c r="N541" s="22"/>
      <c r="O541" s="22"/>
      <c r="P541" s="22"/>
      <c r="Q541" s="22"/>
      <c r="R541" s="28"/>
      <c r="S541" s="28"/>
      <c r="T541" s="28"/>
      <c r="U541" s="28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ht="15.75" customHeight="1" x14ac:dyDescent="0.15">
      <c r="A542" s="22"/>
      <c r="B542" s="22"/>
      <c r="C542" s="22"/>
      <c r="D542" s="22"/>
      <c r="E542" s="22"/>
      <c r="F542" s="28"/>
      <c r="G542" s="28"/>
      <c r="H542" s="28"/>
      <c r="I542" s="28"/>
      <c r="J542" s="28"/>
      <c r="K542" s="28"/>
      <c r="L542" s="28"/>
      <c r="M542" s="22"/>
      <c r="N542" s="22"/>
      <c r="O542" s="22"/>
      <c r="P542" s="22"/>
      <c r="Q542" s="22"/>
      <c r="R542" s="28"/>
      <c r="S542" s="28"/>
      <c r="T542" s="28"/>
      <c r="U542" s="28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ht="15.75" customHeight="1" x14ac:dyDescent="0.15">
      <c r="A543" s="22"/>
      <c r="B543" s="22"/>
      <c r="C543" s="22"/>
      <c r="D543" s="22"/>
      <c r="E543" s="22"/>
      <c r="F543" s="28"/>
      <c r="G543" s="28"/>
      <c r="H543" s="28"/>
      <c r="I543" s="28"/>
      <c r="J543" s="28"/>
      <c r="K543" s="28"/>
      <c r="L543" s="28"/>
      <c r="M543" s="22"/>
      <c r="N543" s="22"/>
      <c r="O543" s="22"/>
      <c r="P543" s="22"/>
      <c r="Q543" s="22"/>
      <c r="R543" s="28"/>
      <c r="S543" s="28"/>
      <c r="T543" s="28"/>
      <c r="U543" s="28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ht="15.75" customHeight="1" x14ac:dyDescent="0.15">
      <c r="A544" s="22"/>
      <c r="B544" s="22"/>
      <c r="C544" s="22"/>
      <c r="D544" s="22"/>
      <c r="E544" s="22"/>
      <c r="F544" s="28"/>
      <c r="G544" s="28"/>
      <c r="H544" s="28"/>
      <c r="I544" s="28"/>
      <c r="J544" s="28"/>
      <c r="K544" s="28"/>
      <c r="L544" s="28"/>
      <c r="M544" s="22"/>
      <c r="N544" s="22"/>
      <c r="O544" s="22"/>
      <c r="P544" s="22"/>
      <c r="Q544" s="22"/>
      <c r="R544" s="28"/>
      <c r="S544" s="28"/>
      <c r="T544" s="28"/>
      <c r="U544" s="28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ht="15.75" customHeight="1" x14ac:dyDescent="0.15">
      <c r="A545" s="22"/>
      <c r="B545" s="22"/>
      <c r="C545" s="22"/>
      <c r="D545" s="22"/>
      <c r="E545" s="22"/>
      <c r="F545" s="28"/>
      <c r="G545" s="28"/>
      <c r="H545" s="28"/>
      <c r="I545" s="28"/>
      <c r="J545" s="28"/>
      <c r="K545" s="28"/>
      <c r="L545" s="28"/>
      <c r="M545" s="22"/>
      <c r="N545" s="22"/>
      <c r="O545" s="22"/>
      <c r="P545" s="22"/>
      <c r="Q545" s="22"/>
      <c r="R545" s="28"/>
      <c r="S545" s="28"/>
      <c r="T545" s="28"/>
      <c r="U545" s="28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ht="15.75" customHeight="1" x14ac:dyDescent="0.15">
      <c r="A546" s="22"/>
      <c r="B546" s="22"/>
      <c r="C546" s="22"/>
      <c r="D546" s="22"/>
      <c r="E546" s="22"/>
      <c r="F546" s="28"/>
      <c r="G546" s="28"/>
      <c r="H546" s="28"/>
      <c r="I546" s="28"/>
      <c r="J546" s="28"/>
      <c r="K546" s="28"/>
      <c r="L546" s="28"/>
      <c r="M546" s="22"/>
      <c r="N546" s="22"/>
      <c r="O546" s="22"/>
      <c r="P546" s="22"/>
      <c r="Q546" s="22"/>
      <c r="R546" s="28"/>
      <c r="S546" s="28"/>
      <c r="T546" s="28"/>
      <c r="U546" s="28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ht="15.75" customHeight="1" x14ac:dyDescent="0.15">
      <c r="A547" s="22"/>
      <c r="B547" s="22"/>
      <c r="C547" s="22"/>
      <c r="D547" s="22"/>
      <c r="E547" s="22"/>
      <c r="F547" s="28"/>
      <c r="G547" s="28"/>
      <c r="H547" s="28"/>
      <c r="I547" s="28"/>
      <c r="J547" s="28"/>
      <c r="K547" s="28"/>
      <c r="L547" s="28"/>
      <c r="M547" s="22"/>
      <c r="N547" s="22"/>
      <c r="O547" s="22"/>
      <c r="P547" s="22"/>
      <c r="Q547" s="22"/>
      <c r="R547" s="28"/>
      <c r="S547" s="28"/>
      <c r="T547" s="28"/>
      <c r="U547" s="28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ht="15.75" customHeight="1" x14ac:dyDescent="0.15">
      <c r="A548" s="22"/>
      <c r="B548" s="22"/>
      <c r="C548" s="22"/>
      <c r="D548" s="22"/>
      <c r="E548" s="22"/>
      <c r="F548" s="28"/>
      <c r="G548" s="28"/>
      <c r="H548" s="28"/>
      <c r="I548" s="28"/>
      <c r="J548" s="28"/>
      <c r="K548" s="28"/>
      <c r="L548" s="28"/>
      <c r="M548" s="22"/>
      <c r="N548" s="22"/>
      <c r="O548" s="22"/>
      <c r="P548" s="22"/>
      <c r="Q548" s="22"/>
      <c r="R548" s="28"/>
      <c r="S548" s="28"/>
      <c r="T548" s="28"/>
      <c r="U548" s="28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ht="15.75" customHeight="1" x14ac:dyDescent="0.15">
      <c r="A549" s="22"/>
      <c r="B549" s="22"/>
      <c r="C549" s="22"/>
      <c r="D549" s="22"/>
      <c r="E549" s="22"/>
      <c r="F549" s="28"/>
      <c r="G549" s="28"/>
      <c r="H549" s="28"/>
      <c r="I549" s="28"/>
      <c r="J549" s="28"/>
      <c r="K549" s="28"/>
      <c r="L549" s="28"/>
      <c r="M549" s="22"/>
      <c r="N549" s="22"/>
      <c r="O549" s="22"/>
      <c r="P549" s="22"/>
      <c r="Q549" s="22"/>
      <c r="R549" s="28"/>
      <c r="S549" s="28"/>
      <c r="T549" s="28"/>
      <c r="U549" s="28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ht="15.75" customHeight="1" x14ac:dyDescent="0.15">
      <c r="A550" s="22"/>
      <c r="B550" s="22"/>
      <c r="C550" s="22"/>
      <c r="D550" s="22"/>
      <c r="E550" s="22"/>
      <c r="F550" s="28"/>
      <c r="G550" s="28"/>
      <c r="H550" s="28"/>
      <c r="I550" s="28"/>
      <c r="J550" s="28"/>
      <c r="K550" s="28"/>
      <c r="L550" s="28"/>
      <c r="M550" s="22"/>
      <c r="N550" s="22"/>
      <c r="O550" s="22"/>
      <c r="P550" s="22"/>
      <c r="Q550" s="22"/>
      <c r="R550" s="28"/>
      <c r="S550" s="28"/>
      <c r="T550" s="28"/>
      <c r="U550" s="28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ht="15.75" customHeight="1" x14ac:dyDescent="0.15">
      <c r="A551" s="22"/>
      <c r="B551" s="22"/>
      <c r="C551" s="22"/>
      <c r="D551" s="22"/>
      <c r="E551" s="22"/>
      <c r="F551" s="28"/>
      <c r="G551" s="28"/>
      <c r="H551" s="28"/>
      <c r="I551" s="28"/>
      <c r="J551" s="28"/>
      <c r="K551" s="28"/>
      <c r="L551" s="28"/>
      <c r="M551" s="22"/>
      <c r="N551" s="22"/>
      <c r="O551" s="22"/>
      <c r="P551" s="22"/>
      <c r="Q551" s="22"/>
      <c r="R551" s="28"/>
      <c r="S551" s="28"/>
      <c r="T551" s="28"/>
      <c r="U551" s="28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ht="15.75" customHeight="1" x14ac:dyDescent="0.15">
      <c r="A552" s="22"/>
      <c r="B552" s="22"/>
      <c r="C552" s="22"/>
      <c r="D552" s="22"/>
      <c r="E552" s="22"/>
      <c r="F552" s="28"/>
      <c r="G552" s="28"/>
      <c r="H552" s="28"/>
      <c r="I552" s="28"/>
      <c r="J552" s="28"/>
      <c r="K552" s="28"/>
      <c r="L552" s="28"/>
      <c r="M552" s="22"/>
      <c r="N552" s="22"/>
      <c r="O552" s="22"/>
      <c r="P552" s="22"/>
      <c r="Q552" s="22"/>
      <c r="R552" s="28"/>
      <c r="S552" s="28"/>
      <c r="T552" s="28"/>
      <c r="U552" s="28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ht="15.75" customHeight="1" x14ac:dyDescent="0.15">
      <c r="A553" s="22"/>
      <c r="B553" s="22"/>
      <c r="C553" s="22"/>
      <c r="D553" s="22"/>
      <c r="E553" s="22"/>
      <c r="F553" s="28"/>
      <c r="G553" s="28"/>
      <c r="H553" s="28"/>
      <c r="I553" s="28"/>
      <c r="J553" s="28"/>
      <c r="K553" s="28"/>
      <c r="L553" s="28"/>
      <c r="M553" s="22"/>
      <c r="N553" s="22"/>
      <c r="O553" s="22"/>
      <c r="P553" s="22"/>
      <c r="Q553" s="22"/>
      <c r="R553" s="28"/>
      <c r="S553" s="28"/>
      <c r="T553" s="28"/>
      <c r="U553" s="28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ht="15.75" customHeight="1" x14ac:dyDescent="0.15">
      <c r="A554" s="22"/>
      <c r="B554" s="22"/>
      <c r="C554" s="22"/>
      <c r="D554" s="22"/>
      <c r="E554" s="22"/>
      <c r="F554" s="28"/>
      <c r="G554" s="28"/>
      <c r="H554" s="28"/>
      <c r="I554" s="28"/>
      <c r="J554" s="28"/>
      <c r="K554" s="28"/>
      <c r="L554" s="28"/>
      <c r="M554" s="22"/>
      <c r="N554" s="22"/>
      <c r="O554" s="22"/>
      <c r="P554" s="22"/>
      <c r="Q554" s="22"/>
      <c r="R554" s="28"/>
      <c r="S554" s="28"/>
      <c r="T554" s="28"/>
      <c r="U554" s="28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ht="15.75" customHeight="1" x14ac:dyDescent="0.15">
      <c r="A555" s="22"/>
      <c r="B555" s="22"/>
      <c r="C555" s="22"/>
      <c r="D555" s="22"/>
      <c r="E555" s="22"/>
      <c r="F555" s="28"/>
      <c r="G555" s="28"/>
      <c r="H555" s="28"/>
      <c r="I555" s="28"/>
      <c r="J555" s="28"/>
      <c r="K555" s="28"/>
      <c r="L555" s="28"/>
      <c r="M555" s="22"/>
      <c r="N555" s="22"/>
      <c r="O555" s="22"/>
      <c r="P555" s="22"/>
      <c r="Q555" s="22"/>
      <c r="R555" s="28"/>
      <c r="S555" s="28"/>
      <c r="T555" s="28"/>
      <c r="U555" s="28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ht="15.75" customHeight="1" x14ac:dyDescent="0.15">
      <c r="A556" s="22"/>
      <c r="B556" s="22"/>
      <c r="C556" s="22"/>
      <c r="D556" s="22"/>
      <c r="E556" s="22"/>
      <c r="F556" s="28"/>
      <c r="G556" s="28"/>
      <c r="H556" s="28"/>
      <c r="I556" s="28"/>
      <c r="J556" s="28"/>
      <c r="K556" s="28"/>
      <c r="L556" s="28"/>
      <c r="M556" s="22"/>
      <c r="N556" s="22"/>
      <c r="O556" s="22"/>
      <c r="P556" s="22"/>
      <c r="Q556" s="22"/>
      <c r="R556" s="28"/>
      <c r="S556" s="28"/>
      <c r="T556" s="28"/>
      <c r="U556" s="28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ht="15.75" customHeight="1" x14ac:dyDescent="0.15">
      <c r="A557" s="22"/>
      <c r="B557" s="22"/>
      <c r="C557" s="22"/>
      <c r="D557" s="22"/>
      <c r="E557" s="22"/>
      <c r="F557" s="28"/>
      <c r="G557" s="28"/>
      <c r="H557" s="28"/>
      <c r="I557" s="28"/>
      <c r="J557" s="28"/>
      <c r="K557" s="28"/>
      <c r="L557" s="28"/>
      <c r="M557" s="22"/>
      <c r="N557" s="22"/>
      <c r="O557" s="22"/>
      <c r="P557" s="22"/>
      <c r="Q557" s="22"/>
      <c r="R557" s="28"/>
      <c r="S557" s="28"/>
      <c r="T557" s="28"/>
      <c r="U557" s="28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ht="15.75" customHeight="1" x14ac:dyDescent="0.15">
      <c r="A558" s="22"/>
      <c r="B558" s="22"/>
      <c r="C558" s="22"/>
      <c r="D558" s="22"/>
      <c r="E558" s="22"/>
      <c r="F558" s="28"/>
      <c r="G558" s="28"/>
      <c r="H558" s="28"/>
      <c r="I558" s="28"/>
      <c r="J558" s="28"/>
      <c r="K558" s="28"/>
      <c r="L558" s="28"/>
      <c r="M558" s="22"/>
      <c r="N558" s="22"/>
      <c r="O558" s="22"/>
      <c r="P558" s="22"/>
      <c r="Q558" s="22"/>
      <c r="R558" s="28"/>
      <c r="S558" s="28"/>
      <c r="T558" s="28"/>
      <c r="U558" s="28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ht="15.75" customHeight="1" x14ac:dyDescent="0.15">
      <c r="A559" s="22"/>
      <c r="B559" s="22"/>
      <c r="C559" s="22"/>
      <c r="D559" s="22"/>
      <c r="E559" s="22"/>
      <c r="F559" s="28"/>
      <c r="G559" s="28"/>
      <c r="H559" s="28"/>
      <c r="I559" s="28"/>
      <c r="J559" s="28"/>
      <c r="K559" s="28"/>
      <c r="L559" s="28"/>
      <c r="M559" s="22"/>
      <c r="N559" s="22"/>
      <c r="O559" s="22"/>
      <c r="P559" s="22"/>
      <c r="Q559" s="22"/>
      <c r="R559" s="28"/>
      <c r="S559" s="28"/>
      <c r="T559" s="28"/>
      <c r="U559" s="28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ht="15.75" customHeight="1" x14ac:dyDescent="0.15">
      <c r="A560" s="22"/>
      <c r="B560" s="22"/>
      <c r="C560" s="22"/>
      <c r="D560" s="22"/>
      <c r="E560" s="22"/>
      <c r="F560" s="28"/>
      <c r="G560" s="28"/>
      <c r="H560" s="28"/>
      <c r="I560" s="28"/>
      <c r="J560" s="28"/>
      <c r="K560" s="28"/>
      <c r="L560" s="28"/>
      <c r="M560" s="22"/>
      <c r="N560" s="22"/>
      <c r="O560" s="22"/>
      <c r="P560" s="22"/>
      <c r="Q560" s="22"/>
      <c r="R560" s="28"/>
      <c r="S560" s="28"/>
      <c r="T560" s="28"/>
      <c r="U560" s="28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ht="15.75" customHeight="1" x14ac:dyDescent="0.15">
      <c r="A561" s="22"/>
      <c r="B561" s="22"/>
      <c r="C561" s="22"/>
      <c r="D561" s="22"/>
      <c r="E561" s="22"/>
      <c r="F561" s="28"/>
      <c r="G561" s="28"/>
      <c r="H561" s="28"/>
      <c r="I561" s="28"/>
      <c r="J561" s="28"/>
      <c r="K561" s="28"/>
      <c r="L561" s="28"/>
      <c r="M561" s="22"/>
      <c r="N561" s="22"/>
      <c r="O561" s="22"/>
      <c r="P561" s="22"/>
      <c r="Q561" s="22"/>
      <c r="R561" s="28"/>
      <c r="S561" s="28"/>
      <c r="T561" s="28"/>
      <c r="U561" s="28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ht="15.75" customHeight="1" x14ac:dyDescent="0.15">
      <c r="A562" s="22"/>
      <c r="B562" s="22"/>
      <c r="C562" s="22"/>
      <c r="D562" s="22"/>
      <c r="E562" s="22"/>
      <c r="F562" s="28"/>
      <c r="G562" s="28"/>
      <c r="H562" s="28"/>
      <c r="I562" s="28"/>
      <c r="J562" s="28"/>
      <c r="K562" s="28"/>
      <c r="L562" s="28"/>
      <c r="M562" s="22"/>
      <c r="N562" s="22"/>
      <c r="O562" s="22"/>
      <c r="P562" s="22"/>
      <c r="Q562" s="22"/>
      <c r="R562" s="28"/>
      <c r="S562" s="28"/>
      <c r="T562" s="28"/>
      <c r="U562" s="28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ht="15.75" customHeight="1" x14ac:dyDescent="0.15">
      <c r="A563" s="22"/>
      <c r="B563" s="22"/>
      <c r="C563" s="22"/>
      <c r="D563" s="22"/>
      <c r="E563" s="22"/>
      <c r="F563" s="28"/>
      <c r="G563" s="28"/>
      <c r="H563" s="28"/>
      <c r="I563" s="28"/>
      <c r="J563" s="28"/>
      <c r="K563" s="28"/>
      <c r="L563" s="28"/>
      <c r="M563" s="22"/>
      <c r="N563" s="22"/>
      <c r="O563" s="22"/>
      <c r="P563" s="22"/>
      <c r="Q563" s="22"/>
      <c r="R563" s="28"/>
      <c r="S563" s="28"/>
      <c r="T563" s="28"/>
      <c r="U563" s="28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ht="15.75" customHeight="1" x14ac:dyDescent="0.15">
      <c r="A564" s="22"/>
      <c r="B564" s="22"/>
      <c r="C564" s="22"/>
      <c r="D564" s="22"/>
      <c r="E564" s="22"/>
      <c r="F564" s="28"/>
      <c r="G564" s="28"/>
      <c r="H564" s="28"/>
      <c r="I564" s="28"/>
      <c r="J564" s="28"/>
      <c r="K564" s="28"/>
      <c r="L564" s="28"/>
      <c r="M564" s="22"/>
      <c r="N564" s="22"/>
      <c r="O564" s="22"/>
      <c r="P564" s="22"/>
      <c r="Q564" s="22"/>
      <c r="R564" s="28"/>
      <c r="S564" s="28"/>
      <c r="T564" s="28"/>
      <c r="U564" s="28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ht="15.75" customHeight="1" x14ac:dyDescent="0.15">
      <c r="A565" s="22"/>
      <c r="B565" s="22"/>
      <c r="C565" s="22"/>
      <c r="D565" s="22"/>
      <c r="E565" s="22"/>
      <c r="F565" s="28"/>
      <c r="G565" s="28"/>
      <c r="H565" s="28"/>
      <c r="I565" s="28"/>
      <c r="J565" s="28"/>
      <c r="K565" s="28"/>
      <c r="L565" s="28"/>
      <c r="M565" s="22"/>
      <c r="N565" s="22"/>
      <c r="O565" s="22"/>
      <c r="P565" s="22"/>
      <c r="Q565" s="22"/>
      <c r="R565" s="28"/>
      <c r="S565" s="28"/>
      <c r="T565" s="28"/>
      <c r="U565" s="28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ht="15.75" customHeight="1" x14ac:dyDescent="0.15">
      <c r="A566" s="22"/>
      <c r="B566" s="22"/>
      <c r="C566" s="22"/>
      <c r="D566" s="22"/>
      <c r="E566" s="22"/>
      <c r="F566" s="28"/>
      <c r="G566" s="28"/>
      <c r="H566" s="28"/>
      <c r="I566" s="28"/>
      <c r="J566" s="28"/>
      <c r="K566" s="28"/>
      <c r="L566" s="28"/>
      <c r="M566" s="22"/>
      <c r="N566" s="22"/>
      <c r="O566" s="22"/>
      <c r="P566" s="22"/>
      <c r="Q566" s="22"/>
      <c r="R566" s="28"/>
      <c r="S566" s="28"/>
      <c r="T566" s="28"/>
      <c r="U566" s="28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ht="15.75" customHeight="1" x14ac:dyDescent="0.15">
      <c r="A567" s="22"/>
      <c r="B567" s="22"/>
      <c r="C567" s="22"/>
      <c r="D567" s="22"/>
      <c r="E567" s="22"/>
      <c r="F567" s="28"/>
      <c r="G567" s="28"/>
      <c r="H567" s="28"/>
      <c r="I567" s="28"/>
      <c r="J567" s="28"/>
      <c r="K567" s="28"/>
      <c r="L567" s="28"/>
      <c r="M567" s="22"/>
      <c r="N567" s="22"/>
      <c r="O567" s="22"/>
      <c r="P567" s="22"/>
      <c r="Q567" s="22"/>
      <c r="R567" s="28"/>
      <c r="S567" s="28"/>
      <c r="T567" s="28"/>
      <c r="U567" s="28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ht="15.75" customHeight="1" x14ac:dyDescent="0.15">
      <c r="A568" s="22"/>
      <c r="B568" s="22"/>
      <c r="C568" s="22"/>
      <c r="D568" s="22"/>
      <c r="E568" s="22"/>
      <c r="F568" s="28"/>
      <c r="G568" s="28"/>
      <c r="H568" s="28"/>
      <c r="I568" s="28"/>
      <c r="J568" s="28"/>
      <c r="K568" s="28"/>
      <c r="L568" s="28"/>
      <c r="M568" s="22"/>
      <c r="N568" s="22"/>
      <c r="O568" s="22"/>
      <c r="P568" s="22"/>
      <c r="Q568" s="22"/>
      <c r="R568" s="28"/>
      <c r="S568" s="28"/>
      <c r="T568" s="28"/>
      <c r="U568" s="28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ht="15.75" customHeight="1" x14ac:dyDescent="0.15">
      <c r="A569" s="22"/>
      <c r="B569" s="22"/>
      <c r="C569" s="22"/>
      <c r="D569" s="22"/>
      <c r="E569" s="22"/>
      <c r="F569" s="28"/>
      <c r="G569" s="28"/>
      <c r="H569" s="28"/>
      <c r="I569" s="28"/>
      <c r="J569" s="28"/>
      <c r="K569" s="28"/>
      <c r="L569" s="28"/>
      <c r="M569" s="22"/>
      <c r="N569" s="22"/>
      <c r="O569" s="22"/>
      <c r="P569" s="22"/>
      <c r="Q569" s="22"/>
      <c r="R569" s="28"/>
      <c r="S569" s="28"/>
      <c r="T569" s="28"/>
      <c r="U569" s="28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ht="15.75" customHeight="1" x14ac:dyDescent="0.15">
      <c r="A570" s="22"/>
      <c r="B570" s="22"/>
      <c r="C570" s="22"/>
      <c r="D570" s="22"/>
      <c r="E570" s="22"/>
      <c r="F570" s="28"/>
      <c r="G570" s="28"/>
      <c r="H570" s="28"/>
      <c r="I570" s="28"/>
      <c r="J570" s="28"/>
      <c r="K570" s="28"/>
      <c r="L570" s="28"/>
      <c r="M570" s="22"/>
      <c r="N570" s="22"/>
      <c r="O570" s="22"/>
      <c r="P570" s="22"/>
      <c r="Q570" s="22"/>
      <c r="R570" s="28"/>
      <c r="S570" s="28"/>
      <c r="T570" s="28"/>
      <c r="U570" s="28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ht="15.75" customHeight="1" x14ac:dyDescent="0.15">
      <c r="A571" s="22"/>
      <c r="B571" s="22"/>
      <c r="C571" s="22"/>
      <c r="D571" s="22"/>
      <c r="E571" s="22"/>
      <c r="F571" s="28"/>
      <c r="G571" s="28"/>
      <c r="H571" s="28"/>
      <c r="I571" s="28"/>
      <c r="J571" s="28"/>
      <c r="K571" s="28"/>
      <c r="L571" s="28"/>
      <c r="M571" s="22"/>
      <c r="N571" s="22"/>
      <c r="O571" s="22"/>
      <c r="P571" s="22"/>
      <c r="Q571" s="22"/>
      <c r="R571" s="28"/>
      <c r="S571" s="28"/>
      <c r="T571" s="28"/>
      <c r="U571" s="28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ht="15.75" customHeight="1" x14ac:dyDescent="0.15">
      <c r="A572" s="22"/>
      <c r="B572" s="22"/>
      <c r="C572" s="22"/>
      <c r="D572" s="22"/>
      <c r="E572" s="22"/>
      <c r="F572" s="28"/>
      <c r="G572" s="28"/>
      <c r="H572" s="28"/>
      <c r="I572" s="28"/>
      <c r="J572" s="28"/>
      <c r="K572" s="28"/>
      <c r="L572" s="28"/>
      <c r="M572" s="22"/>
      <c r="N572" s="22"/>
      <c r="O572" s="22"/>
      <c r="P572" s="22"/>
      <c r="Q572" s="22"/>
      <c r="R572" s="28"/>
      <c r="S572" s="28"/>
      <c r="T572" s="28"/>
      <c r="U572" s="28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ht="15.75" customHeight="1" x14ac:dyDescent="0.15">
      <c r="A573" s="22"/>
      <c r="B573" s="22"/>
      <c r="C573" s="22"/>
      <c r="D573" s="22"/>
      <c r="E573" s="22"/>
      <c r="F573" s="28"/>
      <c r="G573" s="28"/>
      <c r="H573" s="28"/>
      <c r="I573" s="28"/>
      <c r="J573" s="28"/>
      <c r="K573" s="28"/>
      <c r="L573" s="28"/>
      <c r="M573" s="22"/>
      <c r="N573" s="22"/>
      <c r="O573" s="22"/>
      <c r="P573" s="22"/>
      <c r="Q573" s="22"/>
      <c r="R573" s="28"/>
      <c r="S573" s="28"/>
      <c r="T573" s="28"/>
      <c r="U573" s="28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ht="15.75" customHeight="1" x14ac:dyDescent="0.15">
      <c r="A574" s="22"/>
      <c r="B574" s="22"/>
      <c r="C574" s="22"/>
      <c r="D574" s="22"/>
      <c r="E574" s="22"/>
      <c r="F574" s="28"/>
      <c r="G574" s="28"/>
      <c r="H574" s="28"/>
      <c r="I574" s="28"/>
      <c r="J574" s="28"/>
      <c r="K574" s="28"/>
      <c r="L574" s="28"/>
      <c r="M574" s="22"/>
      <c r="N574" s="22"/>
      <c r="O574" s="22"/>
      <c r="P574" s="22"/>
      <c r="Q574" s="22"/>
      <c r="R574" s="28"/>
      <c r="S574" s="28"/>
      <c r="T574" s="28"/>
      <c r="U574" s="28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ht="15.75" customHeight="1" x14ac:dyDescent="0.15">
      <c r="A575" s="22"/>
      <c r="B575" s="22"/>
      <c r="C575" s="22"/>
      <c r="D575" s="22"/>
      <c r="E575" s="22"/>
      <c r="F575" s="28"/>
      <c r="G575" s="28"/>
      <c r="H575" s="28"/>
      <c r="I575" s="28"/>
      <c r="J575" s="28"/>
      <c r="K575" s="28"/>
      <c r="L575" s="28"/>
      <c r="M575" s="22"/>
      <c r="N575" s="22"/>
      <c r="O575" s="22"/>
      <c r="P575" s="22"/>
      <c r="Q575" s="22"/>
      <c r="R575" s="28"/>
      <c r="S575" s="28"/>
      <c r="T575" s="28"/>
      <c r="U575" s="28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ht="15.75" customHeight="1" x14ac:dyDescent="0.15">
      <c r="A576" s="22"/>
      <c r="B576" s="22"/>
      <c r="C576" s="22"/>
      <c r="D576" s="22"/>
      <c r="E576" s="22"/>
      <c r="F576" s="28"/>
      <c r="G576" s="28"/>
      <c r="H576" s="28"/>
      <c r="I576" s="28"/>
      <c r="J576" s="28"/>
      <c r="K576" s="28"/>
      <c r="L576" s="28"/>
      <c r="M576" s="22"/>
      <c r="N576" s="22"/>
      <c r="O576" s="22"/>
      <c r="P576" s="22"/>
      <c r="Q576" s="22"/>
      <c r="R576" s="28"/>
      <c r="S576" s="28"/>
      <c r="T576" s="28"/>
      <c r="U576" s="28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ht="15.75" customHeight="1" x14ac:dyDescent="0.15">
      <c r="A577" s="22"/>
      <c r="B577" s="22"/>
      <c r="C577" s="22"/>
      <c r="D577" s="22"/>
      <c r="E577" s="22"/>
      <c r="F577" s="28"/>
      <c r="G577" s="28"/>
      <c r="H577" s="28"/>
      <c r="I577" s="28"/>
      <c r="J577" s="28"/>
      <c r="K577" s="28"/>
      <c r="L577" s="28"/>
      <c r="M577" s="22"/>
      <c r="N577" s="22"/>
      <c r="O577" s="22"/>
      <c r="P577" s="22"/>
      <c r="Q577" s="22"/>
      <c r="R577" s="28"/>
      <c r="S577" s="28"/>
      <c r="T577" s="28"/>
      <c r="U577" s="28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ht="15.75" customHeight="1" x14ac:dyDescent="0.15">
      <c r="A578" s="22"/>
      <c r="B578" s="22"/>
      <c r="C578" s="22"/>
      <c r="D578" s="22"/>
      <c r="E578" s="22"/>
      <c r="F578" s="28"/>
      <c r="G578" s="28"/>
      <c r="H578" s="28"/>
      <c r="I578" s="28"/>
      <c r="J578" s="28"/>
      <c r="K578" s="28"/>
      <c r="L578" s="28"/>
      <c r="M578" s="22"/>
      <c r="N578" s="22"/>
      <c r="O578" s="22"/>
      <c r="P578" s="22"/>
      <c r="Q578" s="22"/>
      <c r="R578" s="28"/>
      <c r="S578" s="28"/>
      <c r="T578" s="28"/>
      <c r="U578" s="28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ht="15.75" customHeight="1" x14ac:dyDescent="0.15">
      <c r="A579" s="22"/>
      <c r="B579" s="22"/>
      <c r="C579" s="22"/>
      <c r="D579" s="22"/>
      <c r="E579" s="22"/>
      <c r="F579" s="28"/>
      <c r="G579" s="28"/>
      <c r="H579" s="28"/>
      <c r="I579" s="28"/>
      <c r="J579" s="28"/>
      <c r="K579" s="28"/>
      <c r="L579" s="28"/>
      <c r="M579" s="22"/>
      <c r="N579" s="22"/>
      <c r="O579" s="22"/>
      <c r="P579" s="22"/>
      <c r="Q579" s="22"/>
      <c r="R579" s="28"/>
      <c r="S579" s="28"/>
      <c r="T579" s="28"/>
      <c r="U579" s="28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ht="15.75" customHeight="1" x14ac:dyDescent="0.15">
      <c r="A580" s="22"/>
      <c r="B580" s="22"/>
      <c r="C580" s="22"/>
      <c r="D580" s="22"/>
      <c r="E580" s="22"/>
      <c r="F580" s="28"/>
      <c r="G580" s="28"/>
      <c r="H580" s="28"/>
      <c r="I580" s="28"/>
      <c r="J580" s="28"/>
      <c r="K580" s="28"/>
      <c r="L580" s="28"/>
      <c r="M580" s="22"/>
      <c r="N580" s="22"/>
      <c r="O580" s="22"/>
      <c r="P580" s="22"/>
      <c r="Q580" s="22"/>
      <c r="R580" s="28"/>
      <c r="S580" s="28"/>
      <c r="T580" s="28"/>
      <c r="U580" s="28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ht="15.75" customHeight="1" x14ac:dyDescent="0.15">
      <c r="A581" s="22"/>
      <c r="B581" s="22"/>
      <c r="C581" s="22"/>
      <c r="D581" s="22"/>
      <c r="E581" s="22"/>
      <c r="F581" s="28"/>
      <c r="G581" s="28"/>
      <c r="H581" s="28"/>
      <c r="I581" s="28"/>
      <c r="J581" s="28"/>
      <c r="K581" s="28"/>
      <c r="L581" s="28"/>
      <c r="M581" s="22"/>
      <c r="N581" s="22"/>
      <c r="O581" s="22"/>
      <c r="P581" s="22"/>
      <c r="Q581" s="22"/>
      <c r="R581" s="28"/>
      <c r="S581" s="28"/>
      <c r="T581" s="28"/>
      <c r="U581" s="28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ht="15.75" customHeight="1" x14ac:dyDescent="0.15">
      <c r="A582" s="22"/>
      <c r="B582" s="22"/>
      <c r="C582" s="22"/>
      <c r="D582" s="22"/>
      <c r="E582" s="22"/>
      <c r="F582" s="28"/>
      <c r="G582" s="28"/>
      <c r="H582" s="28"/>
      <c r="I582" s="28"/>
      <c r="J582" s="28"/>
      <c r="K582" s="28"/>
      <c r="L582" s="28"/>
      <c r="M582" s="22"/>
      <c r="N582" s="22"/>
      <c r="O582" s="22"/>
      <c r="P582" s="22"/>
      <c r="Q582" s="22"/>
      <c r="R582" s="28"/>
      <c r="S582" s="28"/>
      <c r="T582" s="28"/>
      <c r="U582" s="28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ht="15.75" customHeight="1" x14ac:dyDescent="0.15">
      <c r="A583" s="22"/>
      <c r="B583" s="22"/>
      <c r="C583" s="22"/>
      <c r="D583" s="22"/>
      <c r="E583" s="22"/>
      <c r="F583" s="28"/>
      <c r="G583" s="28"/>
      <c r="H583" s="28"/>
      <c r="I583" s="28"/>
      <c r="J583" s="28"/>
      <c r="K583" s="28"/>
      <c r="L583" s="28"/>
      <c r="M583" s="22"/>
      <c r="N583" s="22"/>
      <c r="O583" s="22"/>
      <c r="P583" s="22"/>
      <c r="Q583" s="22"/>
      <c r="R583" s="28"/>
      <c r="S583" s="28"/>
      <c r="T583" s="28"/>
      <c r="U583" s="28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ht="15.75" customHeight="1" x14ac:dyDescent="0.15">
      <c r="A584" s="22"/>
      <c r="B584" s="22"/>
      <c r="C584" s="22"/>
      <c r="D584" s="22"/>
      <c r="E584" s="22"/>
      <c r="F584" s="28"/>
      <c r="G584" s="28"/>
      <c r="H584" s="28"/>
      <c r="I584" s="28"/>
      <c r="J584" s="28"/>
      <c r="K584" s="28"/>
      <c r="L584" s="28"/>
      <c r="M584" s="22"/>
      <c r="N584" s="22"/>
      <c r="O584" s="22"/>
      <c r="P584" s="22"/>
      <c r="Q584" s="22"/>
      <c r="R584" s="28"/>
      <c r="S584" s="28"/>
      <c r="T584" s="28"/>
      <c r="U584" s="28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ht="15.75" customHeight="1" x14ac:dyDescent="0.15">
      <c r="A585" s="22"/>
      <c r="B585" s="22"/>
      <c r="C585" s="22"/>
      <c r="D585" s="22"/>
      <c r="E585" s="22"/>
      <c r="F585" s="28"/>
      <c r="G585" s="28"/>
      <c r="H585" s="28"/>
      <c r="I585" s="28"/>
      <c r="J585" s="28"/>
      <c r="K585" s="28"/>
      <c r="L585" s="28"/>
      <c r="M585" s="22"/>
      <c r="N585" s="22"/>
      <c r="O585" s="22"/>
      <c r="P585" s="22"/>
      <c r="Q585" s="22"/>
      <c r="R585" s="28"/>
      <c r="S585" s="28"/>
      <c r="T585" s="28"/>
      <c r="U585" s="28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ht="15.75" customHeight="1" x14ac:dyDescent="0.15">
      <c r="A586" s="22"/>
      <c r="B586" s="22"/>
      <c r="C586" s="22"/>
      <c r="D586" s="22"/>
      <c r="E586" s="22"/>
      <c r="F586" s="28"/>
      <c r="G586" s="28"/>
      <c r="H586" s="28"/>
      <c r="I586" s="28"/>
      <c r="J586" s="28"/>
      <c r="K586" s="28"/>
      <c r="L586" s="28"/>
      <c r="M586" s="22"/>
      <c r="N586" s="22"/>
      <c r="O586" s="22"/>
      <c r="P586" s="22"/>
      <c r="Q586" s="22"/>
      <c r="R586" s="28"/>
      <c r="S586" s="28"/>
      <c r="T586" s="28"/>
      <c r="U586" s="28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ht="15.75" customHeight="1" x14ac:dyDescent="0.15">
      <c r="A587" s="22"/>
      <c r="B587" s="22"/>
      <c r="C587" s="22"/>
      <c r="D587" s="22"/>
      <c r="E587" s="22"/>
      <c r="F587" s="28"/>
      <c r="G587" s="28"/>
      <c r="H587" s="28"/>
      <c r="I587" s="28"/>
      <c r="J587" s="28"/>
      <c r="K587" s="28"/>
      <c r="L587" s="28"/>
      <c r="M587" s="22"/>
      <c r="N587" s="22"/>
      <c r="O587" s="22"/>
      <c r="P587" s="22"/>
      <c r="Q587" s="22"/>
      <c r="R587" s="28"/>
      <c r="S587" s="28"/>
      <c r="T587" s="28"/>
      <c r="U587" s="28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ht="15.75" customHeight="1" x14ac:dyDescent="0.15">
      <c r="A588" s="22"/>
      <c r="B588" s="22"/>
      <c r="C588" s="22"/>
      <c r="D588" s="22"/>
      <c r="E588" s="22"/>
      <c r="F588" s="28"/>
      <c r="G588" s="28"/>
      <c r="H588" s="28"/>
      <c r="I588" s="28"/>
      <c r="J588" s="28"/>
      <c r="K588" s="28"/>
      <c r="L588" s="28"/>
      <c r="M588" s="22"/>
      <c r="N588" s="22"/>
      <c r="O588" s="22"/>
      <c r="P588" s="22"/>
      <c r="Q588" s="22"/>
      <c r="R588" s="28"/>
      <c r="S588" s="28"/>
      <c r="T588" s="28"/>
      <c r="U588" s="28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ht="15.75" customHeight="1" x14ac:dyDescent="0.15">
      <c r="A589" s="22"/>
      <c r="B589" s="22"/>
      <c r="C589" s="22"/>
      <c r="D589" s="22"/>
      <c r="E589" s="22"/>
      <c r="F589" s="28"/>
      <c r="G589" s="28"/>
      <c r="H589" s="28"/>
      <c r="I589" s="28"/>
      <c r="J589" s="28"/>
      <c r="K589" s="28"/>
      <c r="L589" s="28"/>
      <c r="M589" s="22"/>
      <c r="N589" s="22"/>
      <c r="O589" s="22"/>
      <c r="P589" s="22"/>
      <c r="Q589" s="22"/>
      <c r="R589" s="28"/>
      <c r="S589" s="28"/>
      <c r="T589" s="28"/>
      <c r="U589" s="28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ht="15.75" customHeight="1" x14ac:dyDescent="0.15">
      <c r="A590" s="22"/>
      <c r="B590" s="22"/>
      <c r="C590" s="22"/>
      <c r="D590" s="22"/>
      <c r="E590" s="22"/>
      <c r="F590" s="28"/>
      <c r="G590" s="28"/>
      <c r="H590" s="28"/>
      <c r="I590" s="28"/>
      <c r="J590" s="28"/>
      <c r="K590" s="28"/>
      <c r="L590" s="28"/>
      <c r="M590" s="22"/>
      <c r="N590" s="22"/>
      <c r="O590" s="22"/>
      <c r="P590" s="22"/>
      <c r="Q590" s="22"/>
      <c r="R590" s="28"/>
      <c r="S590" s="28"/>
      <c r="T590" s="28"/>
      <c r="U590" s="28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ht="15.75" customHeight="1" x14ac:dyDescent="0.15">
      <c r="A591" s="22"/>
      <c r="B591" s="22"/>
      <c r="C591" s="22"/>
      <c r="D591" s="22"/>
      <c r="E591" s="22"/>
      <c r="F591" s="28"/>
      <c r="G591" s="28"/>
      <c r="H591" s="28"/>
      <c r="I591" s="28"/>
      <c r="J591" s="28"/>
      <c r="K591" s="28"/>
      <c r="L591" s="28"/>
      <c r="M591" s="22"/>
      <c r="N591" s="22"/>
      <c r="O591" s="22"/>
      <c r="P591" s="22"/>
      <c r="Q591" s="22"/>
      <c r="R591" s="28"/>
      <c r="S591" s="28"/>
      <c r="T591" s="28"/>
      <c r="U591" s="28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ht="15.75" customHeight="1" x14ac:dyDescent="0.15">
      <c r="A592" s="22"/>
      <c r="B592" s="22"/>
      <c r="C592" s="22"/>
      <c r="D592" s="22"/>
      <c r="E592" s="22"/>
      <c r="F592" s="28"/>
      <c r="G592" s="28"/>
      <c r="H592" s="28"/>
      <c r="I592" s="28"/>
      <c r="J592" s="28"/>
      <c r="K592" s="28"/>
      <c r="L592" s="28"/>
      <c r="M592" s="22"/>
      <c r="N592" s="22"/>
      <c r="O592" s="22"/>
      <c r="P592" s="22"/>
      <c r="Q592" s="22"/>
      <c r="R592" s="28"/>
      <c r="S592" s="28"/>
      <c r="T592" s="28"/>
      <c r="U592" s="28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ht="15.75" customHeight="1" x14ac:dyDescent="0.15">
      <c r="A593" s="22"/>
      <c r="B593" s="22"/>
      <c r="C593" s="22"/>
      <c r="D593" s="22"/>
      <c r="E593" s="22"/>
      <c r="F593" s="28"/>
      <c r="G593" s="28"/>
      <c r="H593" s="28"/>
      <c r="I593" s="28"/>
      <c r="J593" s="28"/>
      <c r="K593" s="28"/>
      <c r="L593" s="28"/>
      <c r="M593" s="22"/>
      <c r="N593" s="22"/>
      <c r="O593" s="22"/>
      <c r="P593" s="22"/>
      <c r="Q593" s="22"/>
      <c r="R593" s="28"/>
      <c r="S593" s="28"/>
      <c r="T593" s="28"/>
      <c r="U593" s="28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ht="15.75" customHeight="1" x14ac:dyDescent="0.15">
      <c r="A594" s="22"/>
      <c r="B594" s="22"/>
      <c r="C594" s="22"/>
      <c r="D594" s="22"/>
      <c r="E594" s="22"/>
      <c r="F594" s="28"/>
      <c r="G594" s="28"/>
      <c r="H594" s="28"/>
      <c r="I594" s="28"/>
      <c r="J594" s="28"/>
      <c r="K594" s="28"/>
      <c r="L594" s="28"/>
      <c r="M594" s="22"/>
      <c r="N594" s="22"/>
      <c r="O594" s="22"/>
      <c r="P594" s="22"/>
      <c r="Q594" s="22"/>
      <c r="R594" s="28"/>
      <c r="S594" s="28"/>
      <c r="T594" s="28"/>
      <c r="U594" s="28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ht="15.75" customHeight="1" x14ac:dyDescent="0.15">
      <c r="A595" s="22"/>
      <c r="B595" s="22"/>
      <c r="C595" s="22"/>
      <c r="D595" s="22"/>
      <c r="E595" s="22"/>
      <c r="F595" s="28"/>
      <c r="G595" s="28"/>
      <c r="H595" s="28"/>
      <c r="I595" s="28"/>
      <c r="J595" s="28"/>
      <c r="K595" s="28"/>
      <c r="L595" s="28"/>
      <c r="M595" s="22"/>
      <c r="N595" s="22"/>
      <c r="O595" s="22"/>
      <c r="P595" s="22"/>
      <c r="Q595" s="22"/>
      <c r="R595" s="28"/>
      <c r="S595" s="28"/>
      <c r="T595" s="28"/>
      <c r="U595" s="28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ht="15.75" customHeight="1" x14ac:dyDescent="0.15">
      <c r="A596" s="22"/>
      <c r="B596" s="22"/>
      <c r="C596" s="22"/>
      <c r="D596" s="22"/>
      <c r="E596" s="22"/>
      <c r="F596" s="28"/>
      <c r="G596" s="28"/>
      <c r="H596" s="28"/>
      <c r="I596" s="28"/>
      <c r="J596" s="28"/>
      <c r="K596" s="28"/>
      <c r="L596" s="28"/>
      <c r="M596" s="22"/>
      <c r="N596" s="22"/>
      <c r="O596" s="22"/>
      <c r="P596" s="22"/>
      <c r="Q596" s="22"/>
      <c r="R596" s="28"/>
      <c r="S596" s="28"/>
      <c r="T596" s="28"/>
      <c r="U596" s="28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ht="15.75" customHeight="1" x14ac:dyDescent="0.15">
      <c r="A597" s="22"/>
      <c r="B597" s="22"/>
      <c r="C597" s="22"/>
      <c r="D597" s="22"/>
      <c r="E597" s="22"/>
      <c r="F597" s="28"/>
      <c r="G597" s="28"/>
      <c r="H597" s="28"/>
      <c r="I597" s="28"/>
      <c r="J597" s="28"/>
      <c r="K597" s="28"/>
      <c r="L597" s="28"/>
      <c r="M597" s="22"/>
      <c r="N597" s="22"/>
      <c r="O597" s="22"/>
      <c r="P597" s="22"/>
      <c r="Q597" s="22"/>
      <c r="R597" s="28"/>
      <c r="S597" s="28"/>
      <c r="T597" s="28"/>
      <c r="U597" s="28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ht="15.75" customHeight="1" x14ac:dyDescent="0.15">
      <c r="A598" s="22"/>
      <c r="B598" s="22"/>
      <c r="C598" s="22"/>
      <c r="D598" s="22"/>
      <c r="E598" s="22"/>
      <c r="F598" s="28"/>
      <c r="G598" s="28"/>
      <c r="H598" s="28"/>
      <c r="I598" s="28"/>
      <c r="J598" s="28"/>
      <c r="K598" s="28"/>
      <c r="L598" s="28"/>
      <c r="M598" s="22"/>
      <c r="N598" s="22"/>
      <c r="O598" s="22"/>
      <c r="P598" s="22"/>
      <c r="Q598" s="22"/>
      <c r="R598" s="28"/>
      <c r="S598" s="28"/>
      <c r="T598" s="28"/>
      <c r="U598" s="28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ht="15.75" customHeight="1" x14ac:dyDescent="0.15">
      <c r="A599" s="22"/>
      <c r="B599" s="22"/>
      <c r="C599" s="22"/>
      <c r="D599" s="22"/>
      <c r="E599" s="22"/>
      <c r="F599" s="28"/>
      <c r="G599" s="28"/>
      <c r="H599" s="28"/>
      <c r="I599" s="28"/>
      <c r="J599" s="28"/>
      <c r="K599" s="28"/>
      <c r="L599" s="28"/>
      <c r="M599" s="22"/>
      <c r="N599" s="22"/>
      <c r="O599" s="22"/>
      <c r="P599" s="22"/>
      <c r="Q599" s="22"/>
      <c r="R599" s="28"/>
      <c r="S599" s="28"/>
      <c r="T599" s="28"/>
      <c r="U599" s="28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ht="15.75" customHeight="1" x14ac:dyDescent="0.15">
      <c r="A600" s="22"/>
      <c r="B600" s="22"/>
      <c r="C600" s="22"/>
      <c r="D600" s="22"/>
      <c r="E600" s="22"/>
      <c r="F600" s="28"/>
      <c r="G600" s="28"/>
      <c r="H600" s="28"/>
      <c r="I600" s="28"/>
      <c r="J600" s="28"/>
      <c r="K600" s="28"/>
      <c r="L600" s="28"/>
      <c r="M600" s="22"/>
      <c r="N600" s="22"/>
      <c r="O600" s="22"/>
      <c r="P600" s="22"/>
      <c r="Q600" s="22"/>
      <c r="R600" s="28"/>
      <c r="S600" s="28"/>
      <c r="T600" s="28"/>
      <c r="U600" s="28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ht="15.75" customHeight="1" x14ac:dyDescent="0.15">
      <c r="A601" s="22"/>
      <c r="B601" s="22"/>
      <c r="C601" s="22"/>
      <c r="D601" s="22"/>
      <c r="E601" s="22"/>
      <c r="F601" s="28"/>
      <c r="G601" s="28"/>
      <c r="H601" s="28"/>
      <c r="I601" s="28"/>
      <c r="J601" s="28"/>
      <c r="K601" s="28"/>
      <c r="L601" s="28"/>
      <c r="M601" s="22"/>
      <c r="N601" s="22"/>
      <c r="O601" s="22"/>
      <c r="P601" s="22"/>
      <c r="Q601" s="22"/>
      <c r="R601" s="28"/>
      <c r="S601" s="28"/>
      <c r="T601" s="28"/>
      <c r="U601" s="28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ht="15.75" customHeight="1" x14ac:dyDescent="0.15">
      <c r="A602" s="22"/>
      <c r="B602" s="22"/>
      <c r="C602" s="22"/>
      <c r="D602" s="22"/>
      <c r="E602" s="22"/>
      <c r="F602" s="28"/>
      <c r="G602" s="28"/>
      <c r="H602" s="28"/>
      <c r="I602" s="28"/>
      <c r="J602" s="28"/>
      <c r="K602" s="28"/>
      <c r="L602" s="28"/>
      <c r="M602" s="22"/>
      <c r="N602" s="22"/>
      <c r="O602" s="22"/>
      <c r="P602" s="22"/>
      <c r="Q602" s="22"/>
      <c r="R602" s="28"/>
      <c r="S602" s="28"/>
      <c r="T602" s="28"/>
      <c r="U602" s="28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ht="15.75" customHeight="1" x14ac:dyDescent="0.15">
      <c r="A603" s="22"/>
      <c r="B603" s="22"/>
      <c r="C603" s="22"/>
      <c r="D603" s="22"/>
      <c r="E603" s="22"/>
      <c r="F603" s="28"/>
      <c r="G603" s="28"/>
      <c r="H603" s="28"/>
      <c r="I603" s="28"/>
      <c r="J603" s="28"/>
      <c r="K603" s="28"/>
      <c r="L603" s="28"/>
      <c r="M603" s="22"/>
      <c r="N603" s="22"/>
      <c r="O603" s="22"/>
      <c r="P603" s="22"/>
      <c r="Q603" s="22"/>
      <c r="R603" s="28"/>
      <c r="S603" s="28"/>
      <c r="T603" s="28"/>
      <c r="U603" s="28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ht="15.75" customHeight="1" x14ac:dyDescent="0.15">
      <c r="A604" s="22"/>
      <c r="B604" s="22"/>
      <c r="C604" s="22"/>
      <c r="D604" s="22"/>
      <c r="E604" s="22"/>
      <c r="F604" s="28"/>
      <c r="G604" s="28"/>
      <c r="H604" s="28"/>
      <c r="I604" s="28"/>
      <c r="J604" s="28"/>
      <c r="K604" s="28"/>
      <c r="L604" s="28"/>
      <c r="M604" s="22"/>
      <c r="N604" s="22"/>
      <c r="O604" s="22"/>
      <c r="P604" s="22"/>
      <c r="Q604" s="22"/>
      <c r="R604" s="28"/>
      <c r="S604" s="28"/>
      <c r="T604" s="28"/>
      <c r="U604" s="28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ht="15.75" customHeight="1" x14ac:dyDescent="0.15">
      <c r="A605" s="22"/>
      <c r="B605" s="22"/>
      <c r="C605" s="22"/>
      <c r="D605" s="22"/>
      <c r="E605" s="22"/>
      <c r="F605" s="28"/>
      <c r="G605" s="28"/>
      <c r="H605" s="28"/>
      <c r="I605" s="28"/>
      <c r="J605" s="28"/>
      <c r="K605" s="28"/>
      <c r="L605" s="28"/>
      <c r="M605" s="22"/>
      <c r="N605" s="22"/>
      <c r="O605" s="22"/>
      <c r="P605" s="22"/>
      <c r="Q605" s="22"/>
      <c r="R605" s="28"/>
      <c r="S605" s="28"/>
      <c r="T605" s="28"/>
      <c r="U605" s="28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ht="15.75" customHeight="1" x14ac:dyDescent="0.15">
      <c r="A606" s="22"/>
      <c r="B606" s="22"/>
      <c r="C606" s="22"/>
      <c r="D606" s="22"/>
      <c r="E606" s="22"/>
      <c r="F606" s="28"/>
      <c r="G606" s="28"/>
      <c r="H606" s="28"/>
      <c r="I606" s="28"/>
      <c r="J606" s="28"/>
      <c r="K606" s="28"/>
      <c r="L606" s="28"/>
      <c r="M606" s="22"/>
      <c r="N606" s="22"/>
      <c r="O606" s="22"/>
      <c r="P606" s="22"/>
      <c r="Q606" s="22"/>
      <c r="R606" s="28"/>
      <c r="S606" s="28"/>
      <c r="T606" s="28"/>
      <c r="U606" s="28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ht="15.75" customHeight="1" x14ac:dyDescent="0.15">
      <c r="A607" s="22"/>
      <c r="B607" s="22"/>
      <c r="C607" s="22"/>
      <c r="D607" s="22"/>
      <c r="E607" s="22"/>
      <c r="F607" s="28"/>
      <c r="G607" s="28"/>
      <c r="H607" s="28"/>
      <c r="I607" s="28"/>
      <c r="J607" s="28"/>
      <c r="K607" s="28"/>
      <c r="L607" s="28"/>
      <c r="M607" s="22"/>
      <c r="N607" s="22"/>
      <c r="O607" s="22"/>
      <c r="P607" s="22"/>
      <c r="Q607" s="22"/>
      <c r="R607" s="28"/>
      <c r="S607" s="28"/>
      <c r="T607" s="28"/>
      <c r="U607" s="28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15.75" customHeight="1" x14ac:dyDescent="0.15">
      <c r="A608" s="22"/>
      <c r="B608" s="22"/>
      <c r="C608" s="22"/>
      <c r="D608" s="22"/>
      <c r="E608" s="22"/>
      <c r="F608" s="28"/>
      <c r="G608" s="28"/>
      <c r="H608" s="28"/>
      <c r="I608" s="28"/>
      <c r="J608" s="28"/>
      <c r="K608" s="28"/>
      <c r="L608" s="28"/>
      <c r="M608" s="22"/>
      <c r="N608" s="22"/>
      <c r="O608" s="22"/>
      <c r="P608" s="22"/>
      <c r="Q608" s="22"/>
      <c r="R608" s="28"/>
      <c r="S608" s="28"/>
      <c r="T608" s="28"/>
      <c r="U608" s="28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ht="15.75" customHeight="1" x14ac:dyDescent="0.15">
      <c r="A609" s="22"/>
      <c r="B609" s="22"/>
      <c r="C609" s="22"/>
      <c r="D609" s="22"/>
      <c r="E609" s="22"/>
      <c r="F609" s="28"/>
      <c r="G609" s="28"/>
      <c r="H609" s="28"/>
      <c r="I609" s="28"/>
      <c r="J609" s="28"/>
      <c r="K609" s="28"/>
      <c r="L609" s="28"/>
      <c r="M609" s="22"/>
      <c r="N609" s="22"/>
      <c r="O609" s="22"/>
      <c r="P609" s="22"/>
      <c r="Q609" s="22"/>
      <c r="R609" s="28"/>
      <c r="S609" s="28"/>
      <c r="T609" s="28"/>
      <c r="U609" s="28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15.75" customHeight="1" x14ac:dyDescent="0.15">
      <c r="A610" s="22"/>
      <c r="B610" s="22"/>
      <c r="C610" s="22"/>
      <c r="D610" s="22"/>
      <c r="E610" s="22"/>
      <c r="F610" s="28"/>
      <c r="G610" s="28"/>
      <c r="H610" s="28"/>
      <c r="I610" s="28"/>
      <c r="J610" s="28"/>
      <c r="K610" s="28"/>
      <c r="L610" s="28"/>
      <c r="M610" s="22"/>
      <c r="N610" s="22"/>
      <c r="O610" s="22"/>
      <c r="P610" s="22"/>
      <c r="Q610" s="22"/>
      <c r="R610" s="28"/>
      <c r="S610" s="28"/>
      <c r="T610" s="28"/>
      <c r="U610" s="28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ht="15.75" customHeight="1" x14ac:dyDescent="0.15">
      <c r="A611" s="22"/>
      <c r="B611" s="22"/>
      <c r="C611" s="22"/>
      <c r="D611" s="22"/>
      <c r="E611" s="22"/>
      <c r="F611" s="28"/>
      <c r="G611" s="28"/>
      <c r="H611" s="28"/>
      <c r="I611" s="28"/>
      <c r="J611" s="28"/>
      <c r="K611" s="28"/>
      <c r="L611" s="28"/>
      <c r="M611" s="22"/>
      <c r="N611" s="22"/>
      <c r="O611" s="22"/>
      <c r="P611" s="22"/>
      <c r="Q611" s="22"/>
      <c r="R611" s="28"/>
      <c r="S611" s="28"/>
      <c r="T611" s="28"/>
      <c r="U611" s="28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15.75" customHeight="1" x14ac:dyDescent="0.15">
      <c r="A612" s="22"/>
      <c r="B612" s="22"/>
      <c r="C612" s="22"/>
      <c r="D612" s="22"/>
      <c r="E612" s="22"/>
      <c r="F612" s="28"/>
      <c r="G612" s="28"/>
      <c r="H612" s="28"/>
      <c r="I612" s="28"/>
      <c r="J612" s="28"/>
      <c r="K612" s="28"/>
      <c r="L612" s="28"/>
      <c r="M612" s="22"/>
      <c r="N612" s="22"/>
      <c r="O612" s="22"/>
      <c r="P612" s="22"/>
      <c r="Q612" s="22"/>
      <c r="R612" s="28"/>
      <c r="S612" s="28"/>
      <c r="T612" s="28"/>
      <c r="U612" s="28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ht="15.75" customHeight="1" x14ac:dyDescent="0.15">
      <c r="A613" s="22"/>
      <c r="B613" s="22"/>
      <c r="C613" s="22"/>
      <c r="D613" s="22"/>
      <c r="E613" s="22"/>
      <c r="F613" s="28"/>
      <c r="G613" s="28"/>
      <c r="H613" s="28"/>
      <c r="I613" s="28"/>
      <c r="J613" s="28"/>
      <c r="K613" s="28"/>
      <c r="L613" s="28"/>
      <c r="M613" s="22"/>
      <c r="N613" s="22"/>
      <c r="O613" s="22"/>
      <c r="P613" s="22"/>
      <c r="Q613" s="22"/>
      <c r="R613" s="28"/>
      <c r="S613" s="28"/>
      <c r="T613" s="28"/>
      <c r="U613" s="28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ht="15.75" customHeight="1" x14ac:dyDescent="0.15">
      <c r="A614" s="22"/>
      <c r="B614" s="22"/>
      <c r="C614" s="22"/>
      <c r="D614" s="22"/>
      <c r="E614" s="22"/>
      <c r="F614" s="28"/>
      <c r="G614" s="28"/>
      <c r="H614" s="28"/>
      <c r="I614" s="28"/>
      <c r="J614" s="28"/>
      <c r="K614" s="28"/>
      <c r="L614" s="28"/>
      <c r="M614" s="22"/>
      <c r="N614" s="22"/>
      <c r="O614" s="22"/>
      <c r="P614" s="22"/>
      <c r="Q614" s="22"/>
      <c r="R614" s="28"/>
      <c r="S614" s="28"/>
      <c r="T614" s="28"/>
      <c r="U614" s="28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ht="15.75" customHeight="1" x14ac:dyDescent="0.15">
      <c r="A615" s="22"/>
      <c r="B615" s="22"/>
      <c r="C615" s="22"/>
      <c r="D615" s="22"/>
      <c r="E615" s="22"/>
      <c r="F615" s="28"/>
      <c r="G615" s="28"/>
      <c r="H615" s="28"/>
      <c r="I615" s="28"/>
      <c r="J615" s="28"/>
      <c r="K615" s="28"/>
      <c r="L615" s="28"/>
      <c r="M615" s="22"/>
      <c r="N615" s="22"/>
      <c r="O615" s="22"/>
      <c r="P615" s="22"/>
      <c r="Q615" s="22"/>
      <c r="R615" s="28"/>
      <c r="S615" s="28"/>
      <c r="T615" s="28"/>
      <c r="U615" s="28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15.75" customHeight="1" x14ac:dyDescent="0.15">
      <c r="A616" s="22"/>
      <c r="B616" s="22"/>
      <c r="C616" s="22"/>
      <c r="D616" s="22"/>
      <c r="E616" s="22"/>
      <c r="F616" s="28"/>
      <c r="G616" s="28"/>
      <c r="H616" s="28"/>
      <c r="I616" s="28"/>
      <c r="J616" s="28"/>
      <c r="K616" s="28"/>
      <c r="L616" s="28"/>
      <c r="M616" s="22"/>
      <c r="N616" s="22"/>
      <c r="O616" s="22"/>
      <c r="P616" s="22"/>
      <c r="Q616" s="22"/>
      <c r="R616" s="28"/>
      <c r="S616" s="28"/>
      <c r="T616" s="28"/>
      <c r="U616" s="28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15.75" customHeight="1" x14ac:dyDescent="0.15">
      <c r="A617" s="22"/>
      <c r="B617" s="22"/>
      <c r="C617" s="22"/>
      <c r="D617" s="22"/>
      <c r="E617" s="22"/>
      <c r="F617" s="28"/>
      <c r="G617" s="28"/>
      <c r="H617" s="28"/>
      <c r="I617" s="28"/>
      <c r="J617" s="28"/>
      <c r="K617" s="28"/>
      <c r="L617" s="28"/>
      <c r="M617" s="22"/>
      <c r="N617" s="22"/>
      <c r="O617" s="22"/>
      <c r="P617" s="22"/>
      <c r="Q617" s="22"/>
      <c r="R617" s="28"/>
      <c r="S617" s="28"/>
      <c r="T617" s="28"/>
      <c r="U617" s="28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ht="15.75" customHeight="1" x14ac:dyDescent="0.15">
      <c r="A618" s="22"/>
      <c r="B618" s="22"/>
      <c r="C618" s="22"/>
      <c r="D618" s="22"/>
      <c r="E618" s="22"/>
      <c r="F618" s="28"/>
      <c r="G618" s="28"/>
      <c r="H618" s="28"/>
      <c r="I618" s="28"/>
      <c r="J618" s="28"/>
      <c r="K618" s="28"/>
      <c r="L618" s="28"/>
      <c r="M618" s="22"/>
      <c r="N618" s="22"/>
      <c r="O618" s="22"/>
      <c r="P618" s="22"/>
      <c r="Q618" s="22"/>
      <c r="R618" s="28"/>
      <c r="S618" s="28"/>
      <c r="T618" s="28"/>
      <c r="U618" s="28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ht="15.75" customHeight="1" x14ac:dyDescent="0.15">
      <c r="A619" s="22"/>
      <c r="B619" s="22"/>
      <c r="C619" s="22"/>
      <c r="D619" s="22"/>
      <c r="E619" s="22"/>
      <c r="F619" s="28"/>
      <c r="G619" s="28"/>
      <c r="H619" s="28"/>
      <c r="I619" s="28"/>
      <c r="J619" s="28"/>
      <c r="K619" s="28"/>
      <c r="L619" s="28"/>
      <c r="M619" s="22"/>
      <c r="N619" s="22"/>
      <c r="O619" s="22"/>
      <c r="P619" s="22"/>
      <c r="Q619" s="22"/>
      <c r="R619" s="28"/>
      <c r="S619" s="28"/>
      <c r="T619" s="28"/>
      <c r="U619" s="28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ht="15.75" customHeight="1" x14ac:dyDescent="0.15">
      <c r="A620" s="22"/>
      <c r="B620" s="22"/>
      <c r="C620" s="22"/>
      <c r="D620" s="22"/>
      <c r="E620" s="22"/>
      <c r="F620" s="28"/>
      <c r="G620" s="28"/>
      <c r="H620" s="28"/>
      <c r="I620" s="28"/>
      <c r="J620" s="28"/>
      <c r="K620" s="28"/>
      <c r="L620" s="28"/>
      <c r="M620" s="22"/>
      <c r="N620" s="22"/>
      <c r="O620" s="22"/>
      <c r="P620" s="22"/>
      <c r="Q620" s="22"/>
      <c r="R620" s="28"/>
      <c r="S620" s="28"/>
      <c r="T620" s="28"/>
      <c r="U620" s="28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ht="15.75" customHeight="1" x14ac:dyDescent="0.15">
      <c r="A621" s="22"/>
      <c r="B621" s="22"/>
      <c r="C621" s="22"/>
      <c r="D621" s="22"/>
      <c r="E621" s="22"/>
      <c r="F621" s="28"/>
      <c r="G621" s="28"/>
      <c r="H621" s="28"/>
      <c r="I621" s="28"/>
      <c r="J621" s="28"/>
      <c r="K621" s="28"/>
      <c r="L621" s="28"/>
      <c r="M621" s="22"/>
      <c r="N621" s="22"/>
      <c r="O621" s="22"/>
      <c r="P621" s="22"/>
      <c r="Q621" s="22"/>
      <c r="R621" s="28"/>
      <c r="S621" s="28"/>
      <c r="T621" s="28"/>
      <c r="U621" s="28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ht="15.75" customHeight="1" x14ac:dyDescent="0.15">
      <c r="A622" s="22"/>
      <c r="B622" s="22"/>
      <c r="C622" s="22"/>
      <c r="D622" s="22"/>
      <c r="E622" s="22"/>
      <c r="F622" s="28"/>
      <c r="G622" s="28"/>
      <c r="H622" s="28"/>
      <c r="I622" s="28"/>
      <c r="J622" s="28"/>
      <c r="K622" s="28"/>
      <c r="L622" s="28"/>
      <c r="M622" s="22"/>
      <c r="N622" s="22"/>
      <c r="O622" s="22"/>
      <c r="P622" s="22"/>
      <c r="Q622" s="22"/>
      <c r="R622" s="28"/>
      <c r="S622" s="28"/>
      <c r="T622" s="28"/>
      <c r="U622" s="28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ht="15.75" customHeight="1" x14ac:dyDescent="0.15">
      <c r="A623" s="22"/>
      <c r="B623" s="22"/>
      <c r="C623" s="22"/>
      <c r="D623" s="22"/>
      <c r="E623" s="22"/>
      <c r="F623" s="28"/>
      <c r="G623" s="28"/>
      <c r="H623" s="28"/>
      <c r="I623" s="28"/>
      <c r="J623" s="28"/>
      <c r="K623" s="28"/>
      <c r="L623" s="28"/>
      <c r="M623" s="22"/>
      <c r="N623" s="22"/>
      <c r="O623" s="22"/>
      <c r="P623" s="22"/>
      <c r="Q623" s="22"/>
      <c r="R623" s="28"/>
      <c r="S623" s="28"/>
      <c r="T623" s="28"/>
      <c r="U623" s="28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ht="15.75" customHeight="1" x14ac:dyDescent="0.15">
      <c r="A624" s="22"/>
      <c r="B624" s="22"/>
      <c r="C624" s="22"/>
      <c r="D624" s="22"/>
      <c r="E624" s="22"/>
      <c r="F624" s="28"/>
      <c r="G624" s="28"/>
      <c r="H624" s="28"/>
      <c r="I624" s="28"/>
      <c r="J624" s="28"/>
      <c r="K624" s="28"/>
      <c r="L624" s="28"/>
      <c r="M624" s="22"/>
      <c r="N624" s="22"/>
      <c r="O624" s="22"/>
      <c r="P624" s="22"/>
      <c r="Q624" s="22"/>
      <c r="R624" s="28"/>
      <c r="S624" s="28"/>
      <c r="T624" s="28"/>
      <c r="U624" s="28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ht="15.75" customHeight="1" x14ac:dyDescent="0.15">
      <c r="A625" s="22"/>
      <c r="B625" s="22"/>
      <c r="C625" s="22"/>
      <c r="D625" s="22"/>
      <c r="E625" s="22"/>
      <c r="F625" s="28"/>
      <c r="G625" s="28"/>
      <c r="H625" s="28"/>
      <c r="I625" s="28"/>
      <c r="J625" s="28"/>
      <c r="K625" s="28"/>
      <c r="L625" s="28"/>
      <c r="M625" s="22"/>
      <c r="N625" s="22"/>
      <c r="O625" s="22"/>
      <c r="P625" s="22"/>
      <c r="Q625" s="22"/>
      <c r="R625" s="28"/>
      <c r="S625" s="28"/>
      <c r="T625" s="28"/>
      <c r="U625" s="28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ht="15.75" customHeight="1" x14ac:dyDescent="0.15">
      <c r="A626" s="22"/>
      <c r="B626" s="22"/>
      <c r="C626" s="22"/>
      <c r="D626" s="22"/>
      <c r="E626" s="22"/>
      <c r="F626" s="28"/>
      <c r="G626" s="28"/>
      <c r="H626" s="28"/>
      <c r="I626" s="28"/>
      <c r="J626" s="28"/>
      <c r="K626" s="28"/>
      <c r="L626" s="28"/>
      <c r="M626" s="22"/>
      <c r="N626" s="22"/>
      <c r="O626" s="22"/>
      <c r="P626" s="22"/>
      <c r="Q626" s="22"/>
      <c r="R626" s="28"/>
      <c r="S626" s="28"/>
      <c r="T626" s="28"/>
      <c r="U626" s="28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ht="15.75" customHeight="1" x14ac:dyDescent="0.15">
      <c r="A627" s="22"/>
      <c r="B627" s="22"/>
      <c r="C627" s="22"/>
      <c r="D627" s="22"/>
      <c r="E627" s="22"/>
      <c r="F627" s="28"/>
      <c r="G627" s="28"/>
      <c r="H627" s="28"/>
      <c r="I627" s="28"/>
      <c r="J627" s="28"/>
      <c r="K627" s="28"/>
      <c r="L627" s="28"/>
      <c r="M627" s="22"/>
      <c r="N627" s="22"/>
      <c r="O627" s="22"/>
      <c r="P627" s="22"/>
      <c r="Q627" s="22"/>
      <c r="R627" s="28"/>
      <c r="S627" s="28"/>
      <c r="T627" s="28"/>
      <c r="U627" s="28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ht="15.75" customHeight="1" x14ac:dyDescent="0.15">
      <c r="A628" s="22"/>
      <c r="B628" s="22"/>
      <c r="C628" s="22"/>
      <c r="D628" s="22"/>
      <c r="E628" s="22"/>
      <c r="F628" s="28"/>
      <c r="G628" s="28"/>
      <c r="H628" s="28"/>
      <c r="I628" s="28"/>
      <c r="J628" s="28"/>
      <c r="K628" s="28"/>
      <c r="L628" s="28"/>
      <c r="M628" s="22"/>
      <c r="N628" s="22"/>
      <c r="O628" s="22"/>
      <c r="P628" s="22"/>
      <c r="Q628" s="22"/>
      <c r="R628" s="28"/>
      <c r="S628" s="28"/>
      <c r="T628" s="28"/>
      <c r="U628" s="28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ht="15.75" customHeight="1" x14ac:dyDescent="0.15">
      <c r="A629" s="22"/>
      <c r="B629" s="22"/>
      <c r="C629" s="22"/>
      <c r="D629" s="22"/>
      <c r="E629" s="22"/>
      <c r="F629" s="28"/>
      <c r="G629" s="28"/>
      <c r="H629" s="28"/>
      <c r="I629" s="28"/>
      <c r="J629" s="28"/>
      <c r="K629" s="28"/>
      <c r="L629" s="28"/>
      <c r="M629" s="22"/>
      <c r="N629" s="22"/>
      <c r="O629" s="22"/>
      <c r="P629" s="22"/>
      <c r="Q629" s="22"/>
      <c r="R629" s="28"/>
      <c r="S629" s="28"/>
      <c r="T629" s="28"/>
      <c r="U629" s="28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ht="15.75" customHeight="1" x14ac:dyDescent="0.15">
      <c r="A630" s="22"/>
      <c r="B630" s="22"/>
      <c r="C630" s="22"/>
      <c r="D630" s="22"/>
      <c r="E630" s="22"/>
      <c r="F630" s="28"/>
      <c r="G630" s="28"/>
      <c r="H630" s="28"/>
      <c r="I630" s="28"/>
      <c r="J630" s="28"/>
      <c r="K630" s="28"/>
      <c r="L630" s="28"/>
      <c r="M630" s="22"/>
      <c r="N630" s="22"/>
      <c r="O630" s="22"/>
      <c r="P630" s="22"/>
      <c r="Q630" s="22"/>
      <c r="R630" s="28"/>
      <c r="S630" s="28"/>
      <c r="T630" s="28"/>
      <c r="U630" s="28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ht="15.75" customHeight="1" x14ac:dyDescent="0.15">
      <c r="A631" s="22"/>
      <c r="B631" s="22"/>
      <c r="C631" s="22"/>
      <c r="D631" s="22"/>
      <c r="E631" s="22"/>
      <c r="F631" s="28"/>
      <c r="G631" s="28"/>
      <c r="H631" s="28"/>
      <c r="I631" s="28"/>
      <c r="J631" s="28"/>
      <c r="K631" s="28"/>
      <c r="L631" s="28"/>
      <c r="M631" s="22"/>
      <c r="N631" s="22"/>
      <c r="O631" s="22"/>
      <c r="P631" s="22"/>
      <c r="Q631" s="22"/>
      <c r="R631" s="28"/>
      <c r="S631" s="28"/>
      <c r="T631" s="28"/>
      <c r="U631" s="28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ht="15.75" customHeight="1" x14ac:dyDescent="0.15">
      <c r="A632" s="22"/>
      <c r="B632" s="22"/>
      <c r="C632" s="22"/>
      <c r="D632" s="22"/>
      <c r="E632" s="22"/>
      <c r="F632" s="28"/>
      <c r="G632" s="28"/>
      <c r="H632" s="28"/>
      <c r="I632" s="28"/>
      <c r="J632" s="28"/>
      <c r="K632" s="28"/>
      <c r="L632" s="28"/>
      <c r="M632" s="22"/>
      <c r="N632" s="22"/>
      <c r="O632" s="22"/>
      <c r="P632" s="22"/>
      <c r="Q632" s="22"/>
      <c r="R632" s="28"/>
      <c r="S632" s="28"/>
      <c r="T632" s="28"/>
      <c r="U632" s="28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ht="15.75" customHeight="1" x14ac:dyDescent="0.15">
      <c r="A633" s="22"/>
      <c r="B633" s="22"/>
      <c r="C633" s="22"/>
      <c r="D633" s="22"/>
      <c r="E633" s="22"/>
      <c r="F633" s="28"/>
      <c r="G633" s="28"/>
      <c r="H633" s="28"/>
      <c r="I633" s="28"/>
      <c r="J633" s="28"/>
      <c r="K633" s="28"/>
      <c r="L633" s="28"/>
      <c r="M633" s="22"/>
      <c r="N633" s="22"/>
      <c r="O633" s="22"/>
      <c r="P633" s="22"/>
      <c r="Q633" s="22"/>
      <c r="R633" s="28"/>
      <c r="S633" s="28"/>
      <c r="T633" s="28"/>
      <c r="U633" s="28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15.75" customHeight="1" x14ac:dyDescent="0.15">
      <c r="A634" s="22"/>
      <c r="B634" s="22"/>
      <c r="C634" s="22"/>
      <c r="D634" s="22"/>
      <c r="E634" s="22"/>
      <c r="F634" s="28"/>
      <c r="G634" s="28"/>
      <c r="H634" s="28"/>
      <c r="I634" s="28"/>
      <c r="J634" s="28"/>
      <c r="K634" s="28"/>
      <c r="L634" s="28"/>
      <c r="M634" s="22"/>
      <c r="N634" s="22"/>
      <c r="O634" s="22"/>
      <c r="P634" s="22"/>
      <c r="Q634" s="22"/>
      <c r="R634" s="28"/>
      <c r="S634" s="28"/>
      <c r="T634" s="28"/>
      <c r="U634" s="28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ht="15.75" customHeight="1" x14ac:dyDescent="0.15">
      <c r="A635" s="22"/>
      <c r="B635" s="22"/>
      <c r="C635" s="22"/>
      <c r="D635" s="22"/>
      <c r="E635" s="22"/>
      <c r="F635" s="28"/>
      <c r="G635" s="28"/>
      <c r="H635" s="28"/>
      <c r="I635" s="28"/>
      <c r="J635" s="28"/>
      <c r="K635" s="28"/>
      <c r="L635" s="28"/>
      <c r="M635" s="22"/>
      <c r="N635" s="22"/>
      <c r="O635" s="22"/>
      <c r="P635" s="22"/>
      <c r="Q635" s="22"/>
      <c r="R635" s="28"/>
      <c r="S635" s="28"/>
      <c r="T635" s="28"/>
      <c r="U635" s="28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ht="15.75" customHeight="1" x14ac:dyDescent="0.15">
      <c r="A636" s="22"/>
      <c r="B636" s="22"/>
      <c r="C636" s="22"/>
      <c r="D636" s="22"/>
      <c r="E636" s="22"/>
      <c r="F636" s="28"/>
      <c r="G636" s="28"/>
      <c r="H636" s="28"/>
      <c r="I636" s="28"/>
      <c r="J636" s="28"/>
      <c r="K636" s="28"/>
      <c r="L636" s="28"/>
      <c r="M636" s="22"/>
      <c r="N636" s="22"/>
      <c r="O636" s="22"/>
      <c r="P636" s="22"/>
      <c r="Q636" s="22"/>
      <c r="R636" s="28"/>
      <c r="S636" s="28"/>
      <c r="T636" s="28"/>
      <c r="U636" s="28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ht="15.75" customHeight="1" x14ac:dyDescent="0.15">
      <c r="A637" s="22"/>
      <c r="B637" s="22"/>
      <c r="C637" s="22"/>
      <c r="D637" s="22"/>
      <c r="E637" s="22"/>
      <c r="F637" s="28"/>
      <c r="G637" s="28"/>
      <c r="H637" s="28"/>
      <c r="I637" s="28"/>
      <c r="J637" s="28"/>
      <c r="K637" s="28"/>
      <c r="L637" s="28"/>
      <c r="M637" s="22"/>
      <c r="N637" s="22"/>
      <c r="O637" s="22"/>
      <c r="P637" s="22"/>
      <c r="Q637" s="22"/>
      <c r="R637" s="28"/>
      <c r="S637" s="28"/>
      <c r="T637" s="28"/>
      <c r="U637" s="28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ht="15.75" customHeight="1" x14ac:dyDescent="0.15">
      <c r="A638" s="22"/>
      <c r="B638" s="22"/>
      <c r="C638" s="22"/>
      <c r="D638" s="22"/>
      <c r="E638" s="22"/>
      <c r="F638" s="28"/>
      <c r="G638" s="28"/>
      <c r="H638" s="28"/>
      <c r="I638" s="28"/>
      <c r="J638" s="28"/>
      <c r="K638" s="28"/>
      <c r="L638" s="28"/>
      <c r="M638" s="22"/>
      <c r="N638" s="22"/>
      <c r="O638" s="22"/>
      <c r="P638" s="22"/>
      <c r="Q638" s="22"/>
      <c r="R638" s="28"/>
      <c r="S638" s="28"/>
      <c r="T638" s="28"/>
      <c r="U638" s="28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ht="15.75" customHeight="1" x14ac:dyDescent="0.15">
      <c r="A639" s="22"/>
      <c r="B639" s="22"/>
      <c r="C639" s="22"/>
      <c r="D639" s="22"/>
      <c r="E639" s="22"/>
      <c r="F639" s="28"/>
      <c r="G639" s="28"/>
      <c r="H639" s="28"/>
      <c r="I639" s="28"/>
      <c r="J639" s="28"/>
      <c r="K639" s="28"/>
      <c r="L639" s="28"/>
      <c r="M639" s="22"/>
      <c r="N639" s="22"/>
      <c r="O639" s="22"/>
      <c r="P639" s="22"/>
      <c r="Q639" s="22"/>
      <c r="R639" s="28"/>
      <c r="S639" s="28"/>
      <c r="T639" s="28"/>
      <c r="U639" s="28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ht="15.75" customHeight="1" x14ac:dyDescent="0.15">
      <c r="A640" s="22"/>
      <c r="B640" s="22"/>
      <c r="C640" s="22"/>
      <c r="D640" s="22"/>
      <c r="E640" s="22"/>
      <c r="F640" s="28"/>
      <c r="G640" s="28"/>
      <c r="H640" s="28"/>
      <c r="I640" s="28"/>
      <c r="J640" s="28"/>
      <c r="K640" s="28"/>
      <c r="L640" s="28"/>
      <c r="M640" s="22"/>
      <c r="N640" s="22"/>
      <c r="O640" s="22"/>
      <c r="P640" s="22"/>
      <c r="Q640" s="22"/>
      <c r="R640" s="28"/>
      <c r="S640" s="28"/>
      <c r="T640" s="28"/>
      <c r="U640" s="28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ht="15.75" customHeight="1" x14ac:dyDescent="0.15">
      <c r="A641" s="22"/>
      <c r="B641" s="22"/>
      <c r="C641" s="22"/>
      <c r="D641" s="22"/>
      <c r="E641" s="22"/>
      <c r="F641" s="28"/>
      <c r="G641" s="28"/>
      <c r="H641" s="28"/>
      <c r="I641" s="28"/>
      <c r="J641" s="28"/>
      <c r="K641" s="28"/>
      <c r="L641" s="28"/>
      <c r="M641" s="22"/>
      <c r="N641" s="22"/>
      <c r="O641" s="22"/>
      <c r="P641" s="22"/>
      <c r="Q641" s="22"/>
      <c r="R641" s="28"/>
      <c r="S641" s="28"/>
      <c r="T641" s="28"/>
      <c r="U641" s="28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ht="15.75" customHeight="1" x14ac:dyDescent="0.15">
      <c r="A642" s="22"/>
      <c r="B642" s="22"/>
      <c r="C642" s="22"/>
      <c r="D642" s="22"/>
      <c r="E642" s="22"/>
      <c r="F642" s="28"/>
      <c r="G642" s="28"/>
      <c r="H642" s="28"/>
      <c r="I642" s="28"/>
      <c r="J642" s="28"/>
      <c r="K642" s="28"/>
      <c r="L642" s="28"/>
      <c r="M642" s="22"/>
      <c r="N642" s="22"/>
      <c r="O642" s="22"/>
      <c r="P642" s="22"/>
      <c r="Q642" s="22"/>
      <c r="R642" s="28"/>
      <c r="S642" s="28"/>
      <c r="T642" s="28"/>
      <c r="U642" s="28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ht="15.75" customHeight="1" x14ac:dyDescent="0.15">
      <c r="A643" s="22"/>
      <c r="B643" s="22"/>
      <c r="C643" s="22"/>
      <c r="D643" s="22"/>
      <c r="E643" s="22"/>
      <c r="F643" s="28"/>
      <c r="G643" s="28"/>
      <c r="H643" s="28"/>
      <c r="I643" s="28"/>
      <c r="J643" s="28"/>
      <c r="K643" s="28"/>
      <c r="L643" s="28"/>
      <c r="M643" s="22"/>
      <c r="N643" s="22"/>
      <c r="O643" s="22"/>
      <c r="P643" s="22"/>
      <c r="Q643" s="22"/>
      <c r="R643" s="28"/>
      <c r="S643" s="28"/>
      <c r="T643" s="28"/>
      <c r="U643" s="28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ht="15.75" customHeight="1" x14ac:dyDescent="0.15">
      <c r="A644" s="22"/>
      <c r="B644" s="22"/>
      <c r="C644" s="22"/>
      <c r="D644" s="22"/>
      <c r="E644" s="22"/>
      <c r="F644" s="28"/>
      <c r="G644" s="28"/>
      <c r="H644" s="28"/>
      <c r="I644" s="28"/>
      <c r="J644" s="28"/>
      <c r="K644" s="28"/>
      <c r="L644" s="28"/>
      <c r="M644" s="22"/>
      <c r="N644" s="22"/>
      <c r="O644" s="22"/>
      <c r="P644" s="22"/>
      <c r="Q644" s="22"/>
      <c r="R644" s="28"/>
      <c r="S644" s="28"/>
      <c r="T644" s="28"/>
      <c r="U644" s="28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ht="15.75" customHeight="1" x14ac:dyDescent="0.15">
      <c r="A645" s="22"/>
      <c r="B645" s="22"/>
      <c r="C645" s="22"/>
      <c r="D645" s="22"/>
      <c r="E645" s="22"/>
      <c r="F645" s="28"/>
      <c r="G645" s="28"/>
      <c r="H645" s="28"/>
      <c r="I645" s="28"/>
      <c r="J645" s="28"/>
      <c r="K645" s="28"/>
      <c r="L645" s="28"/>
      <c r="M645" s="22"/>
      <c r="N645" s="22"/>
      <c r="O645" s="22"/>
      <c r="P645" s="22"/>
      <c r="Q645" s="22"/>
      <c r="R645" s="28"/>
      <c r="S645" s="28"/>
      <c r="T645" s="28"/>
      <c r="U645" s="28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ht="15.75" customHeight="1" x14ac:dyDescent="0.15">
      <c r="A646" s="22"/>
      <c r="B646" s="22"/>
      <c r="C646" s="22"/>
      <c r="D646" s="22"/>
      <c r="E646" s="22"/>
      <c r="F646" s="28"/>
      <c r="G646" s="28"/>
      <c r="H646" s="28"/>
      <c r="I646" s="28"/>
      <c r="J646" s="28"/>
      <c r="K646" s="28"/>
      <c r="L646" s="28"/>
      <c r="M646" s="22"/>
      <c r="N646" s="22"/>
      <c r="O646" s="22"/>
      <c r="P646" s="22"/>
      <c r="Q646" s="22"/>
      <c r="R646" s="28"/>
      <c r="S646" s="28"/>
      <c r="T646" s="28"/>
      <c r="U646" s="28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ht="15.75" customHeight="1" x14ac:dyDescent="0.15">
      <c r="A647" s="22"/>
      <c r="B647" s="22"/>
      <c r="C647" s="22"/>
      <c r="D647" s="22"/>
      <c r="E647" s="22"/>
      <c r="F647" s="28"/>
      <c r="G647" s="28"/>
      <c r="H647" s="28"/>
      <c r="I647" s="28"/>
      <c r="J647" s="28"/>
      <c r="K647" s="28"/>
      <c r="L647" s="28"/>
      <c r="M647" s="22"/>
      <c r="N647" s="22"/>
      <c r="O647" s="22"/>
      <c r="P647" s="22"/>
      <c r="Q647" s="22"/>
      <c r="R647" s="28"/>
      <c r="S647" s="28"/>
      <c r="T647" s="28"/>
      <c r="U647" s="28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ht="15.75" customHeight="1" x14ac:dyDescent="0.15">
      <c r="A648" s="22"/>
      <c r="B648" s="22"/>
      <c r="C648" s="22"/>
      <c r="D648" s="22"/>
      <c r="E648" s="22"/>
      <c r="F648" s="28"/>
      <c r="G648" s="28"/>
      <c r="H648" s="28"/>
      <c r="I648" s="28"/>
      <c r="J648" s="28"/>
      <c r="K648" s="28"/>
      <c r="L648" s="28"/>
      <c r="M648" s="22"/>
      <c r="N648" s="22"/>
      <c r="O648" s="22"/>
      <c r="P648" s="22"/>
      <c r="Q648" s="22"/>
      <c r="R648" s="28"/>
      <c r="S648" s="28"/>
      <c r="T648" s="28"/>
      <c r="U648" s="28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ht="15.75" customHeight="1" x14ac:dyDescent="0.15">
      <c r="A649" s="22"/>
      <c r="B649" s="22"/>
      <c r="C649" s="22"/>
      <c r="D649" s="22"/>
      <c r="E649" s="22"/>
      <c r="F649" s="28"/>
      <c r="G649" s="28"/>
      <c r="H649" s="28"/>
      <c r="I649" s="28"/>
      <c r="J649" s="28"/>
      <c r="K649" s="28"/>
      <c r="L649" s="28"/>
      <c r="M649" s="22"/>
      <c r="N649" s="22"/>
      <c r="O649" s="22"/>
      <c r="P649" s="22"/>
      <c r="Q649" s="22"/>
      <c r="R649" s="28"/>
      <c r="S649" s="28"/>
      <c r="T649" s="28"/>
      <c r="U649" s="28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ht="15.75" customHeight="1" x14ac:dyDescent="0.15">
      <c r="A650" s="22"/>
      <c r="B650" s="22"/>
      <c r="C650" s="22"/>
      <c r="D650" s="22"/>
      <c r="E650" s="22"/>
      <c r="F650" s="28"/>
      <c r="G650" s="28"/>
      <c r="H650" s="28"/>
      <c r="I650" s="28"/>
      <c r="J650" s="28"/>
      <c r="K650" s="28"/>
      <c r="L650" s="28"/>
      <c r="M650" s="22"/>
      <c r="N650" s="22"/>
      <c r="O650" s="22"/>
      <c r="P650" s="22"/>
      <c r="Q650" s="22"/>
      <c r="R650" s="28"/>
      <c r="S650" s="28"/>
      <c r="T650" s="28"/>
      <c r="U650" s="28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ht="15.75" customHeight="1" x14ac:dyDescent="0.15">
      <c r="A651" s="22"/>
      <c r="B651" s="22"/>
      <c r="C651" s="22"/>
      <c r="D651" s="22"/>
      <c r="E651" s="22"/>
      <c r="F651" s="28"/>
      <c r="G651" s="28"/>
      <c r="H651" s="28"/>
      <c r="I651" s="28"/>
      <c r="J651" s="28"/>
      <c r="K651" s="28"/>
      <c r="L651" s="28"/>
      <c r="M651" s="22"/>
      <c r="N651" s="22"/>
      <c r="O651" s="22"/>
      <c r="P651" s="22"/>
      <c r="Q651" s="22"/>
      <c r="R651" s="28"/>
      <c r="S651" s="28"/>
      <c r="T651" s="28"/>
      <c r="U651" s="28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ht="15.75" customHeight="1" x14ac:dyDescent="0.15">
      <c r="A652" s="22"/>
      <c r="B652" s="22"/>
      <c r="C652" s="22"/>
      <c r="D652" s="22"/>
      <c r="E652" s="22"/>
      <c r="F652" s="28"/>
      <c r="G652" s="28"/>
      <c r="H652" s="28"/>
      <c r="I652" s="28"/>
      <c r="J652" s="28"/>
      <c r="K652" s="28"/>
      <c r="L652" s="28"/>
      <c r="M652" s="22"/>
      <c r="N652" s="22"/>
      <c r="O652" s="22"/>
      <c r="P652" s="22"/>
      <c r="Q652" s="22"/>
      <c r="R652" s="28"/>
      <c r="S652" s="28"/>
      <c r="T652" s="28"/>
      <c r="U652" s="28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ht="15.75" customHeight="1" x14ac:dyDescent="0.15">
      <c r="A653" s="22"/>
      <c r="B653" s="22"/>
      <c r="C653" s="22"/>
      <c r="D653" s="22"/>
      <c r="E653" s="22"/>
      <c r="F653" s="28"/>
      <c r="G653" s="28"/>
      <c r="H653" s="28"/>
      <c r="I653" s="28"/>
      <c r="J653" s="28"/>
      <c r="K653" s="28"/>
      <c r="L653" s="28"/>
      <c r="M653" s="22"/>
      <c r="N653" s="22"/>
      <c r="O653" s="22"/>
      <c r="P653" s="22"/>
      <c r="Q653" s="22"/>
      <c r="R653" s="28"/>
      <c r="S653" s="28"/>
      <c r="T653" s="28"/>
      <c r="U653" s="28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ht="15.75" customHeight="1" x14ac:dyDescent="0.15">
      <c r="A654" s="22"/>
      <c r="B654" s="22"/>
      <c r="C654" s="22"/>
      <c r="D654" s="22"/>
      <c r="E654" s="22"/>
      <c r="F654" s="28"/>
      <c r="G654" s="28"/>
      <c r="H654" s="28"/>
      <c r="I654" s="28"/>
      <c r="J654" s="28"/>
      <c r="K654" s="28"/>
      <c r="L654" s="28"/>
      <c r="M654" s="22"/>
      <c r="N654" s="22"/>
      <c r="O654" s="22"/>
      <c r="P654" s="22"/>
      <c r="Q654" s="22"/>
      <c r="R654" s="28"/>
      <c r="S654" s="28"/>
      <c r="T654" s="28"/>
      <c r="U654" s="28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ht="15.75" customHeight="1" x14ac:dyDescent="0.15">
      <c r="A655" s="22"/>
      <c r="B655" s="22"/>
      <c r="C655" s="22"/>
      <c r="D655" s="22"/>
      <c r="E655" s="22"/>
      <c r="F655" s="28"/>
      <c r="G655" s="28"/>
      <c r="H655" s="28"/>
      <c r="I655" s="28"/>
      <c r="J655" s="28"/>
      <c r="K655" s="28"/>
      <c r="L655" s="28"/>
      <c r="M655" s="22"/>
      <c r="N655" s="22"/>
      <c r="O655" s="22"/>
      <c r="P655" s="22"/>
      <c r="Q655" s="22"/>
      <c r="R655" s="28"/>
      <c r="S655" s="28"/>
      <c r="T655" s="28"/>
      <c r="U655" s="28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ht="15.75" customHeight="1" x14ac:dyDescent="0.15">
      <c r="A656" s="22"/>
      <c r="B656" s="22"/>
      <c r="C656" s="22"/>
      <c r="D656" s="22"/>
      <c r="E656" s="22"/>
      <c r="F656" s="28"/>
      <c r="G656" s="28"/>
      <c r="H656" s="28"/>
      <c r="I656" s="28"/>
      <c r="J656" s="28"/>
      <c r="K656" s="28"/>
      <c r="L656" s="28"/>
      <c r="M656" s="22"/>
      <c r="N656" s="22"/>
      <c r="O656" s="22"/>
      <c r="P656" s="22"/>
      <c r="Q656" s="22"/>
      <c r="R656" s="28"/>
      <c r="S656" s="28"/>
      <c r="T656" s="28"/>
      <c r="U656" s="28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ht="15.75" customHeight="1" x14ac:dyDescent="0.15">
      <c r="A657" s="22"/>
      <c r="B657" s="22"/>
      <c r="C657" s="22"/>
      <c r="D657" s="22"/>
      <c r="E657" s="22"/>
      <c r="F657" s="28"/>
      <c r="G657" s="28"/>
      <c r="H657" s="28"/>
      <c r="I657" s="28"/>
      <c r="J657" s="28"/>
      <c r="K657" s="28"/>
      <c r="L657" s="28"/>
      <c r="M657" s="22"/>
      <c r="N657" s="22"/>
      <c r="O657" s="22"/>
      <c r="P657" s="22"/>
      <c r="Q657" s="22"/>
      <c r="R657" s="28"/>
      <c r="S657" s="28"/>
      <c r="T657" s="28"/>
      <c r="U657" s="28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ht="15.75" customHeight="1" x14ac:dyDescent="0.15">
      <c r="A658" s="22"/>
      <c r="B658" s="22"/>
      <c r="C658" s="22"/>
      <c r="D658" s="22"/>
      <c r="E658" s="22"/>
      <c r="F658" s="28"/>
      <c r="G658" s="28"/>
      <c r="H658" s="28"/>
      <c r="I658" s="28"/>
      <c r="J658" s="28"/>
      <c r="K658" s="28"/>
      <c r="L658" s="28"/>
      <c r="M658" s="22"/>
      <c r="N658" s="22"/>
      <c r="O658" s="22"/>
      <c r="P658" s="22"/>
      <c r="Q658" s="22"/>
      <c r="R658" s="28"/>
      <c r="S658" s="28"/>
      <c r="T658" s="28"/>
      <c r="U658" s="28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ht="15.75" customHeight="1" x14ac:dyDescent="0.15">
      <c r="A659" s="22"/>
      <c r="B659" s="22"/>
      <c r="C659" s="22"/>
      <c r="D659" s="22"/>
      <c r="E659" s="22"/>
      <c r="F659" s="28"/>
      <c r="G659" s="28"/>
      <c r="H659" s="28"/>
      <c r="I659" s="28"/>
      <c r="J659" s="28"/>
      <c r="K659" s="28"/>
      <c r="L659" s="28"/>
      <c r="M659" s="22"/>
      <c r="N659" s="22"/>
      <c r="O659" s="22"/>
      <c r="P659" s="22"/>
      <c r="Q659" s="22"/>
      <c r="R659" s="28"/>
      <c r="S659" s="28"/>
      <c r="T659" s="28"/>
      <c r="U659" s="28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ht="15.75" customHeight="1" x14ac:dyDescent="0.15">
      <c r="A660" s="22"/>
      <c r="B660" s="22"/>
      <c r="C660" s="22"/>
      <c r="D660" s="22"/>
      <c r="E660" s="22"/>
      <c r="F660" s="28"/>
      <c r="G660" s="28"/>
      <c r="H660" s="28"/>
      <c r="I660" s="28"/>
      <c r="J660" s="28"/>
      <c r="K660" s="28"/>
      <c r="L660" s="28"/>
      <c r="M660" s="22"/>
      <c r="N660" s="22"/>
      <c r="O660" s="22"/>
      <c r="P660" s="22"/>
      <c r="Q660" s="22"/>
      <c r="R660" s="28"/>
      <c r="S660" s="28"/>
      <c r="T660" s="28"/>
      <c r="U660" s="28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ht="15.75" customHeight="1" x14ac:dyDescent="0.15">
      <c r="A661" s="22"/>
      <c r="B661" s="22"/>
      <c r="C661" s="22"/>
      <c r="D661" s="22"/>
      <c r="E661" s="22"/>
      <c r="F661" s="28"/>
      <c r="G661" s="28"/>
      <c r="H661" s="28"/>
      <c r="I661" s="28"/>
      <c r="J661" s="28"/>
      <c r="K661" s="28"/>
      <c r="L661" s="28"/>
      <c r="M661" s="22"/>
      <c r="N661" s="22"/>
      <c r="O661" s="22"/>
      <c r="P661" s="22"/>
      <c r="Q661" s="22"/>
      <c r="R661" s="28"/>
      <c r="S661" s="28"/>
      <c r="T661" s="28"/>
      <c r="U661" s="28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ht="15.75" customHeight="1" x14ac:dyDescent="0.15">
      <c r="A662" s="22"/>
      <c r="B662" s="22"/>
      <c r="C662" s="22"/>
      <c r="D662" s="22"/>
      <c r="E662" s="22"/>
      <c r="F662" s="28"/>
      <c r="G662" s="28"/>
      <c r="H662" s="28"/>
      <c r="I662" s="28"/>
      <c r="J662" s="28"/>
      <c r="K662" s="28"/>
      <c r="L662" s="28"/>
      <c r="M662" s="22"/>
      <c r="N662" s="22"/>
      <c r="O662" s="22"/>
      <c r="P662" s="22"/>
      <c r="Q662" s="22"/>
      <c r="R662" s="28"/>
      <c r="S662" s="28"/>
      <c r="T662" s="28"/>
      <c r="U662" s="28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ht="15.75" customHeight="1" x14ac:dyDescent="0.15">
      <c r="A663" s="22"/>
      <c r="B663" s="22"/>
      <c r="C663" s="22"/>
      <c r="D663" s="22"/>
      <c r="E663" s="22"/>
      <c r="F663" s="28"/>
      <c r="G663" s="28"/>
      <c r="H663" s="28"/>
      <c r="I663" s="28"/>
      <c r="J663" s="28"/>
      <c r="K663" s="28"/>
      <c r="L663" s="28"/>
      <c r="M663" s="22"/>
      <c r="N663" s="22"/>
      <c r="O663" s="22"/>
      <c r="P663" s="22"/>
      <c r="Q663" s="22"/>
      <c r="R663" s="28"/>
      <c r="S663" s="28"/>
      <c r="T663" s="28"/>
      <c r="U663" s="28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ht="15.75" customHeight="1" x14ac:dyDescent="0.15">
      <c r="A664" s="22"/>
      <c r="B664" s="22"/>
      <c r="C664" s="22"/>
      <c r="D664" s="22"/>
      <c r="E664" s="22"/>
      <c r="F664" s="28"/>
      <c r="G664" s="28"/>
      <c r="H664" s="28"/>
      <c r="I664" s="28"/>
      <c r="J664" s="28"/>
      <c r="K664" s="28"/>
      <c r="L664" s="28"/>
      <c r="M664" s="22"/>
      <c r="N664" s="22"/>
      <c r="O664" s="22"/>
      <c r="P664" s="22"/>
      <c r="Q664" s="22"/>
      <c r="R664" s="28"/>
      <c r="S664" s="28"/>
      <c r="T664" s="28"/>
      <c r="U664" s="28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ht="15.75" customHeight="1" x14ac:dyDescent="0.15">
      <c r="A665" s="22"/>
      <c r="B665" s="22"/>
      <c r="C665" s="22"/>
      <c r="D665" s="22"/>
      <c r="E665" s="22"/>
      <c r="F665" s="28"/>
      <c r="G665" s="28"/>
      <c r="H665" s="28"/>
      <c r="I665" s="28"/>
      <c r="J665" s="28"/>
      <c r="K665" s="28"/>
      <c r="L665" s="28"/>
      <c r="M665" s="22"/>
      <c r="N665" s="22"/>
      <c r="O665" s="22"/>
      <c r="P665" s="22"/>
      <c r="Q665" s="22"/>
      <c r="R665" s="28"/>
      <c r="S665" s="28"/>
      <c r="T665" s="28"/>
      <c r="U665" s="28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ht="15.75" customHeight="1" x14ac:dyDescent="0.15">
      <c r="A666" s="22"/>
      <c r="B666" s="22"/>
      <c r="C666" s="22"/>
      <c r="D666" s="22"/>
      <c r="E666" s="22"/>
      <c r="F666" s="28"/>
      <c r="G666" s="28"/>
      <c r="H666" s="28"/>
      <c r="I666" s="28"/>
      <c r="J666" s="28"/>
      <c r="K666" s="28"/>
      <c r="L666" s="28"/>
      <c r="M666" s="22"/>
      <c r="N666" s="22"/>
      <c r="O666" s="22"/>
      <c r="P666" s="22"/>
      <c r="Q666" s="22"/>
      <c r="R666" s="28"/>
      <c r="S666" s="28"/>
      <c r="T666" s="28"/>
      <c r="U666" s="28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ht="15.75" customHeight="1" x14ac:dyDescent="0.15">
      <c r="A667" s="22"/>
      <c r="B667" s="22"/>
      <c r="C667" s="22"/>
      <c r="D667" s="22"/>
      <c r="E667" s="22"/>
      <c r="F667" s="28"/>
      <c r="G667" s="28"/>
      <c r="H667" s="28"/>
      <c r="I667" s="28"/>
      <c r="J667" s="28"/>
      <c r="K667" s="28"/>
      <c r="L667" s="28"/>
      <c r="M667" s="22"/>
      <c r="N667" s="22"/>
      <c r="O667" s="22"/>
      <c r="P667" s="22"/>
      <c r="Q667" s="22"/>
      <c r="R667" s="28"/>
      <c r="S667" s="28"/>
      <c r="T667" s="28"/>
      <c r="U667" s="28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ht="15.75" customHeight="1" x14ac:dyDescent="0.15">
      <c r="A668" s="22"/>
      <c r="B668" s="22"/>
      <c r="C668" s="22"/>
      <c r="D668" s="22"/>
      <c r="E668" s="22"/>
      <c r="F668" s="28"/>
      <c r="G668" s="28"/>
      <c r="H668" s="28"/>
      <c r="I668" s="28"/>
      <c r="J668" s="28"/>
      <c r="K668" s="28"/>
      <c r="L668" s="28"/>
      <c r="M668" s="22"/>
      <c r="N668" s="22"/>
      <c r="O668" s="22"/>
      <c r="P668" s="22"/>
      <c r="Q668" s="22"/>
      <c r="R668" s="28"/>
      <c r="S668" s="28"/>
      <c r="T668" s="28"/>
      <c r="U668" s="28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ht="15.75" customHeight="1" x14ac:dyDescent="0.15">
      <c r="A669" s="22"/>
      <c r="B669" s="22"/>
      <c r="C669" s="22"/>
      <c r="D669" s="22"/>
      <c r="E669" s="22"/>
      <c r="F669" s="28"/>
      <c r="G669" s="28"/>
      <c r="H669" s="28"/>
      <c r="I669" s="28"/>
      <c r="J669" s="28"/>
      <c r="K669" s="28"/>
      <c r="L669" s="28"/>
      <c r="M669" s="22"/>
      <c r="N669" s="22"/>
      <c r="O669" s="22"/>
      <c r="P669" s="22"/>
      <c r="Q669" s="22"/>
      <c r="R669" s="28"/>
      <c r="S669" s="28"/>
      <c r="T669" s="28"/>
      <c r="U669" s="28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ht="15.75" customHeight="1" x14ac:dyDescent="0.15">
      <c r="A670" s="22"/>
      <c r="B670" s="22"/>
      <c r="C670" s="22"/>
      <c r="D670" s="22"/>
      <c r="E670" s="22"/>
      <c r="F670" s="28"/>
      <c r="G670" s="28"/>
      <c r="H670" s="28"/>
      <c r="I670" s="28"/>
      <c r="J670" s="28"/>
      <c r="K670" s="28"/>
      <c r="L670" s="28"/>
      <c r="M670" s="22"/>
      <c r="N670" s="22"/>
      <c r="O670" s="22"/>
      <c r="P670" s="22"/>
      <c r="Q670" s="22"/>
      <c r="R670" s="28"/>
      <c r="S670" s="28"/>
      <c r="T670" s="28"/>
      <c r="U670" s="28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ht="15.75" customHeight="1" x14ac:dyDescent="0.15">
      <c r="A671" s="22"/>
      <c r="B671" s="22"/>
      <c r="C671" s="22"/>
      <c r="D671" s="22"/>
      <c r="E671" s="22"/>
      <c r="F671" s="28"/>
      <c r="G671" s="28"/>
      <c r="H671" s="28"/>
      <c r="I671" s="28"/>
      <c r="J671" s="28"/>
      <c r="K671" s="28"/>
      <c r="L671" s="28"/>
      <c r="M671" s="22"/>
      <c r="N671" s="22"/>
      <c r="O671" s="22"/>
      <c r="P671" s="22"/>
      <c r="Q671" s="22"/>
      <c r="R671" s="28"/>
      <c r="S671" s="28"/>
      <c r="T671" s="28"/>
      <c r="U671" s="28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ht="15.75" customHeight="1" x14ac:dyDescent="0.15">
      <c r="A672" s="22"/>
      <c r="B672" s="22"/>
      <c r="C672" s="22"/>
      <c r="D672" s="22"/>
      <c r="E672" s="22"/>
      <c r="F672" s="28"/>
      <c r="G672" s="28"/>
      <c r="H672" s="28"/>
      <c r="I672" s="28"/>
      <c r="J672" s="28"/>
      <c r="K672" s="28"/>
      <c r="L672" s="28"/>
      <c r="M672" s="22"/>
      <c r="N672" s="22"/>
      <c r="O672" s="22"/>
      <c r="P672" s="22"/>
      <c r="Q672" s="22"/>
      <c r="R672" s="28"/>
      <c r="S672" s="28"/>
      <c r="T672" s="28"/>
      <c r="U672" s="28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ht="15.75" customHeight="1" x14ac:dyDescent="0.15">
      <c r="A673" s="22"/>
      <c r="B673" s="22"/>
      <c r="C673" s="22"/>
      <c r="D673" s="22"/>
      <c r="E673" s="22"/>
      <c r="F673" s="28"/>
      <c r="G673" s="28"/>
      <c r="H673" s="28"/>
      <c r="I673" s="28"/>
      <c r="J673" s="28"/>
      <c r="K673" s="28"/>
      <c r="L673" s="28"/>
      <c r="M673" s="22"/>
      <c r="N673" s="22"/>
      <c r="O673" s="22"/>
      <c r="P673" s="22"/>
      <c r="Q673" s="22"/>
      <c r="R673" s="28"/>
      <c r="S673" s="28"/>
      <c r="T673" s="28"/>
      <c r="U673" s="28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ht="15.75" customHeight="1" x14ac:dyDescent="0.15">
      <c r="A674" s="22"/>
      <c r="B674" s="22"/>
      <c r="C674" s="22"/>
      <c r="D674" s="22"/>
      <c r="E674" s="22"/>
      <c r="F674" s="28"/>
      <c r="G674" s="28"/>
      <c r="H674" s="28"/>
      <c r="I674" s="28"/>
      <c r="J674" s="28"/>
      <c r="K674" s="28"/>
      <c r="L674" s="28"/>
      <c r="M674" s="22"/>
      <c r="N674" s="22"/>
      <c r="O674" s="22"/>
      <c r="P674" s="22"/>
      <c r="Q674" s="22"/>
      <c r="R674" s="28"/>
      <c r="S674" s="28"/>
      <c r="T674" s="28"/>
      <c r="U674" s="28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ht="15.75" customHeight="1" x14ac:dyDescent="0.15">
      <c r="A675" s="22"/>
      <c r="B675" s="22"/>
      <c r="C675" s="22"/>
      <c r="D675" s="22"/>
      <c r="E675" s="22"/>
      <c r="F675" s="28"/>
      <c r="G675" s="28"/>
      <c r="H675" s="28"/>
      <c r="I675" s="28"/>
      <c r="J675" s="28"/>
      <c r="K675" s="28"/>
      <c r="L675" s="28"/>
      <c r="M675" s="22"/>
      <c r="N675" s="22"/>
      <c r="O675" s="22"/>
      <c r="P675" s="22"/>
      <c r="Q675" s="22"/>
      <c r="R675" s="28"/>
      <c r="S675" s="28"/>
      <c r="T675" s="28"/>
      <c r="U675" s="28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ht="15.75" customHeight="1" x14ac:dyDescent="0.15">
      <c r="A676" s="22"/>
      <c r="B676" s="22"/>
      <c r="C676" s="22"/>
      <c r="D676" s="22"/>
      <c r="E676" s="22"/>
      <c r="F676" s="28"/>
      <c r="G676" s="28"/>
      <c r="H676" s="28"/>
      <c r="I676" s="28"/>
      <c r="J676" s="28"/>
      <c r="K676" s="28"/>
      <c r="L676" s="28"/>
      <c r="M676" s="22"/>
      <c r="N676" s="22"/>
      <c r="O676" s="22"/>
      <c r="P676" s="22"/>
      <c r="Q676" s="22"/>
      <c r="R676" s="28"/>
      <c r="S676" s="28"/>
      <c r="T676" s="28"/>
      <c r="U676" s="28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ht="15.75" customHeight="1" x14ac:dyDescent="0.15">
      <c r="A677" s="22"/>
      <c r="B677" s="22"/>
      <c r="C677" s="22"/>
      <c r="D677" s="22"/>
      <c r="E677" s="22"/>
      <c r="F677" s="28"/>
      <c r="G677" s="28"/>
      <c r="H677" s="28"/>
      <c r="I677" s="28"/>
      <c r="J677" s="28"/>
      <c r="K677" s="28"/>
      <c r="L677" s="28"/>
      <c r="M677" s="22"/>
      <c r="N677" s="22"/>
      <c r="O677" s="22"/>
      <c r="P677" s="22"/>
      <c r="Q677" s="22"/>
      <c r="R677" s="28"/>
      <c r="S677" s="28"/>
      <c r="T677" s="28"/>
      <c r="U677" s="28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ht="15.75" customHeight="1" x14ac:dyDescent="0.15">
      <c r="A678" s="22"/>
      <c r="B678" s="22"/>
      <c r="C678" s="22"/>
      <c r="D678" s="22"/>
      <c r="E678" s="22"/>
      <c r="F678" s="28"/>
      <c r="G678" s="28"/>
      <c r="H678" s="28"/>
      <c r="I678" s="28"/>
      <c r="J678" s="28"/>
      <c r="K678" s="28"/>
      <c r="L678" s="28"/>
      <c r="M678" s="22"/>
      <c r="N678" s="22"/>
      <c r="O678" s="22"/>
      <c r="P678" s="22"/>
      <c r="Q678" s="22"/>
      <c r="R678" s="28"/>
      <c r="S678" s="28"/>
      <c r="T678" s="28"/>
      <c r="U678" s="28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ht="15.75" customHeight="1" x14ac:dyDescent="0.15">
      <c r="A679" s="22"/>
      <c r="B679" s="22"/>
      <c r="C679" s="22"/>
      <c r="D679" s="22"/>
      <c r="E679" s="22"/>
      <c r="F679" s="28"/>
      <c r="G679" s="28"/>
      <c r="H679" s="28"/>
      <c r="I679" s="28"/>
      <c r="J679" s="28"/>
      <c r="K679" s="28"/>
      <c r="L679" s="28"/>
      <c r="M679" s="22"/>
      <c r="N679" s="22"/>
      <c r="O679" s="22"/>
      <c r="P679" s="22"/>
      <c r="Q679" s="22"/>
      <c r="R679" s="28"/>
      <c r="S679" s="28"/>
      <c r="T679" s="28"/>
      <c r="U679" s="28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ht="15.75" customHeight="1" x14ac:dyDescent="0.15">
      <c r="A680" s="22"/>
      <c r="B680" s="22"/>
      <c r="C680" s="22"/>
      <c r="D680" s="22"/>
      <c r="E680" s="22"/>
      <c r="F680" s="28"/>
      <c r="G680" s="28"/>
      <c r="H680" s="28"/>
      <c r="I680" s="28"/>
      <c r="J680" s="28"/>
      <c r="K680" s="28"/>
      <c r="L680" s="28"/>
      <c r="M680" s="22"/>
      <c r="N680" s="22"/>
      <c r="O680" s="22"/>
      <c r="P680" s="22"/>
      <c r="Q680" s="22"/>
      <c r="R680" s="28"/>
      <c r="S680" s="28"/>
      <c r="T680" s="28"/>
      <c r="U680" s="28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ht="15.75" customHeight="1" x14ac:dyDescent="0.15">
      <c r="A681" s="22"/>
      <c r="B681" s="22"/>
      <c r="C681" s="22"/>
      <c r="D681" s="22"/>
      <c r="E681" s="22"/>
      <c r="F681" s="28"/>
      <c r="G681" s="28"/>
      <c r="H681" s="28"/>
      <c r="I681" s="28"/>
      <c r="J681" s="28"/>
      <c r="K681" s="28"/>
      <c r="L681" s="28"/>
      <c r="M681" s="22"/>
      <c r="N681" s="22"/>
      <c r="O681" s="22"/>
      <c r="P681" s="22"/>
      <c r="Q681" s="22"/>
      <c r="R681" s="28"/>
      <c r="S681" s="28"/>
      <c r="T681" s="28"/>
      <c r="U681" s="28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ht="15.75" customHeight="1" x14ac:dyDescent="0.15">
      <c r="A682" s="22"/>
      <c r="B682" s="22"/>
      <c r="C682" s="22"/>
      <c r="D682" s="22"/>
      <c r="E682" s="22"/>
      <c r="F682" s="28"/>
      <c r="G682" s="28"/>
      <c r="H682" s="28"/>
      <c r="I682" s="28"/>
      <c r="J682" s="28"/>
      <c r="K682" s="28"/>
      <c r="L682" s="28"/>
      <c r="M682" s="22"/>
      <c r="N682" s="22"/>
      <c r="O682" s="22"/>
      <c r="P682" s="22"/>
      <c r="Q682" s="22"/>
      <c r="R682" s="28"/>
      <c r="S682" s="28"/>
      <c r="T682" s="28"/>
      <c r="U682" s="28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ht="15.75" customHeight="1" x14ac:dyDescent="0.15">
      <c r="A683" s="22"/>
      <c r="B683" s="22"/>
      <c r="C683" s="22"/>
      <c r="D683" s="22"/>
      <c r="E683" s="22"/>
      <c r="F683" s="28"/>
      <c r="G683" s="28"/>
      <c r="H683" s="28"/>
      <c r="I683" s="28"/>
      <c r="J683" s="28"/>
      <c r="K683" s="28"/>
      <c r="L683" s="28"/>
      <c r="M683" s="22"/>
      <c r="N683" s="22"/>
      <c r="O683" s="22"/>
      <c r="P683" s="22"/>
      <c r="Q683" s="22"/>
      <c r="R683" s="28"/>
      <c r="S683" s="28"/>
      <c r="T683" s="28"/>
      <c r="U683" s="28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ht="15.75" customHeight="1" x14ac:dyDescent="0.15">
      <c r="A684" s="22"/>
      <c r="B684" s="22"/>
      <c r="C684" s="22"/>
      <c r="D684" s="22"/>
      <c r="E684" s="22"/>
      <c r="F684" s="28"/>
      <c r="G684" s="28"/>
      <c r="H684" s="28"/>
      <c r="I684" s="28"/>
      <c r="J684" s="28"/>
      <c r="K684" s="28"/>
      <c r="L684" s="28"/>
      <c r="M684" s="22"/>
      <c r="N684" s="22"/>
      <c r="O684" s="22"/>
      <c r="P684" s="22"/>
      <c r="Q684" s="22"/>
      <c r="R684" s="28"/>
      <c r="S684" s="28"/>
      <c r="T684" s="28"/>
      <c r="U684" s="28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ht="15.75" customHeight="1" x14ac:dyDescent="0.15">
      <c r="A685" s="22"/>
      <c r="B685" s="22"/>
      <c r="C685" s="22"/>
      <c r="D685" s="22"/>
      <c r="E685" s="22"/>
      <c r="F685" s="28"/>
      <c r="G685" s="28"/>
      <c r="H685" s="28"/>
      <c r="I685" s="28"/>
      <c r="J685" s="28"/>
      <c r="K685" s="28"/>
      <c r="L685" s="28"/>
      <c r="M685" s="22"/>
      <c r="N685" s="22"/>
      <c r="O685" s="22"/>
      <c r="P685" s="22"/>
      <c r="Q685" s="22"/>
      <c r="R685" s="28"/>
      <c r="S685" s="28"/>
      <c r="T685" s="28"/>
      <c r="U685" s="28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ht="15.75" customHeight="1" x14ac:dyDescent="0.15">
      <c r="A686" s="22"/>
      <c r="B686" s="22"/>
      <c r="C686" s="22"/>
      <c r="D686" s="22"/>
      <c r="E686" s="22"/>
      <c r="F686" s="28"/>
      <c r="G686" s="28"/>
      <c r="H686" s="28"/>
      <c r="I686" s="28"/>
      <c r="J686" s="28"/>
      <c r="K686" s="28"/>
      <c r="L686" s="28"/>
      <c r="M686" s="22"/>
      <c r="N686" s="22"/>
      <c r="O686" s="22"/>
      <c r="P686" s="22"/>
      <c r="Q686" s="22"/>
      <c r="R686" s="28"/>
      <c r="S686" s="28"/>
      <c r="T686" s="28"/>
      <c r="U686" s="28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ht="15.75" customHeight="1" x14ac:dyDescent="0.15">
      <c r="A687" s="22"/>
      <c r="B687" s="22"/>
      <c r="C687" s="22"/>
      <c r="D687" s="22"/>
      <c r="E687" s="22"/>
      <c r="F687" s="28"/>
      <c r="G687" s="28"/>
      <c r="H687" s="28"/>
      <c r="I687" s="28"/>
      <c r="J687" s="28"/>
      <c r="K687" s="28"/>
      <c r="L687" s="28"/>
      <c r="M687" s="22"/>
      <c r="N687" s="22"/>
      <c r="O687" s="22"/>
      <c r="P687" s="22"/>
      <c r="Q687" s="22"/>
      <c r="R687" s="28"/>
      <c r="S687" s="28"/>
      <c r="T687" s="28"/>
      <c r="U687" s="28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ht="15.75" customHeight="1" x14ac:dyDescent="0.15">
      <c r="A688" s="22"/>
      <c r="B688" s="22"/>
      <c r="C688" s="22"/>
      <c r="D688" s="22"/>
      <c r="E688" s="22"/>
      <c r="F688" s="28"/>
      <c r="G688" s="28"/>
      <c r="H688" s="28"/>
      <c r="I688" s="28"/>
      <c r="J688" s="28"/>
      <c r="K688" s="28"/>
      <c r="L688" s="28"/>
      <c r="M688" s="22"/>
      <c r="N688" s="22"/>
      <c r="O688" s="22"/>
      <c r="P688" s="22"/>
      <c r="Q688" s="22"/>
      <c r="R688" s="28"/>
      <c r="S688" s="28"/>
      <c r="T688" s="28"/>
      <c r="U688" s="28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ht="15.75" customHeight="1" x14ac:dyDescent="0.15">
      <c r="A689" s="22"/>
      <c r="B689" s="22"/>
      <c r="C689" s="22"/>
      <c r="D689" s="22"/>
      <c r="E689" s="22"/>
      <c r="F689" s="28"/>
      <c r="G689" s="28"/>
      <c r="H689" s="28"/>
      <c r="I689" s="28"/>
      <c r="J689" s="28"/>
      <c r="K689" s="28"/>
      <c r="L689" s="28"/>
      <c r="M689" s="22"/>
      <c r="N689" s="22"/>
      <c r="O689" s="22"/>
      <c r="P689" s="22"/>
      <c r="Q689" s="22"/>
      <c r="R689" s="28"/>
      <c r="S689" s="28"/>
      <c r="T689" s="28"/>
      <c r="U689" s="28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ht="15.75" customHeight="1" x14ac:dyDescent="0.15">
      <c r="A690" s="22"/>
      <c r="B690" s="22"/>
      <c r="C690" s="22"/>
      <c r="D690" s="22"/>
      <c r="E690" s="22"/>
      <c r="F690" s="28"/>
      <c r="G690" s="28"/>
      <c r="H690" s="28"/>
      <c r="I690" s="28"/>
      <c r="J690" s="28"/>
      <c r="K690" s="28"/>
      <c r="L690" s="28"/>
      <c r="M690" s="22"/>
      <c r="N690" s="22"/>
      <c r="O690" s="22"/>
      <c r="P690" s="22"/>
      <c r="Q690" s="22"/>
      <c r="R690" s="28"/>
      <c r="S690" s="28"/>
      <c r="T690" s="28"/>
      <c r="U690" s="28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ht="15.75" customHeight="1" x14ac:dyDescent="0.15">
      <c r="A691" s="22"/>
      <c r="B691" s="22"/>
      <c r="C691" s="22"/>
      <c r="D691" s="22"/>
      <c r="E691" s="22"/>
      <c r="F691" s="28"/>
      <c r="G691" s="28"/>
      <c r="H691" s="28"/>
      <c r="I691" s="28"/>
      <c r="J691" s="28"/>
      <c r="K691" s="28"/>
      <c r="L691" s="28"/>
      <c r="M691" s="22"/>
      <c r="N691" s="22"/>
      <c r="O691" s="22"/>
      <c r="P691" s="22"/>
      <c r="Q691" s="22"/>
      <c r="R691" s="28"/>
      <c r="S691" s="28"/>
      <c r="T691" s="28"/>
      <c r="U691" s="28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ht="15.75" customHeight="1" x14ac:dyDescent="0.15">
      <c r="A692" s="22"/>
      <c r="B692" s="22"/>
      <c r="C692" s="22"/>
      <c r="D692" s="22"/>
      <c r="E692" s="22"/>
      <c r="F692" s="28"/>
      <c r="G692" s="28"/>
      <c r="H692" s="28"/>
      <c r="I692" s="28"/>
      <c r="J692" s="28"/>
      <c r="K692" s="28"/>
      <c r="L692" s="28"/>
      <c r="M692" s="22"/>
      <c r="N692" s="22"/>
      <c r="O692" s="22"/>
      <c r="P692" s="22"/>
      <c r="Q692" s="22"/>
      <c r="R692" s="28"/>
      <c r="S692" s="28"/>
      <c r="T692" s="28"/>
      <c r="U692" s="28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ht="15.75" customHeight="1" x14ac:dyDescent="0.15">
      <c r="A693" s="22"/>
      <c r="B693" s="22"/>
      <c r="C693" s="22"/>
      <c r="D693" s="22"/>
      <c r="E693" s="22"/>
      <c r="F693" s="28"/>
      <c r="G693" s="28"/>
      <c r="H693" s="28"/>
      <c r="I693" s="28"/>
      <c r="J693" s="28"/>
      <c r="K693" s="28"/>
      <c r="L693" s="28"/>
      <c r="M693" s="22"/>
      <c r="N693" s="22"/>
      <c r="O693" s="22"/>
      <c r="P693" s="22"/>
      <c r="Q693" s="22"/>
      <c r="R693" s="28"/>
      <c r="S693" s="28"/>
      <c r="T693" s="28"/>
      <c r="U693" s="28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ht="15.75" customHeight="1" x14ac:dyDescent="0.15">
      <c r="A694" s="22"/>
      <c r="B694" s="22"/>
      <c r="C694" s="22"/>
      <c r="D694" s="22"/>
      <c r="E694" s="22"/>
      <c r="F694" s="28"/>
      <c r="G694" s="28"/>
      <c r="H694" s="28"/>
      <c r="I694" s="28"/>
      <c r="J694" s="28"/>
      <c r="K694" s="28"/>
      <c r="L694" s="28"/>
      <c r="M694" s="22"/>
      <c r="N694" s="22"/>
      <c r="O694" s="22"/>
      <c r="P694" s="22"/>
      <c r="Q694" s="22"/>
      <c r="R694" s="28"/>
      <c r="S694" s="28"/>
      <c r="T694" s="28"/>
      <c r="U694" s="28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ht="15.75" customHeight="1" x14ac:dyDescent="0.15">
      <c r="A695" s="22"/>
      <c r="B695" s="22"/>
      <c r="C695" s="22"/>
      <c r="D695" s="22"/>
      <c r="E695" s="22"/>
      <c r="F695" s="28"/>
      <c r="G695" s="28"/>
      <c r="H695" s="28"/>
      <c r="I695" s="28"/>
      <c r="J695" s="28"/>
      <c r="K695" s="28"/>
      <c r="L695" s="28"/>
      <c r="M695" s="22"/>
      <c r="N695" s="22"/>
      <c r="O695" s="22"/>
      <c r="P695" s="22"/>
      <c r="Q695" s="22"/>
      <c r="R695" s="28"/>
      <c r="S695" s="28"/>
      <c r="T695" s="28"/>
      <c r="U695" s="28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ht="15.75" customHeight="1" x14ac:dyDescent="0.15">
      <c r="A696" s="22"/>
      <c r="B696" s="22"/>
      <c r="C696" s="22"/>
      <c r="D696" s="22"/>
      <c r="E696" s="22"/>
      <c r="F696" s="28"/>
      <c r="G696" s="28"/>
      <c r="H696" s="28"/>
      <c r="I696" s="28"/>
      <c r="J696" s="28"/>
      <c r="K696" s="28"/>
      <c r="L696" s="28"/>
      <c r="M696" s="22"/>
      <c r="N696" s="22"/>
      <c r="O696" s="22"/>
      <c r="P696" s="22"/>
      <c r="Q696" s="22"/>
      <c r="R696" s="28"/>
      <c r="S696" s="28"/>
      <c r="T696" s="28"/>
      <c r="U696" s="28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ht="15.75" customHeight="1" x14ac:dyDescent="0.15">
      <c r="A697" s="22"/>
      <c r="B697" s="22"/>
      <c r="C697" s="22"/>
      <c r="D697" s="22"/>
      <c r="E697" s="22"/>
      <c r="F697" s="28"/>
      <c r="G697" s="28"/>
      <c r="H697" s="28"/>
      <c r="I697" s="28"/>
      <c r="J697" s="28"/>
      <c r="K697" s="28"/>
      <c r="L697" s="28"/>
      <c r="M697" s="22"/>
      <c r="N697" s="22"/>
      <c r="O697" s="22"/>
      <c r="P697" s="22"/>
      <c r="Q697" s="22"/>
      <c r="R697" s="28"/>
      <c r="S697" s="28"/>
      <c r="T697" s="28"/>
      <c r="U697" s="28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ht="15.75" customHeight="1" x14ac:dyDescent="0.15">
      <c r="A698" s="22"/>
      <c r="B698" s="22"/>
      <c r="C698" s="22"/>
      <c r="D698" s="22"/>
      <c r="E698" s="22"/>
      <c r="F698" s="28"/>
      <c r="G698" s="28"/>
      <c r="H698" s="28"/>
      <c r="I698" s="28"/>
      <c r="J698" s="28"/>
      <c r="K698" s="28"/>
      <c r="L698" s="28"/>
      <c r="M698" s="22"/>
      <c r="N698" s="22"/>
      <c r="O698" s="22"/>
      <c r="P698" s="22"/>
      <c r="Q698" s="22"/>
      <c r="R698" s="28"/>
      <c r="S698" s="28"/>
      <c r="T698" s="28"/>
      <c r="U698" s="28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ht="15.75" customHeight="1" x14ac:dyDescent="0.15">
      <c r="A699" s="22"/>
      <c r="B699" s="22"/>
      <c r="C699" s="22"/>
      <c r="D699" s="22"/>
      <c r="E699" s="22"/>
      <c r="F699" s="28"/>
      <c r="G699" s="28"/>
      <c r="H699" s="28"/>
      <c r="I699" s="28"/>
      <c r="J699" s="28"/>
      <c r="K699" s="28"/>
      <c r="L699" s="28"/>
      <c r="M699" s="22"/>
      <c r="N699" s="22"/>
      <c r="O699" s="22"/>
      <c r="P699" s="22"/>
      <c r="Q699" s="22"/>
      <c r="R699" s="28"/>
      <c r="S699" s="28"/>
      <c r="T699" s="28"/>
      <c r="U699" s="28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ht="15.75" customHeight="1" x14ac:dyDescent="0.15">
      <c r="A700" s="22"/>
      <c r="B700" s="22"/>
      <c r="C700" s="22"/>
      <c r="D700" s="22"/>
      <c r="E700" s="22"/>
      <c r="F700" s="28"/>
      <c r="G700" s="28"/>
      <c r="H700" s="28"/>
      <c r="I700" s="28"/>
      <c r="J700" s="28"/>
      <c r="K700" s="28"/>
      <c r="L700" s="28"/>
      <c r="M700" s="22"/>
      <c r="N700" s="22"/>
      <c r="O700" s="22"/>
      <c r="P700" s="22"/>
      <c r="Q700" s="22"/>
      <c r="R700" s="28"/>
      <c r="S700" s="28"/>
      <c r="T700" s="28"/>
      <c r="U700" s="28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ht="15.75" customHeight="1" x14ac:dyDescent="0.15">
      <c r="A701" s="22"/>
      <c r="B701" s="22"/>
      <c r="C701" s="22"/>
      <c r="D701" s="22"/>
      <c r="E701" s="22"/>
      <c r="F701" s="28"/>
      <c r="G701" s="28"/>
      <c r="H701" s="28"/>
      <c r="I701" s="28"/>
      <c r="J701" s="28"/>
      <c r="K701" s="28"/>
      <c r="L701" s="28"/>
      <c r="M701" s="22"/>
      <c r="N701" s="22"/>
      <c r="O701" s="22"/>
      <c r="P701" s="22"/>
      <c r="Q701" s="22"/>
      <c r="R701" s="28"/>
      <c r="S701" s="28"/>
      <c r="T701" s="28"/>
      <c r="U701" s="28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ht="15.75" customHeight="1" x14ac:dyDescent="0.15">
      <c r="A702" s="22"/>
      <c r="B702" s="22"/>
      <c r="C702" s="22"/>
      <c r="D702" s="22"/>
      <c r="E702" s="22"/>
      <c r="F702" s="28"/>
      <c r="G702" s="28"/>
      <c r="H702" s="28"/>
      <c r="I702" s="28"/>
      <c r="J702" s="28"/>
      <c r="K702" s="28"/>
      <c r="L702" s="28"/>
      <c r="M702" s="22"/>
      <c r="N702" s="22"/>
      <c r="O702" s="22"/>
      <c r="P702" s="22"/>
      <c r="Q702" s="22"/>
      <c r="R702" s="28"/>
      <c r="S702" s="28"/>
      <c r="T702" s="28"/>
      <c r="U702" s="28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ht="15.75" customHeight="1" x14ac:dyDescent="0.15">
      <c r="A703" s="22"/>
      <c r="B703" s="22"/>
      <c r="C703" s="22"/>
      <c r="D703" s="22"/>
      <c r="E703" s="22"/>
      <c r="F703" s="28"/>
      <c r="G703" s="28"/>
      <c r="H703" s="28"/>
      <c r="I703" s="28"/>
      <c r="J703" s="28"/>
      <c r="K703" s="28"/>
      <c r="L703" s="28"/>
      <c r="M703" s="22"/>
      <c r="N703" s="22"/>
      <c r="O703" s="22"/>
      <c r="P703" s="22"/>
      <c r="Q703" s="22"/>
      <c r="R703" s="28"/>
      <c r="S703" s="28"/>
      <c r="T703" s="28"/>
      <c r="U703" s="28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ht="15.75" customHeight="1" x14ac:dyDescent="0.15">
      <c r="A704" s="22"/>
      <c r="B704" s="22"/>
      <c r="C704" s="22"/>
      <c r="D704" s="22"/>
      <c r="E704" s="22"/>
      <c r="F704" s="28"/>
      <c r="G704" s="28"/>
      <c r="H704" s="28"/>
      <c r="I704" s="28"/>
      <c r="J704" s="28"/>
      <c r="K704" s="28"/>
      <c r="L704" s="28"/>
      <c r="M704" s="22"/>
      <c r="N704" s="22"/>
      <c r="O704" s="22"/>
      <c r="P704" s="22"/>
      <c r="Q704" s="22"/>
      <c r="R704" s="28"/>
      <c r="S704" s="28"/>
      <c r="T704" s="28"/>
      <c r="U704" s="28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ht="15.75" customHeight="1" x14ac:dyDescent="0.15">
      <c r="A705" s="22"/>
      <c r="B705" s="22"/>
      <c r="C705" s="22"/>
      <c r="D705" s="22"/>
      <c r="E705" s="22"/>
      <c r="F705" s="28"/>
      <c r="G705" s="28"/>
      <c r="H705" s="28"/>
      <c r="I705" s="28"/>
      <c r="J705" s="28"/>
      <c r="K705" s="28"/>
      <c r="L705" s="28"/>
      <c r="M705" s="22"/>
      <c r="N705" s="22"/>
      <c r="O705" s="22"/>
      <c r="P705" s="22"/>
      <c r="Q705" s="22"/>
      <c r="R705" s="28"/>
      <c r="S705" s="28"/>
      <c r="T705" s="28"/>
      <c r="U705" s="28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ht="15.75" customHeight="1" x14ac:dyDescent="0.15">
      <c r="A706" s="22"/>
      <c r="B706" s="22"/>
      <c r="C706" s="22"/>
      <c r="D706" s="22"/>
      <c r="E706" s="22"/>
      <c r="F706" s="28"/>
      <c r="G706" s="28"/>
      <c r="H706" s="28"/>
      <c r="I706" s="28"/>
      <c r="J706" s="28"/>
      <c r="K706" s="28"/>
      <c r="L706" s="28"/>
      <c r="M706" s="22"/>
      <c r="N706" s="22"/>
      <c r="O706" s="22"/>
      <c r="P706" s="22"/>
      <c r="Q706" s="22"/>
      <c r="R706" s="28"/>
      <c r="S706" s="28"/>
      <c r="T706" s="28"/>
      <c r="U706" s="28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ht="15.75" customHeight="1" x14ac:dyDescent="0.15">
      <c r="A707" s="22"/>
      <c r="B707" s="22"/>
      <c r="C707" s="22"/>
      <c r="D707" s="22"/>
      <c r="E707" s="22"/>
      <c r="F707" s="28"/>
      <c r="G707" s="28"/>
      <c r="H707" s="28"/>
      <c r="I707" s="28"/>
      <c r="J707" s="28"/>
      <c r="K707" s="28"/>
      <c r="L707" s="28"/>
      <c r="M707" s="22"/>
      <c r="N707" s="22"/>
      <c r="O707" s="22"/>
      <c r="P707" s="22"/>
      <c r="Q707" s="22"/>
      <c r="R707" s="28"/>
      <c r="S707" s="28"/>
      <c r="T707" s="28"/>
      <c r="U707" s="28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ht="15.75" customHeight="1" x14ac:dyDescent="0.15">
      <c r="A708" s="22"/>
      <c r="B708" s="22"/>
      <c r="C708" s="22"/>
      <c r="D708" s="22"/>
      <c r="E708" s="22"/>
      <c r="F708" s="28"/>
      <c r="G708" s="28"/>
      <c r="H708" s="28"/>
      <c r="I708" s="28"/>
      <c r="J708" s="28"/>
      <c r="K708" s="28"/>
      <c r="L708" s="28"/>
      <c r="M708" s="22"/>
      <c r="N708" s="22"/>
      <c r="O708" s="22"/>
      <c r="P708" s="22"/>
      <c r="Q708" s="22"/>
      <c r="R708" s="28"/>
      <c r="S708" s="28"/>
      <c r="T708" s="28"/>
      <c r="U708" s="28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ht="15.75" customHeight="1" x14ac:dyDescent="0.15">
      <c r="A709" s="22"/>
      <c r="B709" s="22"/>
      <c r="C709" s="22"/>
      <c r="D709" s="22"/>
      <c r="E709" s="22"/>
      <c r="F709" s="28"/>
      <c r="G709" s="28"/>
      <c r="H709" s="28"/>
      <c r="I709" s="28"/>
      <c r="J709" s="28"/>
      <c r="K709" s="28"/>
      <c r="L709" s="28"/>
      <c r="M709" s="22"/>
      <c r="N709" s="22"/>
      <c r="O709" s="22"/>
      <c r="P709" s="22"/>
      <c r="Q709" s="22"/>
      <c r="R709" s="28"/>
      <c r="S709" s="28"/>
      <c r="T709" s="28"/>
      <c r="U709" s="28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ht="15.75" customHeight="1" x14ac:dyDescent="0.15">
      <c r="A710" s="22"/>
      <c r="B710" s="22"/>
      <c r="C710" s="22"/>
      <c r="D710" s="22"/>
      <c r="E710" s="22"/>
      <c r="F710" s="28"/>
      <c r="G710" s="28"/>
      <c r="H710" s="28"/>
      <c r="I710" s="28"/>
      <c r="J710" s="28"/>
      <c r="K710" s="28"/>
      <c r="L710" s="28"/>
      <c r="M710" s="22"/>
      <c r="N710" s="22"/>
      <c r="O710" s="22"/>
      <c r="P710" s="22"/>
      <c r="Q710" s="22"/>
      <c r="R710" s="28"/>
      <c r="S710" s="28"/>
      <c r="T710" s="28"/>
      <c r="U710" s="28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ht="15.75" customHeight="1" x14ac:dyDescent="0.15">
      <c r="A711" s="22"/>
      <c r="B711" s="22"/>
      <c r="C711" s="22"/>
      <c r="D711" s="22"/>
      <c r="E711" s="22"/>
      <c r="F711" s="28"/>
      <c r="G711" s="28"/>
      <c r="H711" s="28"/>
      <c r="I711" s="28"/>
      <c r="J711" s="28"/>
      <c r="K711" s="28"/>
      <c r="L711" s="28"/>
      <c r="M711" s="22"/>
      <c r="N711" s="22"/>
      <c r="O711" s="22"/>
      <c r="P711" s="22"/>
      <c r="Q711" s="22"/>
      <c r="R711" s="28"/>
      <c r="S711" s="28"/>
      <c r="T711" s="28"/>
      <c r="U711" s="28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ht="15.75" customHeight="1" x14ac:dyDescent="0.15">
      <c r="A712" s="22"/>
      <c r="B712" s="22"/>
      <c r="C712" s="22"/>
      <c r="D712" s="22"/>
      <c r="E712" s="22"/>
      <c r="F712" s="28"/>
      <c r="G712" s="28"/>
      <c r="H712" s="28"/>
      <c r="I712" s="28"/>
      <c r="J712" s="28"/>
      <c r="K712" s="28"/>
      <c r="L712" s="28"/>
      <c r="M712" s="22"/>
      <c r="N712" s="22"/>
      <c r="O712" s="22"/>
      <c r="P712" s="22"/>
      <c r="Q712" s="22"/>
      <c r="R712" s="28"/>
      <c r="S712" s="28"/>
      <c r="T712" s="28"/>
      <c r="U712" s="28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ht="15.75" customHeight="1" x14ac:dyDescent="0.15">
      <c r="A713" s="22"/>
      <c r="B713" s="22"/>
      <c r="C713" s="22"/>
      <c r="D713" s="22"/>
      <c r="E713" s="22"/>
      <c r="F713" s="28"/>
      <c r="G713" s="28"/>
      <c r="H713" s="28"/>
      <c r="I713" s="28"/>
      <c r="J713" s="28"/>
      <c r="K713" s="28"/>
      <c r="L713" s="28"/>
      <c r="M713" s="22"/>
      <c r="N713" s="22"/>
      <c r="O713" s="22"/>
      <c r="P713" s="22"/>
      <c r="Q713" s="22"/>
      <c r="R713" s="28"/>
      <c r="S713" s="28"/>
      <c r="T713" s="28"/>
      <c r="U713" s="28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15.75" customHeight="1" x14ac:dyDescent="0.15">
      <c r="A714" s="22"/>
      <c r="B714" s="22"/>
      <c r="C714" s="22"/>
      <c r="D714" s="22"/>
      <c r="E714" s="22"/>
      <c r="F714" s="28"/>
      <c r="G714" s="28"/>
      <c r="H714" s="28"/>
      <c r="I714" s="28"/>
      <c r="J714" s="28"/>
      <c r="K714" s="28"/>
      <c r="L714" s="28"/>
      <c r="M714" s="22"/>
      <c r="N714" s="22"/>
      <c r="O714" s="22"/>
      <c r="P714" s="22"/>
      <c r="Q714" s="22"/>
      <c r="R714" s="28"/>
      <c r="S714" s="28"/>
      <c r="T714" s="28"/>
      <c r="U714" s="28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ht="15.75" customHeight="1" x14ac:dyDescent="0.15">
      <c r="A715" s="22"/>
      <c r="B715" s="22"/>
      <c r="C715" s="22"/>
      <c r="D715" s="22"/>
      <c r="E715" s="22"/>
      <c r="F715" s="28"/>
      <c r="G715" s="28"/>
      <c r="H715" s="28"/>
      <c r="I715" s="28"/>
      <c r="J715" s="28"/>
      <c r="K715" s="28"/>
      <c r="L715" s="28"/>
      <c r="M715" s="22"/>
      <c r="N715" s="22"/>
      <c r="O715" s="22"/>
      <c r="P715" s="22"/>
      <c r="Q715" s="22"/>
      <c r="R715" s="28"/>
      <c r="S715" s="28"/>
      <c r="T715" s="28"/>
      <c r="U715" s="28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ht="15.75" customHeight="1" x14ac:dyDescent="0.15">
      <c r="A716" s="22"/>
      <c r="B716" s="22"/>
      <c r="C716" s="22"/>
      <c r="D716" s="22"/>
      <c r="E716" s="22"/>
      <c r="F716" s="28"/>
      <c r="G716" s="28"/>
      <c r="H716" s="28"/>
      <c r="I716" s="28"/>
      <c r="J716" s="28"/>
      <c r="K716" s="28"/>
      <c r="L716" s="28"/>
      <c r="M716" s="22"/>
      <c r="N716" s="22"/>
      <c r="O716" s="22"/>
      <c r="P716" s="22"/>
      <c r="Q716" s="22"/>
      <c r="R716" s="28"/>
      <c r="S716" s="28"/>
      <c r="T716" s="28"/>
      <c r="U716" s="28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ht="15.75" customHeight="1" x14ac:dyDescent="0.15">
      <c r="A717" s="22"/>
      <c r="B717" s="22"/>
      <c r="C717" s="22"/>
      <c r="D717" s="22"/>
      <c r="E717" s="22"/>
      <c r="F717" s="28"/>
      <c r="G717" s="28"/>
      <c r="H717" s="28"/>
      <c r="I717" s="28"/>
      <c r="J717" s="28"/>
      <c r="K717" s="28"/>
      <c r="L717" s="28"/>
      <c r="M717" s="22"/>
      <c r="N717" s="22"/>
      <c r="O717" s="22"/>
      <c r="P717" s="22"/>
      <c r="Q717" s="22"/>
      <c r="R717" s="28"/>
      <c r="S717" s="28"/>
      <c r="T717" s="28"/>
      <c r="U717" s="28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ht="15.75" customHeight="1" x14ac:dyDescent="0.15">
      <c r="A718" s="22"/>
      <c r="B718" s="22"/>
      <c r="C718" s="22"/>
      <c r="D718" s="22"/>
      <c r="E718" s="22"/>
      <c r="F718" s="28"/>
      <c r="G718" s="28"/>
      <c r="H718" s="28"/>
      <c r="I718" s="28"/>
      <c r="J718" s="28"/>
      <c r="K718" s="28"/>
      <c r="L718" s="28"/>
      <c r="M718" s="22"/>
      <c r="N718" s="22"/>
      <c r="O718" s="22"/>
      <c r="P718" s="22"/>
      <c r="Q718" s="22"/>
      <c r="R718" s="28"/>
      <c r="S718" s="28"/>
      <c r="T718" s="28"/>
      <c r="U718" s="28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ht="15.75" customHeight="1" x14ac:dyDescent="0.15">
      <c r="A719" s="22"/>
      <c r="B719" s="22"/>
      <c r="C719" s="22"/>
      <c r="D719" s="22"/>
      <c r="E719" s="22"/>
      <c r="F719" s="28"/>
      <c r="G719" s="28"/>
      <c r="H719" s="28"/>
      <c r="I719" s="28"/>
      <c r="J719" s="28"/>
      <c r="K719" s="28"/>
      <c r="L719" s="28"/>
      <c r="M719" s="22"/>
      <c r="N719" s="22"/>
      <c r="O719" s="22"/>
      <c r="P719" s="22"/>
      <c r="Q719" s="22"/>
      <c r="R719" s="28"/>
      <c r="S719" s="28"/>
      <c r="T719" s="28"/>
      <c r="U719" s="28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ht="15.75" customHeight="1" x14ac:dyDescent="0.15">
      <c r="A720" s="22"/>
      <c r="B720" s="22"/>
      <c r="C720" s="22"/>
      <c r="D720" s="22"/>
      <c r="E720" s="22"/>
      <c r="F720" s="28"/>
      <c r="G720" s="28"/>
      <c r="H720" s="28"/>
      <c r="I720" s="28"/>
      <c r="J720" s="28"/>
      <c r="K720" s="28"/>
      <c r="L720" s="28"/>
      <c r="M720" s="22"/>
      <c r="N720" s="22"/>
      <c r="O720" s="22"/>
      <c r="P720" s="22"/>
      <c r="Q720" s="22"/>
      <c r="R720" s="28"/>
      <c r="S720" s="28"/>
      <c r="T720" s="28"/>
      <c r="U720" s="28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ht="15.75" customHeight="1" x14ac:dyDescent="0.15">
      <c r="A721" s="22"/>
      <c r="B721" s="22"/>
      <c r="C721" s="22"/>
      <c r="D721" s="22"/>
      <c r="E721" s="22"/>
      <c r="F721" s="28"/>
      <c r="G721" s="28"/>
      <c r="H721" s="28"/>
      <c r="I721" s="28"/>
      <c r="J721" s="28"/>
      <c r="K721" s="28"/>
      <c r="L721" s="28"/>
      <c r="M721" s="22"/>
      <c r="N721" s="22"/>
      <c r="O721" s="22"/>
      <c r="P721" s="22"/>
      <c r="Q721" s="22"/>
      <c r="R721" s="28"/>
      <c r="S721" s="28"/>
      <c r="T721" s="28"/>
      <c r="U721" s="28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ht="15.75" customHeight="1" x14ac:dyDescent="0.15">
      <c r="A722" s="22"/>
      <c r="B722" s="22"/>
      <c r="C722" s="22"/>
      <c r="D722" s="22"/>
      <c r="E722" s="22"/>
      <c r="F722" s="28"/>
      <c r="G722" s="28"/>
      <c r="H722" s="28"/>
      <c r="I722" s="28"/>
      <c r="J722" s="28"/>
      <c r="K722" s="28"/>
      <c r="L722" s="28"/>
      <c r="M722" s="22"/>
      <c r="N722" s="22"/>
      <c r="O722" s="22"/>
      <c r="P722" s="22"/>
      <c r="Q722" s="22"/>
      <c r="R722" s="28"/>
      <c r="S722" s="28"/>
      <c r="T722" s="28"/>
      <c r="U722" s="28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ht="15.75" customHeight="1" x14ac:dyDescent="0.15">
      <c r="A723" s="22"/>
      <c r="B723" s="22"/>
      <c r="C723" s="22"/>
      <c r="D723" s="22"/>
      <c r="E723" s="22"/>
      <c r="F723" s="28"/>
      <c r="G723" s="28"/>
      <c r="H723" s="28"/>
      <c r="I723" s="28"/>
      <c r="J723" s="28"/>
      <c r="K723" s="28"/>
      <c r="L723" s="28"/>
      <c r="M723" s="22"/>
      <c r="N723" s="22"/>
      <c r="O723" s="22"/>
      <c r="P723" s="22"/>
      <c r="Q723" s="22"/>
      <c r="R723" s="28"/>
      <c r="S723" s="28"/>
      <c r="T723" s="28"/>
      <c r="U723" s="28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ht="15.75" customHeight="1" x14ac:dyDescent="0.15">
      <c r="A724" s="22"/>
      <c r="B724" s="22"/>
      <c r="C724" s="22"/>
      <c r="D724" s="22"/>
      <c r="E724" s="22"/>
      <c r="F724" s="28"/>
      <c r="G724" s="28"/>
      <c r="H724" s="28"/>
      <c r="I724" s="28"/>
      <c r="J724" s="28"/>
      <c r="K724" s="28"/>
      <c r="L724" s="28"/>
      <c r="M724" s="22"/>
      <c r="N724" s="22"/>
      <c r="O724" s="22"/>
      <c r="P724" s="22"/>
      <c r="Q724" s="22"/>
      <c r="R724" s="28"/>
      <c r="S724" s="28"/>
      <c r="T724" s="28"/>
      <c r="U724" s="28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ht="15.75" customHeight="1" x14ac:dyDescent="0.15">
      <c r="A725" s="22"/>
      <c r="B725" s="22"/>
      <c r="C725" s="22"/>
      <c r="D725" s="22"/>
      <c r="E725" s="22"/>
      <c r="F725" s="28"/>
      <c r="G725" s="28"/>
      <c r="H725" s="28"/>
      <c r="I725" s="28"/>
      <c r="J725" s="28"/>
      <c r="K725" s="28"/>
      <c r="L725" s="28"/>
      <c r="M725" s="22"/>
      <c r="N725" s="22"/>
      <c r="O725" s="22"/>
      <c r="P725" s="22"/>
      <c r="Q725" s="22"/>
      <c r="R725" s="28"/>
      <c r="S725" s="28"/>
      <c r="T725" s="28"/>
      <c r="U725" s="28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ht="15.75" customHeight="1" x14ac:dyDescent="0.15">
      <c r="A726" s="22"/>
      <c r="B726" s="22"/>
      <c r="C726" s="22"/>
      <c r="D726" s="22"/>
      <c r="E726" s="22"/>
      <c r="F726" s="28"/>
      <c r="G726" s="28"/>
      <c r="H726" s="28"/>
      <c r="I726" s="28"/>
      <c r="J726" s="28"/>
      <c r="K726" s="28"/>
      <c r="L726" s="28"/>
      <c r="M726" s="22"/>
      <c r="N726" s="22"/>
      <c r="O726" s="22"/>
      <c r="P726" s="22"/>
      <c r="Q726" s="22"/>
      <c r="R726" s="28"/>
      <c r="S726" s="28"/>
      <c r="T726" s="28"/>
      <c r="U726" s="28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ht="15.75" customHeight="1" x14ac:dyDescent="0.15">
      <c r="A727" s="22"/>
      <c r="B727" s="22"/>
      <c r="C727" s="22"/>
      <c r="D727" s="22"/>
      <c r="E727" s="22"/>
      <c r="F727" s="28"/>
      <c r="G727" s="28"/>
      <c r="H727" s="28"/>
      <c r="I727" s="28"/>
      <c r="J727" s="28"/>
      <c r="K727" s="28"/>
      <c r="L727" s="28"/>
      <c r="M727" s="22"/>
      <c r="N727" s="22"/>
      <c r="O727" s="22"/>
      <c r="P727" s="22"/>
      <c r="Q727" s="22"/>
      <c r="R727" s="28"/>
      <c r="S727" s="28"/>
      <c r="T727" s="28"/>
      <c r="U727" s="28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ht="15.75" customHeight="1" x14ac:dyDescent="0.15">
      <c r="A728" s="22"/>
      <c r="B728" s="22"/>
      <c r="C728" s="22"/>
      <c r="D728" s="22"/>
      <c r="E728" s="22"/>
      <c r="F728" s="28"/>
      <c r="G728" s="28"/>
      <c r="H728" s="28"/>
      <c r="I728" s="28"/>
      <c r="J728" s="28"/>
      <c r="K728" s="28"/>
      <c r="L728" s="28"/>
      <c r="M728" s="22"/>
      <c r="N728" s="22"/>
      <c r="O728" s="22"/>
      <c r="P728" s="22"/>
      <c r="Q728" s="22"/>
      <c r="R728" s="28"/>
      <c r="S728" s="28"/>
      <c r="T728" s="28"/>
      <c r="U728" s="28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ht="15.75" customHeight="1" x14ac:dyDescent="0.15">
      <c r="A729" s="22"/>
      <c r="B729" s="22"/>
      <c r="C729" s="22"/>
      <c r="D729" s="22"/>
      <c r="E729" s="22"/>
      <c r="F729" s="28"/>
      <c r="G729" s="28"/>
      <c r="H729" s="28"/>
      <c r="I729" s="28"/>
      <c r="J729" s="28"/>
      <c r="K729" s="28"/>
      <c r="L729" s="28"/>
      <c r="M729" s="22"/>
      <c r="N729" s="22"/>
      <c r="O729" s="22"/>
      <c r="P729" s="22"/>
      <c r="Q729" s="22"/>
      <c r="R729" s="28"/>
      <c r="S729" s="28"/>
      <c r="T729" s="28"/>
      <c r="U729" s="28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ht="15.75" customHeight="1" x14ac:dyDescent="0.15">
      <c r="A730" s="22"/>
      <c r="B730" s="22"/>
      <c r="C730" s="22"/>
      <c r="D730" s="22"/>
      <c r="E730" s="22"/>
      <c r="F730" s="28"/>
      <c r="G730" s="28"/>
      <c r="H730" s="28"/>
      <c r="I730" s="28"/>
      <c r="J730" s="28"/>
      <c r="K730" s="28"/>
      <c r="L730" s="28"/>
      <c r="M730" s="22"/>
      <c r="N730" s="22"/>
      <c r="O730" s="22"/>
      <c r="P730" s="22"/>
      <c r="Q730" s="22"/>
      <c r="R730" s="28"/>
      <c r="S730" s="28"/>
      <c r="T730" s="28"/>
      <c r="U730" s="28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ht="15.75" customHeight="1" x14ac:dyDescent="0.15">
      <c r="A731" s="22"/>
      <c r="B731" s="22"/>
      <c r="C731" s="22"/>
      <c r="D731" s="22"/>
      <c r="E731" s="22"/>
      <c r="F731" s="28"/>
      <c r="G731" s="28"/>
      <c r="H731" s="28"/>
      <c r="I731" s="28"/>
      <c r="J731" s="28"/>
      <c r="K731" s="28"/>
      <c r="L731" s="28"/>
      <c r="M731" s="22"/>
      <c r="N731" s="22"/>
      <c r="O731" s="22"/>
      <c r="P731" s="22"/>
      <c r="Q731" s="22"/>
      <c r="R731" s="28"/>
      <c r="S731" s="28"/>
      <c r="T731" s="28"/>
      <c r="U731" s="28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15.75" customHeight="1" x14ac:dyDescent="0.15">
      <c r="A732" s="22"/>
      <c r="B732" s="22"/>
      <c r="C732" s="22"/>
      <c r="D732" s="22"/>
      <c r="E732" s="22"/>
      <c r="F732" s="28"/>
      <c r="G732" s="28"/>
      <c r="H732" s="28"/>
      <c r="I732" s="28"/>
      <c r="J732" s="28"/>
      <c r="K732" s="28"/>
      <c r="L732" s="28"/>
      <c r="M732" s="22"/>
      <c r="N732" s="22"/>
      <c r="O732" s="22"/>
      <c r="P732" s="22"/>
      <c r="Q732" s="22"/>
      <c r="R732" s="28"/>
      <c r="S732" s="28"/>
      <c r="T732" s="28"/>
      <c r="U732" s="28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ht="15.75" customHeight="1" x14ac:dyDescent="0.15">
      <c r="A733" s="22"/>
      <c r="B733" s="22"/>
      <c r="C733" s="22"/>
      <c r="D733" s="22"/>
      <c r="E733" s="22"/>
      <c r="F733" s="28"/>
      <c r="G733" s="28"/>
      <c r="H733" s="28"/>
      <c r="I733" s="28"/>
      <c r="J733" s="28"/>
      <c r="K733" s="28"/>
      <c r="L733" s="28"/>
      <c r="M733" s="22"/>
      <c r="N733" s="22"/>
      <c r="O733" s="22"/>
      <c r="P733" s="22"/>
      <c r="Q733" s="22"/>
      <c r="R733" s="28"/>
      <c r="S733" s="28"/>
      <c r="T733" s="28"/>
      <c r="U733" s="28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ht="15.75" customHeight="1" x14ac:dyDescent="0.15">
      <c r="A734" s="22"/>
      <c r="B734" s="22"/>
      <c r="C734" s="22"/>
      <c r="D734" s="22"/>
      <c r="E734" s="22"/>
      <c r="F734" s="28"/>
      <c r="G734" s="28"/>
      <c r="H734" s="28"/>
      <c r="I734" s="28"/>
      <c r="J734" s="28"/>
      <c r="K734" s="28"/>
      <c r="L734" s="28"/>
      <c r="M734" s="22"/>
      <c r="N734" s="22"/>
      <c r="O734" s="22"/>
      <c r="P734" s="22"/>
      <c r="Q734" s="22"/>
      <c r="R734" s="28"/>
      <c r="S734" s="28"/>
      <c r="T734" s="28"/>
      <c r="U734" s="28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ht="15.75" customHeight="1" x14ac:dyDescent="0.15">
      <c r="A735" s="22"/>
      <c r="B735" s="22"/>
      <c r="C735" s="22"/>
      <c r="D735" s="22"/>
      <c r="E735" s="22"/>
      <c r="F735" s="28"/>
      <c r="G735" s="28"/>
      <c r="H735" s="28"/>
      <c r="I735" s="28"/>
      <c r="J735" s="28"/>
      <c r="K735" s="28"/>
      <c r="L735" s="28"/>
      <c r="M735" s="22"/>
      <c r="N735" s="22"/>
      <c r="O735" s="22"/>
      <c r="P735" s="22"/>
      <c r="Q735" s="22"/>
      <c r="R735" s="28"/>
      <c r="S735" s="28"/>
      <c r="T735" s="28"/>
      <c r="U735" s="28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ht="15.75" customHeight="1" x14ac:dyDescent="0.15">
      <c r="A736" s="22"/>
      <c r="B736" s="22"/>
      <c r="C736" s="22"/>
      <c r="D736" s="22"/>
      <c r="E736" s="22"/>
      <c r="F736" s="28"/>
      <c r="G736" s="28"/>
      <c r="H736" s="28"/>
      <c r="I736" s="28"/>
      <c r="J736" s="28"/>
      <c r="K736" s="28"/>
      <c r="L736" s="28"/>
      <c r="M736" s="22"/>
      <c r="N736" s="22"/>
      <c r="O736" s="22"/>
      <c r="P736" s="22"/>
      <c r="Q736" s="22"/>
      <c r="R736" s="28"/>
      <c r="S736" s="28"/>
      <c r="T736" s="28"/>
      <c r="U736" s="28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ht="15.75" customHeight="1" x14ac:dyDescent="0.15">
      <c r="A737" s="22"/>
      <c r="B737" s="22"/>
      <c r="C737" s="22"/>
      <c r="D737" s="22"/>
      <c r="E737" s="22"/>
      <c r="F737" s="28"/>
      <c r="G737" s="28"/>
      <c r="H737" s="28"/>
      <c r="I737" s="28"/>
      <c r="J737" s="28"/>
      <c r="K737" s="28"/>
      <c r="L737" s="28"/>
      <c r="M737" s="22"/>
      <c r="N737" s="22"/>
      <c r="O737" s="22"/>
      <c r="P737" s="22"/>
      <c r="Q737" s="22"/>
      <c r="R737" s="28"/>
      <c r="S737" s="28"/>
      <c r="T737" s="28"/>
      <c r="U737" s="28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ht="15.75" customHeight="1" x14ac:dyDescent="0.15">
      <c r="A738" s="22"/>
      <c r="B738" s="22"/>
      <c r="C738" s="22"/>
      <c r="D738" s="22"/>
      <c r="E738" s="22"/>
      <c r="F738" s="28"/>
      <c r="G738" s="28"/>
      <c r="H738" s="28"/>
      <c r="I738" s="28"/>
      <c r="J738" s="28"/>
      <c r="K738" s="28"/>
      <c r="L738" s="28"/>
      <c r="M738" s="22"/>
      <c r="N738" s="22"/>
      <c r="O738" s="22"/>
      <c r="P738" s="22"/>
      <c r="Q738" s="22"/>
      <c r="R738" s="28"/>
      <c r="S738" s="28"/>
      <c r="T738" s="28"/>
      <c r="U738" s="28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ht="15.75" customHeight="1" x14ac:dyDescent="0.15">
      <c r="A739" s="22"/>
      <c r="B739" s="22"/>
      <c r="C739" s="22"/>
      <c r="D739" s="22"/>
      <c r="E739" s="22"/>
      <c r="F739" s="28"/>
      <c r="G739" s="28"/>
      <c r="H739" s="28"/>
      <c r="I739" s="28"/>
      <c r="J739" s="28"/>
      <c r="K739" s="28"/>
      <c r="L739" s="28"/>
      <c r="M739" s="22"/>
      <c r="N739" s="22"/>
      <c r="O739" s="22"/>
      <c r="P739" s="22"/>
      <c r="Q739" s="22"/>
      <c r="R739" s="28"/>
      <c r="S739" s="28"/>
      <c r="T739" s="28"/>
      <c r="U739" s="28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ht="15.75" customHeight="1" x14ac:dyDescent="0.15">
      <c r="A740" s="22"/>
      <c r="B740" s="22"/>
      <c r="C740" s="22"/>
      <c r="D740" s="22"/>
      <c r="E740" s="22"/>
      <c r="F740" s="28"/>
      <c r="G740" s="28"/>
      <c r="H740" s="28"/>
      <c r="I740" s="28"/>
      <c r="J740" s="28"/>
      <c r="K740" s="28"/>
      <c r="L740" s="28"/>
      <c r="M740" s="22"/>
      <c r="N740" s="22"/>
      <c r="O740" s="22"/>
      <c r="P740" s="22"/>
      <c r="Q740" s="22"/>
      <c r="R740" s="28"/>
      <c r="S740" s="28"/>
      <c r="T740" s="28"/>
      <c r="U740" s="28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ht="15.75" customHeight="1" x14ac:dyDescent="0.15">
      <c r="A741" s="22"/>
      <c r="B741" s="22"/>
      <c r="C741" s="22"/>
      <c r="D741" s="22"/>
      <c r="E741" s="22"/>
      <c r="F741" s="28"/>
      <c r="G741" s="28"/>
      <c r="H741" s="28"/>
      <c r="I741" s="28"/>
      <c r="J741" s="28"/>
      <c r="K741" s="28"/>
      <c r="L741" s="28"/>
      <c r="M741" s="22"/>
      <c r="N741" s="22"/>
      <c r="O741" s="22"/>
      <c r="P741" s="22"/>
      <c r="Q741" s="22"/>
      <c r="R741" s="28"/>
      <c r="S741" s="28"/>
      <c r="T741" s="28"/>
      <c r="U741" s="28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ht="15.75" customHeight="1" x14ac:dyDescent="0.15">
      <c r="A742" s="22"/>
      <c r="B742" s="22"/>
      <c r="C742" s="22"/>
      <c r="D742" s="22"/>
      <c r="E742" s="22"/>
      <c r="F742" s="28"/>
      <c r="G742" s="28"/>
      <c r="H742" s="28"/>
      <c r="I742" s="28"/>
      <c r="J742" s="28"/>
      <c r="K742" s="28"/>
      <c r="L742" s="28"/>
      <c r="M742" s="22"/>
      <c r="N742" s="22"/>
      <c r="O742" s="22"/>
      <c r="P742" s="22"/>
      <c r="Q742" s="22"/>
      <c r="R742" s="28"/>
      <c r="S742" s="28"/>
      <c r="T742" s="28"/>
      <c r="U742" s="28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ht="15.75" customHeight="1" x14ac:dyDescent="0.15">
      <c r="A743" s="22"/>
      <c r="B743" s="22"/>
      <c r="C743" s="22"/>
      <c r="D743" s="22"/>
      <c r="E743" s="22"/>
      <c r="F743" s="28"/>
      <c r="G743" s="28"/>
      <c r="H743" s="28"/>
      <c r="I743" s="28"/>
      <c r="J743" s="28"/>
      <c r="K743" s="28"/>
      <c r="L743" s="28"/>
      <c r="M743" s="22"/>
      <c r="N743" s="22"/>
      <c r="O743" s="22"/>
      <c r="P743" s="22"/>
      <c r="Q743" s="22"/>
      <c r="R743" s="28"/>
      <c r="S743" s="28"/>
      <c r="T743" s="28"/>
      <c r="U743" s="28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ht="15.75" customHeight="1" x14ac:dyDescent="0.15">
      <c r="A744" s="22"/>
      <c r="B744" s="22"/>
      <c r="C744" s="22"/>
      <c r="D744" s="22"/>
      <c r="E744" s="22"/>
      <c r="F744" s="28"/>
      <c r="G744" s="28"/>
      <c r="H744" s="28"/>
      <c r="I744" s="28"/>
      <c r="J744" s="28"/>
      <c r="K744" s="28"/>
      <c r="L744" s="28"/>
      <c r="M744" s="22"/>
      <c r="N744" s="22"/>
      <c r="O744" s="22"/>
      <c r="P744" s="22"/>
      <c r="Q744" s="22"/>
      <c r="R744" s="28"/>
      <c r="S744" s="28"/>
      <c r="T744" s="28"/>
      <c r="U744" s="28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ht="15.75" customHeight="1" x14ac:dyDescent="0.15">
      <c r="A745" s="22"/>
      <c r="B745" s="22"/>
      <c r="C745" s="22"/>
      <c r="D745" s="22"/>
      <c r="E745" s="22"/>
      <c r="F745" s="28"/>
      <c r="G745" s="28"/>
      <c r="H745" s="28"/>
      <c r="I745" s="28"/>
      <c r="J745" s="28"/>
      <c r="K745" s="28"/>
      <c r="L745" s="28"/>
      <c r="M745" s="22"/>
      <c r="N745" s="22"/>
      <c r="O745" s="22"/>
      <c r="P745" s="22"/>
      <c r="Q745" s="22"/>
      <c r="R745" s="28"/>
      <c r="S745" s="28"/>
      <c r="T745" s="28"/>
      <c r="U745" s="28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ht="15.75" customHeight="1" x14ac:dyDescent="0.15">
      <c r="A746" s="22"/>
      <c r="B746" s="22"/>
      <c r="C746" s="22"/>
      <c r="D746" s="22"/>
      <c r="E746" s="22"/>
      <c r="F746" s="28"/>
      <c r="G746" s="28"/>
      <c r="H746" s="28"/>
      <c r="I746" s="28"/>
      <c r="J746" s="28"/>
      <c r="K746" s="28"/>
      <c r="L746" s="28"/>
      <c r="M746" s="22"/>
      <c r="N746" s="22"/>
      <c r="O746" s="22"/>
      <c r="P746" s="22"/>
      <c r="Q746" s="22"/>
      <c r="R746" s="28"/>
      <c r="S746" s="28"/>
      <c r="T746" s="28"/>
      <c r="U746" s="28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ht="15.75" customHeight="1" x14ac:dyDescent="0.15">
      <c r="A747" s="22"/>
      <c r="B747" s="22"/>
      <c r="C747" s="22"/>
      <c r="D747" s="22"/>
      <c r="E747" s="22"/>
      <c r="F747" s="28"/>
      <c r="G747" s="28"/>
      <c r="H747" s="28"/>
      <c r="I747" s="28"/>
      <c r="J747" s="28"/>
      <c r="K747" s="28"/>
      <c r="L747" s="28"/>
      <c r="M747" s="22"/>
      <c r="N747" s="22"/>
      <c r="O747" s="22"/>
      <c r="P747" s="22"/>
      <c r="Q747" s="22"/>
      <c r="R747" s="28"/>
      <c r="S747" s="28"/>
      <c r="T747" s="28"/>
      <c r="U747" s="28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ht="15.75" customHeight="1" x14ac:dyDescent="0.15">
      <c r="A748" s="22"/>
      <c r="B748" s="22"/>
      <c r="C748" s="22"/>
      <c r="D748" s="22"/>
      <c r="E748" s="22"/>
      <c r="F748" s="28"/>
      <c r="G748" s="28"/>
      <c r="H748" s="28"/>
      <c r="I748" s="28"/>
      <c r="J748" s="28"/>
      <c r="K748" s="28"/>
      <c r="L748" s="28"/>
      <c r="M748" s="22"/>
      <c r="N748" s="22"/>
      <c r="O748" s="22"/>
      <c r="P748" s="22"/>
      <c r="Q748" s="22"/>
      <c r="R748" s="28"/>
      <c r="S748" s="28"/>
      <c r="T748" s="28"/>
      <c r="U748" s="28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ht="15.75" customHeight="1" x14ac:dyDescent="0.15">
      <c r="A749" s="22"/>
      <c r="B749" s="22"/>
      <c r="C749" s="22"/>
      <c r="D749" s="22"/>
      <c r="E749" s="22"/>
      <c r="F749" s="28"/>
      <c r="G749" s="28"/>
      <c r="H749" s="28"/>
      <c r="I749" s="28"/>
      <c r="J749" s="28"/>
      <c r="K749" s="28"/>
      <c r="L749" s="28"/>
      <c r="M749" s="22"/>
      <c r="N749" s="22"/>
      <c r="O749" s="22"/>
      <c r="P749" s="22"/>
      <c r="Q749" s="22"/>
      <c r="R749" s="28"/>
      <c r="S749" s="28"/>
      <c r="T749" s="28"/>
      <c r="U749" s="28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ht="15.75" customHeight="1" x14ac:dyDescent="0.15">
      <c r="A750" s="22"/>
      <c r="B750" s="22"/>
      <c r="C750" s="22"/>
      <c r="D750" s="22"/>
      <c r="E750" s="22"/>
      <c r="F750" s="28"/>
      <c r="G750" s="28"/>
      <c r="H750" s="28"/>
      <c r="I750" s="28"/>
      <c r="J750" s="28"/>
      <c r="K750" s="28"/>
      <c r="L750" s="28"/>
      <c r="M750" s="22"/>
      <c r="N750" s="22"/>
      <c r="O750" s="22"/>
      <c r="P750" s="22"/>
      <c r="Q750" s="22"/>
      <c r="R750" s="28"/>
      <c r="S750" s="28"/>
      <c r="T750" s="28"/>
      <c r="U750" s="28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ht="15.75" customHeight="1" x14ac:dyDescent="0.15">
      <c r="A751" s="22"/>
      <c r="B751" s="22"/>
      <c r="C751" s="22"/>
      <c r="D751" s="22"/>
      <c r="E751" s="22"/>
      <c r="F751" s="28"/>
      <c r="G751" s="28"/>
      <c r="H751" s="28"/>
      <c r="I751" s="28"/>
      <c r="J751" s="28"/>
      <c r="K751" s="28"/>
      <c r="L751" s="28"/>
      <c r="M751" s="22"/>
      <c r="N751" s="22"/>
      <c r="O751" s="22"/>
      <c r="P751" s="22"/>
      <c r="Q751" s="22"/>
      <c r="R751" s="28"/>
      <c r="S751" s="28"/>
      <c r="T751" s="28"/>
      <c r="U751" s="28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ht="15.75" customHeight="1" x14ac:dyDescent="0.15">
      <c r="A752" s="22"/>
      <c r="B752" s="22"/>
      <c r="C752" s="22"/>
      <c r="D752" s="22"/>
      <c r="E752" s="22"/>
      <c r="F752" s="28"/>
      <c r="G752" s="28"/>
      <c r="H752" s="28"/>
      <c r="I752" s="28"/>
      <c r="J752" s="28"/>
      <c r="K752" s="28"/>
      <c r="L752" s="28"/>
      <c r="M752" s="22"/>
      <c r="N752" s="22"/>
      <c r="O752" s="22"/>
      <c r="P752" s="22"/>
      <c r="Q752" s="22"/>
      <c r="R752" s="28"/>
      <c r="S752" s="28"/>
      <c r="T752" s="28"/>
      <c r="U752" s="28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ht="15.75" customHeight="1" x14ac:dyDescent="0.15">
      <c r="A753" s="22"/>
      <c r="B753" s="22"/>
      <c r="C753" s="22"/>
      <c r="D753" s="22"/>
      <c r="E753" s="22"/>
      <c r="F753" s="28"/>
      <c r="G753" s="28"/>
      <c r="H753" s="28"/>
      <c r="I753" s="28"/>
      <c r="J753" s="28"/>
      <c r="K753" s="28"/>
      <c r="L753" s="28"/>
      <c r="M753" s="22"/>
      <c r="N753" s="22"/>
      <c r="O753" s="22"/>
      <c r="P753" s="22"/>
      <c r="Q753" s="22"/>
      <c r="R753" s="28"/>
      <c r="S753" s="28"/>
      <c r="T753" s="28"/>
      <c r="U753" s="28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ht="15.75" customHeight="1" x14ac:dyDescent="0.15">
      <c r="A754" s="22"/>
      <c r="B754" s="22"/>
      <c r="C754" s="22"/>
      <c r="D754" s="22"/>
      <c r="E754" s="22"/>
      <c r="F754" s="28"/>
      <c r="G754" s="28"/>
      <c r="H754" s="28"/>
      <c r="I754" s="28"/>
      <c r="J754" s="28"/>
      <c r="K754" s="28"/>
      <c r="L754" s="28"/>
      <c r="M754" s="22"/>
      <c r="N754" s="22"/>
      <c r="O754" s="22"/>
      <c r="P754" s="22"/>
      <c r="Q754" s="22"/>
      <c r="R754" s="28"/>
      <c r="S754" s="28"/>
      <c r="T754" s="28"/>
      <c r="U754" s="28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ht="15.75" customHeight="1" x14ac:dyDescent="0.15">
      <c r="A755" s="22"/>
      <c r="B755" s="22"/>
      <c r="C755" s="22"/>
      <c r="D755" s="22"/>
      <c r="E755" s="22"/>
      <c r="F755" s="28"/>
      <c r="G755" s="28"/>
      <c r="H755" s="28"/>
      <c r="I755" s="28"/>
      <c r="J755" s="28"/>
      <c r="K755" s="28"/>
      <c r="L755" s="28"/>
      <c r="M755" s="22"/>
      <c r="N755" s="22"/>
      <c r="O755" s="22"/>
      <c r="P755" s="22"/>
      <c r="Q755" s="22"/>
      <c r="R755" s="28"/>
      <c r="S755" s="28"/>
      <c r="T755" s="28"/>
      <c r="U755" s="28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ht="15.75" customHeight="1" x14ac:dyDescent="0.15">
      <c r="A756" s="22"/>
      <c r="B756" s="22"/>
      <c r="C756" s="22"/>
      <c r="D756" s="22"/>
      <c r="E756" s="22"/>
      <c r="F756" s="28"/>
      <c r="G756" s="28"/>
      <c r="H756" s="28"/>
      <c r="I756" s="28"/>
      <c r="J756" s="28"/>
      <c r="K756" s="28"/>
      <c r="L756" s="28"/>
      <c r="M756" s="22"/>
      <c r="N756" s="22"/>
      <c r="O756" s="22"/>
      <c r="P756" s="22"/>
      <c r="Q756" s="22"/>
      <c r="R756" s="28"/>
      <c r="S756" s="28"/>
      <c r="T756" s="28"/>
      <c r="U756" s="28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ht="15.75" customHeight="1" x14ac:dyDescent="0.15">
      <c r="A757" s="22"/>
      <c r="B757" s="22"/>
      <c r="C757" s="22"/>
      <c r="D757" s="22"/>
      <c r="E757" s="22"/>
      <c r="F757" s="28"/>
      <c r="G757" s="28"/>
      <c r="H757" s="28"/>
      <c r="I757" s="28"/>
      <c r="J757" s="28"/>
      <c r="K757" s="28"/>
      <c r="L757" s="28"/>
      <c r="M757" s="22"/>
      <c r="N757" s="22"/>
      <c r="O757" s="22"/>
      <c r="P757" s="22"/>
      <c r="Q757" s="22"/>
      <c r="R757" s="28"/>
      <c r="S757" s="28"/>
      <c r="T757" s="28"/>
      <c r="U757" s="28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ht="15.75" customHeight="1" x14ac:dyDescent="0.15">
      <c r="A758" s="22"/>
      <c r="B758" s="22"/>
      <c r="C758" s="22"/>
      <c r="D758" s="22"/>
      <c r="E758" s="22"/>
      <c r="F758" s="28"/>
      <c r="G758" s="28"/>
      <c r="H758" s="28"/>
      <c r="I758" s="28"/>
      <c r="J758" s="28"/>
      <c r="K758" s="28"/>
      <c r="L758" s="28"/>
      <c r="M758" s="22"/>
      <c r="N758" s="22"/>
      <c r="O758" s="22"/>
      <c r="P758" s="22"/>
      <c r="Q758" s="22"/>
      <c r="R758" s="28"/>
      <c r="S758" s="28"/>
      <c r="T758" s="28"/>
      <c r="U758" s="28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ht="15.75" customHeight="1" x14ac:dyDescent="0.15">
      <c r="A759" s="22"/>
      <c r="B759" s="22"/>
      <c r="C759" s="22"/>
      <c r="D759" s="22"/>
      <c r="E759" s="22"/>
      <c r="F759" s="28"/>
      <c r="G759" s="28"/>
      <c r="H759" s="28"/>
      <c r="I759" s="28"/>
      <c r="J759" s="28"/>
      <c r="K759" s="28"/>
      <c r="L759" s="28"/>
      <c r="M759" s="22"/>
      <c r="N759" s="22"/>
      <c r="O759" s="22"/>
      <c r="P759" s="22"/>
      <c r="Q759" s="22"/>
      <c r="R759" s="28"/>
      <c r="S759" s="28"/>
      <c r="T759" s="28"/>
      <c r="U759" s="28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ht="15.75" customHeight="1" x14ac:dyDescent="0.15">
      <c r="A760" s="22"/>
      <c r="B760" s="22"/>
      <c r="C760" s="22"/>
      <c r="D760" s="22"/>
      <c r="E760" s="22"/>
      <c r="F760" s="28"/>
      <c r="G760" s="28"/>
      <c r="H760" s="28"/>
      <c r="I760" s="28"/>
      <c r="J760" s="28"/>
      <c r="K760" s="28"/>
      <c r="L760" s="28"/>
      <c r="M760" s="22"/>
      <c r="N760" s="22"/>
      <c r="O760" s="22"/>
      <c r="P760" s="22"/>
      <c r="Q760" s="22"/>
      <c r="R760" s="28"/>
      <c r="S760" s="28"/>
      <c r="T760" s="28"/>
      <c r="U760" s="28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ht="15.75" customHeight="1" x14ac:dyDescent="0.15">
      <c r="A761" s="22"/>
      <c r="B761" s="22"/>
      <c r="C761" s="22"/>
      <c r="D761" s="22"/>
      <c r="E761" s="22"/>
      <c r="F761" s="28"/>
      <c r="G761" s="28"/>
      <c r="H761" s="28"/>
      <c r="I761" s="28"/>
      <c r="J761" s="28"/>
      <c r="K761" s="28"/>
      <c r="L761" s="28"/>
      <c r="M761" s="22"/>
      <c r="N761" s="22"/>
      <c r="O761" s="22"/>
      <c r="P761" s="22"/>
      <c r="Q761" s="22"/>
      <c r="R761" s="28"/>
      <c r="S761" s="28"/>
      <c r="T761" s="28"/>
      <c r="U761" s="28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ht="15.75" customHeight="1" x14ac:dyDescent="0.15">
      <c r="A762" s="22"/>
      <c r="B762" s="22"/>
      <c r="C762" s="22"/>
      <c r="D762" s="22"/>
      <c r="E762" s="22"/>
      <c r="F762" s="28"/>
      <c r="G762" s="28"/>
      <c r="H762" s="28"/>
      <c r="I762" s="28"/>
      <c r="J762" s="28"/>
      <c r="K762" s="28"/>
      <c r="L762" s="28"/>
      <c r="M762" s="22"/>
      <c r="N762" s="22"/>
      <c r="O762" s="22"/>
      <c r="P762" s="22"/>
      <c r="Q762" s="22"/>
      <c r="R762" s="28"/>
      <c r="S762" s="28"/>
      <c r="T762" s="28"/>
      <c r="U762" s="28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ht="15.75" customHeight="1" x14ac:dyDescent="0.15">
      <c r="A763" s="22"/>
      <c r="B763" s="22"/>
      <c r="C763" s="22"/>
      <c r="D763" s="22"/>
      <c r="E763" s="22"/>
      <c r="F763" s="28"/>
      <c r="G763" s="28"/>
      <c r="H763" s="28"/>
      <c r="I763" s="28"/>
      <c r="J763" s="28"/>
      <c r="K763" s="28"/>
      <c r="L763" s="28"/>
      <c r="M763" s="22"/>
      <c r="N763" s="22"/>
      <c r="O763" s="22"/>
      <c r="P763" s="22"/>
      <c r="Q763" s="22"/>
      <c r="R763" s="28"/>
      <c r="S763" s="28"/>
      <c r="T763" s="28"/>
      <c r="U763" s="28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ht="15.75" customHeight="1" x14ac:dyDescent="0.15">
      <c r="A764" s="22"/>
      <c r="B764" s="22"/>
      <c r="C764" s="22"/>
      <c r="D764" s="22"/>
      <c r="E764" s="22"/>
      <c r="F764" s="28"/>
      <c r="G764" s="28"/>
      <c r="H764" s="28"/>
      <c r="I764" s="28"/>
      <c r="J764" s="28"/>
      <c r="K764" s="28"/>
      <c r="L764" s="28"/>
      <c r="M764" s="22"/>
      <c r="N764" s="22"/>
      <c r="O764" s="22"/>
      <c r="P764" s="22"/>
      <c r="Q764" s="22"/>
      <c r="R764" s="28"/>
      <c r="S764" s="28"/>
      <c r="T764" s="28"/>
      <c r="U764" s="28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ht="15.75" customHeight="1" x14ac:dyDescent="0.15">
      <c r="A765" s="22"/>
      <c r="B765" s="22"/>
      <c r="C765" s="22"/>
      <c r="D765" s="22"/>
      <c r="E765" s="22"/>
      <c r="F765" s="28"/>
      <c r="G765" s="28"/>
      <c r="H765" s="28"/>
      <c r="I765" s="28"/>
      <c r="J765" s="28"/>
      <c r="K765" s="28"/>
      <c r="L765" s="28"/>
      <c r="M765" s="22"/>
      <c r="N765" s="22"/>
      <c r="O765" s="22"/>
      <c r="P765" s="22"/>
      <c r="Q765" s="22"/>
      <c r="R765" s="28"/>
      <c r="S765" s="28"/>
      <c r="T765" s="28"/>
      <c r="U765" s="28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ht="15.75" customHeight="1" x14ac:dyDescent="0.15">
      <c r="A766" s="22"/>
      <c r="B766" s="22"/>
      <c r="C766" s="22"/>
      <c r="D766" s="22"/>
      <c r="E766" s="22"/>
      <c r="F766" s="28"/>
      <c r="G766" s="28"/>
      <c r="H766" s="28"/>
      <c r="I766" s="28"/>
      <c r="J766" s="28"/>
      <c r="K766" s="28"/>
      <c r="L766" s="28"/>
      <c r="M766" s="22"/>
      <c r="N766" s="22"/>
      <c r="O766" s="22"/>
      <c r="P766" s="22"/>
      <c r="Q766" s="22"/>
      <c r="R766" s="28"/>
      <c r="S766" s="28"/>
      <c r="T766" s="28"/>
      <c r="U766" s="28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ht="15.75" customHeight="1" x14ac:dyDescent="0.15">
      <c r="A767" s="22"/>
      <c r="B767" s="22"/>
      <c r="C767" s="22"/>
      <c r="D767" s="22"/>
      <c r="E767" s="22"/>
      <c r="F767" s="28"/>
      <c r="G767" s="28"/>
      <c r="H767" s="28"/>
      <c r="I767" s="28"/>
      <c r="J767" s="28"/>
      <c r="K767" s="28"/>
      <c r="L767" s="28"/>
      <c r="M767" s="22"/>
      <c r="N767" s="22"/>
      <c r="O767" s="22"/>
      <c r="P767" s="22"/>
      <c r="Q767" s="22"/>
      <c r="R767" s="28"/>
      <c r="S767" s="28"/>
      <c r="T767" s="28"/>
      <c r="U767" s="28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ht="15.75" customHeight="1" x14ac:dyDescent="0.15">
      <c r="A768" s="22"/>
      <c r="B768" s="22"/>
      <c r="C768" s="22"/>
      <c r="D768" s="22"/>
      <c r="E768" s="22"/>
      <c r="F768" s="28"/>
      <c r="G768" s="28"/>
      <c r="H768" s="28"/>
      <c r="I768" s="28"/>
      <c r="J768" s="28"/>
      <c r="K768" s="28"/>
      <c r="L768" s="28"/>
      <c r="M768" s="22"/>
      <c r="N768" s="22"/>
      <c r="O768" s="22"/>
      <c r="P768" s="22"/>
      <c r="Q768" s="22"/>
      <c r="R768" s="28"/>
      <c r="S768" s="28"/>
      <c r="T768" s="28"/>
      <c r="U768" s="28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ht="15.75" customHeight="1" x14ac:dyDescent="0.15">
      <c r="A769" s="22"/>
      <c r="B769" s="22"/>
      <c r="C769" s="22"/>
      <c r="D769" s="22"/>
      <c r="E769" s="22"/>
      <c r="F769" s="28"/>
      <c r="G769" s="28"/>
      <c r="H769" s="28"/>
      <c r="I769" s="28"/>
      <c r="J769" s="28"/>
      <c r="K769" s="28"/>
      <c r="L769" s="28"/>
      <c r="M769" s="22"/>
      <c r="N769" s="22"/>
      <c r="O769" s="22"/>
      <c r="P769" s="22"/>
      <c r="Q769" s="22"/>
      <c r="R769" s="28"/>
      <c r="S769" s="28"/>
      <c r="T769" s="28"/>
      <c r="U769" s="28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ht="15.75" customHeight="1" x14ac:dyDescent="0.15">
      <c r="A770" s="22"/>
      <c r="B770" s="22"/>
      <c r="C770" s="22"/>
      <c r="D770" s="22"/>
      <c r="E770" s="22"/>
      <c r="F770" s="28"/>
      <c r="G770" s="28"/>
      <c r="H770" s="28"/>
      <c r="I770" s="28"/>
      <c r="J770" s="28"/>
      <c r="K770" s="28"/>
      <c r="L770" s="28"/>
      <c r="M770" s="22"/>
      <c r="N770" s="22"/>
      <c r="O770" s="22"/>
      <c r="P770" s="22"/>
      <c r="Q770" s="22"/>
      <c r="R770" s="28"/>
      <c r="S770" s="28"/>
      <c r="T770" s="28"/>
      <c r="U770" s="28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ht="15.75" customHeight="1" x14ac:dyDescent="0.15">
      <c r="A771" s="22"/>
      <c r="B771" s="22"/>
      <c r="C771" s="22"/>
      <c r="D771" s="22"/>
      <c r="E771" s="22"/>
      <c r="F771" s="28"/>
      <c r="G771" s="28"/>
      <c r="H771" s="28"/>
      <c r="I771" s="28"/>
      <c r="J771" s="28"/>
      <c r="K771" s="28"/>
      <c r="L771" s="28"/>
      <c r="M771" s="22"/>
      <c r="N771" s="22"/>
      <c r="O771" s="22"/>
      <c r="P771" s="22"/>
      <c r="Q771" s="22"/>
      <c r="R771" s="28"/>
      <c r="S771" s="28"/>
      <c r="T771" s="28"/>
      <c r="U771" s="28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ht="15.75" customHeight="1" x14ac:dyDescent="0.15">
      <c r="A772" s="22"/>
      <c r="B772" s="22"/>
      <c r="C772" s="22"/>
      <c r="D772" s="22"/>
      <c r="E772" s="22"/>
      <c r="F772" s="28"/>
      <c r="G772" s="28"/>
      <c r="H772" s="28"/>
      <c r="I772" s="28"/>
      <c r="J772" s="28"/>
      <c r="K772" s="28"/>
      <c r="L772" s="28"/>
      <c r="M772" s="22"/>
      <c r="N772" s="22"/>
      <c r="O772" s="22"/>
      <c r="P772" s="22"/>
      <c r="Q772" s="22"/>
      <c r="R772" s="28"/>
      <c r="S772" s="28"/>
      <c r="T772" s="28"/>
      <c r="U772" s="28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ht="15.75" customHeight="1" x14ac:dyDescent="0.15">
      <c r="A773" s="22"/>
      <c r="B773" s="22"/>
      <c r="C773" s="22"/>
      <c r="D773" s="22"/>
      <c r="E773" s="22"/>
      <c r="F773" s="28"/>
      <c r="G773" s="28"/>
      <c r="H773" s="28"/>
      <c r="I773" s="28"/>
      <c r="J773" s="28"/>
      <c r="K773" s="28"/>
      <c r="L773" s="28"/>
      <c r="M773" s="22"/>
      <c r="N773" s="22"/>
      <c r="O773" s="22"/>
      <c r="P773" s="22"/>
      <c r="Q773" s="22"/>
      <c r="R773" s="28"/>
      <c r="S773" s="28"/>
      <c r="T773" s="28"/>
      <c r="U773" s="28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ht="15.75" customHeight="1" x14ac:dyDescent="0.15">
      <c r="A774" s="22"/>
      <c r="B774" s="22"/>
      <c r="C774" s="22"/>
      <c r="D774" s="22"/>
      <c r="E774" s="22"/>
      <c r="F774" s="28"/>
      <c r="G774" s="28"/>
      <c r="H774" s="28"/>
      <c r="I774" s="28"/>
      <c r="J774" s="28"/>
      <c r="K774" s="28"/>
      <c r="L774" s="28"/>
      <c r="M774" s="22"/>
      <c r="N774" s="22"/>
      <c r="O774" s="22"/>
      <c r="P774" s="22"/>
      <c r="Q774" s="22"/>
      <c r="R774" s="28"/>
      <c r="S774" s="28"/>
      <c r="T774" s="28"/>
      <c r="U774" s="28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ht="15.75" customHeight="1" x14ac:dyDescent="0.15">
      <c r="A775" s="22"/>
      <c r="B775" s="22"/>
      <c r="C775" s="22"/>
      <c r="D775" s="22"/>
      <c r="E775" s="22"/>
      <c r="F775" s="28"/>
      <c r="G775" s="28"/>
      <c r="H775" s="28"/>
      <c r="I775" s="28"/>
      <c r="J775" s="28"/>
      <c r="K775" s="28"/>
      <c r="L775" s="28"/>
      <c r="M775" s="22"/>
      <c r="N775" s="22"/>
      <c r="O775" s="22"/>
      <c r="P775" s="22"/>
      <c r="Q775" s="22"/>
      <c r="R775" s="28"/>
      <c r="S775" s="28"/>
      <c r="T775" s="28"/>
      <c r="U775" s="28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ht="15.75" customHeight="1" x14ac:dyDescent="0.15">
      <c r="A776" s="22"/>
      <c r="B776" s="22"/>
      <c r="C776" s="22"/>
      <c r="D776" s="22"/>
      <c r="E776" s="22"/>
      <c r="F776" s="28"/>
      <c r="G776" s="28"/>
      <c r="H776" s="28"/>
      <c r="I776" s="28"/>
      <c r="J776" s="28"/>
      <c r="K776" s="28"/>
      <c r="L776" s="28"/>
      <c r="M776" s="22"/>
      <c r="N776" s="22"/>
      <c r="O776" s="22"/>
      <c r="P776" s="22"/>
      <c r="Q776" s="22"/>
      <c r="R776" s="28"/>
      <c r="S776" s="28"/>
      <c r="T776" s="28"/>
      <c r="U776" s="28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ht="15.75" customHeight="1" x14ac:dyDescent="0.15">
      <c r="A777" s="22"/>
      <c r="B777" s="22"/>
      <c r="C777" s="22"/>
      <c r="D777" s="22"/>
      <c r="E777" s="22"/>
      <c r="F777" s="28"/>
      <c r="G777" s="28"/>
      <c r="H777" s="28"/>
      <c r="I777" s="28"/>
      <c r="J777" s="28"/>
      <c r="K777" s="28"/>
      <c r="L777" s="28"/>
      <c r="M777" s="22"/>
      <c r="N777" s="22"/>
      <c r="O777" s="22"/>
      <c r="P777" s="22"/>
      <c r="Q777" s="22"/>
      <c r="R777" s="28"/>
      <c r="S777" s="28"/>
      <c r="T777" s="28"/>
      <c r="U777" s="28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ht="15.75" customHeight="1" x14ac:dyDescent="0.15">
      <c r="A778" s="22"/>
      <c r="B778" s="22"/>
      <c r="C778" s="22"/>
      <c r="D778" s="22"/>
      <c r="E778" s="22"/>
      <c r="F778" s="28"/>
      <c r="G778" s="28"/>
      <c r="H778" s="28"/>
      <c r="I778" s="28"/>
      <c r="J778" s="28"/>
      <c r="K778" s="28"/>
      <c r="L778" s="28"/>
      <c r="M778" s="22"/>
      <c r="N778" s="22"/>
      <c r="O778" s="22"/>
      <c r="P778" s="22"/>
      <c r="Q778" s="22"/>
      <c r="R778" s="28"/>
      <c r="S778" s="28"/>
      <c r="T778" s="28"/>
      <c r="U778" s="28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ht="15.75" customHeight="1" x14ac:dyDescent="0.15">
      <c r="A779" s="22"/>
      <c r="B779" s="22"/>
      <c r="C779" s="22"/>
      <c r="D779" s="22"/>
      <c r="E779" s="22"/>
      <c r="F779" s="28"/>
      <c r="G779" s="28"/>
      <c r="H779" s="28"/>
      <c r="I779" s="28"/>
      <c r="J779" s="28"/>
      <c r="K779" s="28"/>
      <c r="L779" s="28"/>
      <c r="M779" s="22"/>
      <c r="N779" s="22"/>
      <c r="O779" s="22"/>
      <c r="P779" s="22"/>
      <c r="Q779" s="22"/>
      <c r="R779" s="28"/>
      <c r="S779" s="28"/>
      <c r="T779" s="28"/>
      <c r="U779" s="28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ht="15.75" customHeight="1" x14ac:dyDescent="0.15">
      <c r="A780" s="22"/>
      <c r="B780" s="22"/>
      <c r="C780" s="22"/>
      <c r="D780" s="22"/>
      <c r="E780" s="22"/>
      <c r="F780" s="28"/>
      <c r="G780" s="28"/>
      <c r="H780" s="28"/>
      <c r="I780" s="28"/>
      <c r="J780" s="28"/>
      <c r="K780" s="28"/>
      <c r="L780" s="28"/>
      <c r="M780" s="22"/>
      <c r="N780" s="22"/>
      <c r="O780" s="22"/>
      <c r="P780" s="22"/>
      <c r="Q780" s="22"/>
      <c r="R780" s="28"/>
      <c r="S780" s="28"/>
      <c r="T780" s="28"/>
      <c r="U780" s="28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ht="15.75" customHeight="1" x14ac:dyDescent="0.15">
      <c r="A781" s="22"/>
      <c r="B781" s="22"/>
      <c r="C781" s="22"/>
      <c r="D781" s="22"/>
      <c r="E781" s="22"/>
      <c r="F781" s="28"/>
      <c r="G781" s="28"/>
      <c r="H781" s="28"/>
      <c r="I781" s="28"/>
      <c r="J781" s="28"/>
      <c r="K781" s="28"/>
      <c r="L781" s="28"/>
      <c r="M781" s="22"/>
      <c r="N781" s="22"/>
      <c r="O781" s="22"/>
      <c r="P781" s="22"/>
      <c r="Q781" s="22"/>
      <c r="R781" s="28"/>
      <c r="S781" s="28"/>
      <c r="T781" s="28"/>
      <c r="U781" s="28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ht="15.75" customHeight="1" x14ac:dyDescent="0.15">
      <c r="A782" s="22"/>
      <c r="B782" s="22"/>
      <c r="C782" s="22"/>
      <c r="D782" s="22"/>
      <c r="E782" s="22"/>
      <c r="F782" s="28"/>
      <c r="G782" s="28"/>
      <c r="H782" s="28"/>
      <c r="I782" s="28"/>
      <c r="J782" s="28"/>
      <c r="K782" s="28"/>
      <c r="L782" s="28"/>
      <c r="M782" s="22"/>
      <c r="N782" s="22"/>
      <c r="O782" s="22"/>
      <c r="P782" s="22"/>
      <c r="Q782" s="22"/>
      <c r="R782" s="28"/>
      <c r="S782" s="28"/>
      <c r="T782" s="28"/>
      <c r="U782" s="28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ht="15.75" customHeight="1" x14ac:dyDescent="0.15">
      <c r="A783" s="22"/>
      <c r="B783" s="22"/>
      <c r="C783" s="22"/>
      <c r="D783" s="22"/>
      <c r="E783" s="22"/>
      <c r="F783" s="28"/>
      <c r="G783" s="28"/>
      <c r="H783" s="28"/>
      <c r="I783" s="28"/>
      <c r="J783" s="28"/>
      <c r="K783" s="28"/>
      <c r="L783" s="28"/>
      <c r="M783" s="22"/>
      <c r="N783" s="22"/>
      <c r="O783" s="22"/>
      <c r="P783" s="22"/>
      <c r="Q783" s="22"/>
      <c r="R783" s="28"/>
      <c r="S783" s="28"/>
      <c r="T783" s="28"/>
      <c r="U783" s="28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ht="15.75" customHeight="1" x14ac:dyDescent="0.15">
      <c r="A784" s="22"/>
      <c r="B784" s="22"/>
      <c r="C784" s="22"/>
      <c r="D784" s="22"/>
      <c r="E784" s="22"/>
      <c r="F784" s="28"/>
      <c r="G784" s="28"/>
      <c r="H784" s="28"/>
      <c r="I784" s="28"/>
      <c r="J784" s="28"/>
      <c r="K784" s="28"/>
      <c r="L784" s="28"/>
      <c r="M784" s="22"/>
      <c r="N784" s="22"/>
      <c r="O784" s="22"/>
      <c r="P784" s="22"/>
      <c r="Q784" s="22"/>
      <c r="R784" s="28"/>
      <c r="S784" s="28"/>
      <c r="T784" s="28"/>
      <c r="U784" s="28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ht="15.75" customHeight="1" x14ac:dyDescent="0.15">
      <c r="A785" s="22"/>
      <c r="B785" s="22"/>
      <c r="C785" s="22"/>
      <c r="D785" s="22"/>
      <c r="E785" s="22"/>
      <c r="F785" s="28"/>
      <c r="G785" s="28"/>
      <c r="H785" s="28"/>
      <c r="I785" s="28"/>
      <c r="J785" s="28"/>
      <c r="K785" s="28"/>
      <c r="L785" s="28"/>
      <c r="M785" s="22"/>
      <c r="N785" s="22"/>
      <c r="O785" s="22"/>
      <c r="P785" s="22"/>
      <c r="Q785" s="22"/>
      <c r="R785" s="28"/>
      <c r="S785" s="28"/>
      <c r="T785" s="28"/>
      <c r="U785" s="28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ht="15.75" customHeight="1" x14ac:dyDescent="0.15">
      <c r="A786" s="22"/>
      <c r="B786" s="22"/>
      <c r="C786" s="22"/>
      <c r="D786" s="22"/>
      <c r="E786" s="22"/>
      <c r="F786" s="28"/>
      <c r="G786" s="28"/>
      <c r="H786" s="28"/>
      <c r="I786" s="28"/>
      <c r="J786" s="28"/>
      <c r="K786" s="28"/>
      <c r="L786" s="28"/>
      <c r="M786" s="22"/>
      <c r="N786" s="22"/>
      <c r="O786" s="22"/>
      <c r="P786" s="22"/>
      <c r="Q786" s="22"/>
      <c r="R786" s="28"/>
      <c r="S786" s="28"/>
      <c r="T786" s="28"/>
      <c r="U786" s="28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ht="15.75" customHeight="1" x14ac:dyDescent="0.15">
      <c r="A787" s="22"/>
      <c r="B787" s="22"/>
      <c r="C787" s="22"/>
      <c r="D787" s="22"/>
      <c r="E787" s="22"/>
      <c r="F787" s="28"/>
      <c r="G787" s="28"/>
      <c r="H787" s="28"/>
      <c r="I787" s="28"/>
      <c r="J787" s="28"/>
      <c r="K787" s="28"/>
      <c r="L787" s="28"/>
      <c r="M787" s="22"/>
      <c r="N787" s="22"/>
      <c r="O787" s="22"/>
      <c r="P787" s="22"/>
      <c r="Q787" s="22"/>
      <c r="R787" s="28"/>
      <c r="S787" s="28"/>
      <c r="T787" s="28"/>
      <c r="U787" s="28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ht="15.75" customHeight="1" x14ac:dyDescent="0.15">
      <c r="A788" s="22"/>
      <c r="B788" s="22"/>
      <c r="C788" s="22"/>
      <c r="D788" s="22"/>
      <c r="E788" s="22"/>
      <c r="F788" s="28"/>
      <c r="G788" s="28"/>
      <c r="H788" s="28"/>
      <c r="I788" s="28"/>
      <c r="J788" s="28"/>
      <c r="K788" s="28"/>
      <c r="L788" s="28"/>
      <c r="M788" s="22"/>
      <c r="N788" s="22"/>
      <c r="O788" s="22"/>
      <c r="P788" s="22"/>
      <c r="Q788" s="22"/>
      <c r="R788" s="28"/>
      <c r="S788" s="28"/>
      <c r="T788" s="28"/>
      <c r="U788" s="28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ht="15.75" customHeight="1" x14ac:dyDescent="0.15">
      <c r="A789" s="22"/>
      <c r="B789" s="22"/>
      <c r="C789" s="22"/>
      <c r="D789" s="22"/>
      <c r="E789" s="22"/>
      <c r="F789" s="28"/>
      <c r="G789" s="28"/>
      <c r="H789" s="28"/>
      <c r="I789" s="28"/>
      <c r="J789" s="28"/>
      <c r="K789" s="28"/>
      <c r="L789" s="28"/>
      <c r="M789" s="22"/>
      <c r="N789" s="22"/>
      <c r="O789" s="22"/>
      <c r="P789" s="22"/>
      <c r="Q789" s="22"/>
      <c r="R789" s="28"/>
      <c r="S789" s="28"/>
      <c r="T789" s="28"/>
      <c r="U789" s="28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ht="15.75" customHeight="1" x14ac:dyDescent="0.15">
      <c r="A790" s="22"/>
      <c r="B790" s="22"/>
      <c r="C790" s="22"/>
      <c r="D790" s="22"/>
      <c r="E790" s="22"/>
      <c r="F790" s="28"/>
      <c r="G790" s="28"/>
      <c r="H790" s="28"/>
      <c r="I790" s="28"/>
      <c r="J790" s="28"/>
      <c r="K790" s="28"/>
      <c r="L790" s="28"/>
      <c r="M790" s="22"/>
      <c r="N790" s="22"/>
      <c r="O790" s="22"/>
      <c r="P790" s="22"/>
      <c r="Q790" s="22"/>
      <c r="R790" s="28"/>
      <c r="S790" s="28"/>
      <c r="T790" s="28"/>
      <c r="U790" s="28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ht="15.75" customHeight="1" x14ac:dyDescent="0.15">
      <c r="A791" s="22"/>
      <c r="B791" s="22"/>
      <c r="C791" s="22"/>
      <c r="D791" s="22"/>
      <c r="E791" s="22"/>
      <c r="F791" s="28"/>
      <c r="G791" s="28"/>
      <c r="H791" s="28"/>
      <c r="I791" s="28"/>
      <c r="J791" s="28"/>
      <c r="K791" s="28"/>
      <c r="L791" s="28"/>
      <c r="M791" s="22"/>
      <c r="N791" s="22"/>
      <c r="O791" s="22"/>
      <c r="P791" s="22"/>
      <c r="Q791" s="22"/>
      <c r="R791" s="28"/>
      <c r="S791" s="28"/>
      <c r="T791" s="28"/>
      <c r="U791" s="28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ht="15.75" customHeight="1" x14ac:dyDescent="0.15">
      <c r="A792" s="22"/>
      <c r="B792" s="22"/>
      <c r="C792" s="22"/>
      <c r="D792" s="22"/>
      <c r="E792" s="22"/>
      <c r="F792" s="28"/>
      <c r="G792" s="28"/>
      <c r="H792" s="28"/>
      <c r="I792" s="28"/>
      <c r="J792" s="28"/>
      <c r="K792" s="28"/>
      <c r="L792" s="28"/>
      <c r="M792" s="22"/>
      <c r="N792" s="22"/>
      <c r="O792" s="22"/>
      <c r="P792" s="22"/>
      <c r="Q792" s="22"/>
      <c r="R792" s="28"/>
      <c r="S792" s="28"/>
      <c r="T792" s="28"/>
      <c r="U792" s="28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ht="15.75" customHeight="1" x14ac:dyDescent="0.15">
      <c r="A793" s="22"/>
      <c r="B793" s="22"/>
      <c r="C793" s="22"/>
      <c r="D793" s="22"/>
      <c r="E793" s="22"/>
      <c r="F793" s="28"/>
      <c r="G793" s="28"/>
      <c r="H793" s="28"/>
      <c r="I793" s="28"/>
      <c r="J793" s="28"/>
      <c r="K793" s="28"/>
      <c r="L793" s="28"/>
      <c r="M793" s="22"/>
      <c r="N793" s="22"/>
      <c r="O793" s="22"/>
      <c r="P793" s="22"/>
      <c r="Q793" s="22"/>
      <c r="R793" s="28"/>
      <c r="S793" s="28"/>
      <c r="T793" s="28"/>
      <c r="U793" s="28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ht="15.75" customHeight="1" x14ac:dyDescent="0.15">
      <c r="A794" s="22"/>
      <c r="B794" s="22"/>
      <c r="C794" s="22"/>
      <c r="D794" s="22"/>
      <c r="E794" s="22"/>
      <c r="F794" s="28"/>
      <c r="G794" s="28"/>
      <c r="H794" s="28"/>
      <c r="I794" s="28"/>
      <c r="J794" s="28"/>
      <c r="K794" s="28"/>
      <c r="L794" s="28"/>
      <c r="M794" s="22"/>
      <c r="N794" s="22"/>
      <c r="O794" s="22"/>
      <c r="P794" s="22"/>
      <c r="Q794" s="22"/>
      <c r="R794" s="28"/>
      <c r="S794" s="28"/>
      <c r="T794" s="28"/>
      <c r="U794" s="28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ht="15.75" customHeight="1" x14ac:dyDescent="0.15">
      <c r="A795" s="22"/>
      <c r="B795" s="22"/>
      <c r="C795" s="22"/>
      <c r="D795" s="22"/>
      <c r="E795" s="22"/>
      <c r="F795" s="28"/>
      <c r="G795" s="28"/>
      <c r="H795" s="28"/>
      <c r="I795" s="28"/>
      <c r="J795" s="28"/>
      <c r="K795" s="28"/>
      <c r="L795" s="28"/>
      <c r="M795" s="22"/>
      <c r="N795" s="22"/>
      <c r="O795" s="22"/>
      <c r="P795" s="22"/>
      <c r="Q795" s="22"/>
      <c r="R795" s="28"/>
      <c r="S795" s="28"/>
      <c r="T795" s="28"/>
      <c r="U795" s="28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ht="15.75" customHeight="1" x14ac:dyDescent="0.15">
      <c r="A796" s="22"/>
      <c r="B796" s="22"/>
      <c r="C796" s="22"/>
      <c r="D796" s="22"/>
      <c r="E796" s="22"/>
      <c r="F796" s="28"/>
      <c r="G796" s="28"/>
      <c r="H796" s="28"/>
      <c r="I796" s="28"/>
      <c r="J796" s="28"/>
      <c r="K796" s="28"/>
      <c r="L796" s="28"/>
      <c r="M796" s="22"/>
      <c r="N796" s="22"/>
      <c r="O796" s="22"/>
      <c r="P796" s="22"/>
      <c r="Q796" s="22"/>
      <c r="R796" s="28"/>
      <c r="S796" s="28"/>
      <c r="T796" s="28"/>
      <c r="U796" s="28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ht="15.75" customHeight="1" x14ac:dyDescent="0.15">
      <c r="A797" s="22"/>
      <c r="B797" s="22"/>
      <c r="C797" s="22"/>
      <c r="D797" s="22"/>
      <c r="E797" s="22"/>
      <c r="F797" s="28"/>
      <c r="G797" s="28"/>
      <c r="H797" s="28"/>
      <c r="I797" s="28"/>
      <c r="J797" s="28"/>
      <c r="K797" s="28"/>
      <c r="L797" s="28"/>
      <c r="M797" s="22"/>
      <c r="N797" s="22"/>
      <c r="O797" s="22"/>
      <c r="P797" s="22"/>
      <c r="Q797" s="22"/>
      <c r="R797" s="28"/>
      <c r="S797" s="28"/>
      <c r="T797" s="28"/>
      <c r="U797" s="28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ht="15.75" customHeight="1" x14ac:dyDescent="0.15">
      <c r="A798" s="22"/>
      <c r="B798" s="22"/>
      <c r="C798" s="22"/>
      <c r="D798" s="22"/>
      <c r="E798" s="22"/>
      <c r="F798" s="28"/>
      <c r="G798" s="28"/>
      <c r="H798" s="28"/>
      <c r="I798" s="28"/>
      <c r="J798" s="28"/>
      <c r="K798" s="28"/>
      <c r="L798" s="28"/>
      <c r="M798" s="22"/>
      <c r="N798" s="22"/>
      <c r="O798" s="22"/>
      <c r="P798" s="22"/>
      <c r="Q798" s="22"/>
      <c r="R798" s="28"/>
      <c r="S798" s="28"/>
      <c r="T798" s="28"/>
      <c r="U798" s="28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ht="15.75" customHeight="1" x14ac:dyDescent="0.15">
      <c r="A799" s="22"/>
      <c r="B799" s="22"/>
      <c r="C799" s="22"/>
      <c r="D799" s="22"/>
      <c r="E799" s="22"/>
      <c r="F799" s="28"/>
      <c r="G799" s="28"/>
      <c r="H799" s="28"/>
      <c r="I799" s="28"/>
      <c r="J799" s="28"/>
      <c r="K799" s="28"/>
      <c r="L799" s="28"/>
      <c r="M799" s="22"/>
      <c r="N799" s="22"/>
      <c r="O799" s="22"/>
      <c r="P799" s="22"/>
      <c r="Q799" s="22"/>
      <c r="R799" s="28"/>
      <c r="S799" s="28"/>
      <c r="T799" s="28"/>
      <c r="U799" s="28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ht="15.75" customHeight="1" x14ac:dyDescent="0.15">
      <c r="A800" s="22"/>
      <c r="B800" s="22"/>
      <c r="C800" s="22"/>
      <c r="D800" s="22"/>
      <c r="E800" s="22"/>
      <c r="F800" s="28"/>
      <c r="G800" s="28"/>
      <c r="H800" s="28"/>
      <c r="I800" s="28"/>
      <c r="J800" s="28"/>
      <c r="K800" s="28"/>
      <c r="L800" s="28"/>
      <c r="M800" s="22"/>
      <c r="N800" s="22"/>
      <c r="O800" s="22"/>
      <c r="P800" s="22"/>
      <c r="Q800" s="22"/>
      <c r="R800" s="28"/>
      <c r="S800" s="28"/>
      <c r="T800" s="28"/>
      <c r="U800" s="28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ht="15.75" customHeight="1" x14ac:dyDescent="0.15">
      <c r="A801" s="22"/>
      <c r="B801" s="22"/>
      <c r="C801" s="22"/>
      <c r="D801" s="22"/>
      <c r="E801" s="22"/>
      <c r="F801" s="28"/>
      <c r="G801" s="28"/>
      <c r="H801" s="28"/>
      <c r="I801" s="28"/>
      <c r="J801" s="28"/>
      <c r="K801" s="28"/>
      <c r="L801" s="28"/>
      <c r="M801" s="22"/>
      <c r="N801" s="22"/>
      <c r="O801" s="22"/>
      <c r="P801" s="22"/>
      <c r="Q801" s="22"/>
      <c r="R801" s="28"/>
      <c r="S801" s="28"/>
      <c r="T801" s="28"/>
      <c r="U801" s="28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ht="15.75" customHeight="1" x14ac:dyDescent="0.15">
      <c r="A802" s="22"/>
      <c r="B802" s="22"/>
      <c r="C802" s="22"/>
      <c r="D802" s="22"/>
      <c r="E802" s="22"/>
      <c r="F802" s="28"/>
      <c r="G802" s="28"/>
      <c r="H802" s="28"/>
      <c r="I802" s="28"/>
      <c r="J802" s="28"/>
      <c r="K802" s="28"/>
      <c r="L802" s="28"/>
      <c r="M802" s="22"/>
      <c r="N802" s="22"/>
      <c r="O802" s="22"/>
      <c r="P802" s="22"/>
      <c r="Q802" s="22"/>
      <c r="R802" s="28"/>
      <c r="S802" s="28"/>
      <c r="T802" s="28"/>
      <c r="U802" s="28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ht="15.75" customHeight="1" x14ac:dyDescent="0.15">
      <c r="A803" s="22"/>
      <c r="B803" s="22"/>
      <c r="C803" s="22"/>
      <c r="D803" s="22"/>
      <c r="E803" s="22"/>
      <c r="F803" s="28"/>
      <c r="G803" s="28"/>
      <c r="H803" s="28"/>
      <c r="I803" s="28"/>
      <c r="J803" s="28"/>
      <c r="K803" s="28"/>
      <c r="L803" s="28"/>
      <c r="M803" s="22"/>
      <c r="N803" s="22"/>
      <c r="O803" s="22"/>
      <c r="P803" s="22"/>
      <c r="Q803" s="22"/>
      <c r="R803" s="28"/>
      <c r="S803" s="28"/>
      <c r="T803" s="28"/>
      <c r="U803" s="28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ht="15.75" customHeight="1" x14ac:dyDescent="0.15">
      <c r="A804" s="22"/>
      <c r="B804" s="22"/>
      <c r="C804" s="22"/>
      <c r="D804" s="22"/>
      <c r="E804" s="22"/>
      <c r="F804" s="28"/>
      <c r="G804" s="28"/>
      <c r="H804" s="28"/>
      <c r="I804" s="28"/>
      <c r="J804" s="28"/>
      <c r="K804" s="28"/>
      <c r="L804" s="28"/>
      <c r="M804" s="22"/>
      <c r="N804" s="22"/>
      <c r="O804" s="22"/>
      <c r="P804" s="22"/>
      <c r="Q804" s="22"/>
      <c r="R804" s="28"/>
      <c r="S804" s="28"/>
      <c r="T804" s="28"/>
      <c r="U804" s="28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ht="15.75" customHeight="1" x14ac:dyDescent="0.15">
      <c r="A805" s="22"/>
      <c r="B805" s="22"/>
      <c r="C805" s="22"/>
      <c r="D805" s="22"/>
      <c r="E805" s="22"/>
      <c r="F805" s="28"/>
      <c r="G805" s="28"/>
      <c r="H805" s="28"/>
      <c r="I805" s="28"/>
      <c r="J805" s="28"/>
      <c r="K805" s="28"/>
      <c r="L805" s="28"/>
      <c r="M805" s="22"/>
      <c r="N805" s="22"/>
      <c r="O805" s="22"/>
      <c r="P805" s="22"/>
      <c r="Q805" s="22"/>
      <c r="R805" s="28"/>
      <c r="S805" s="28"/>
      <c r="T805" s="28"/>
      <c r="U805" s="28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ht="15.75" customHeight="1" x14ac:dyDescent="0.15">
      <c r="A806" s="22"/>
      <c r="B806" s="22"/>
      <c r="C806" s="22"/>
      <c r="D806" s="22"/>
      <c r="E806" s="22"/>
      <c r="F806" s="28"/>
      <c r="G806" s="28"/>
      <c r="H806" s="28"/>
      <c r="I806" s="28"/>
      <c r="J806" s="28"/>
      <c r="K806" s="28"/>
      <c r="L806" s="28"/>
      <c r="M806" s="22"/>
      <c r="N806" s="22"/>
      <c r="O806" s="22"/>
      <c r="P806" s="22"/>
      <c r="Q806" s="22"/>
      <c r="R806" s="28"/>
      <c r="S806" s="28"/>
      <c r="T806" s="28"/>
      <c r="U806" s="28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ht="15.75" customHeight="1" x14ac:dyDescent="0.15">
      <c r="A807" s="22"/>
      <c r="B807" s="22"/>
      <c r="C807" s="22"/>
      <c r="D807" s="22"/>
      <c r="E807" s="22"/>
      <c r="F807" s="28"/>
      <c r="G807" s="28"/>
      <c r="H807" s="28"/>
      <c r="I807" s="28"/>
      <c r="J807" s="28"/>
      <c r="K807" s="28"/>
      <c r="L807" s="28"/>
      <c r="M807" s="22"/>
      <c r="N807" s="22"/>
      <c r="O807" s="22"/>
      <c r="P807" s="22"/>
      <c r="Q807" s="22"/>
      <c r="R807" s="28"/>
      <c r="S807" s="28"/>
      <c r="T807" s="28"/>
      <c r="U807" s="28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ht="15.75" customHeight="1" x14ac:dyDescent="0.15">
      <c r="A808" s="22"/>
      <c r="B808" s="22"/>
      <c r="C808" s="22"/>
      <c r="D808" s="22"/>
      <c r="E808" s="22"/>
      <c r="F808" s="28"/>
      <c r="G808" s="28"/>
      <c r="H808" s="28"/>
      <c r="I808" s="28"/>
      <c r="J808" s="28"/>
      <c r="K808" s="28"/>
      <c r="L808" s="28"/>
      <c r="M808" s="22"/>
      <c r="N808" s="22"/>
      <c r="O808" s="22"/>
      <c r="P808" s="22"/>
      <c r="Q808" s="22"/>
      <c r="R808" s="28"/>
      <c r="S808" s="28"/>
      <c r="T808" s="28"/>
      <c r="U808" s="28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ht="15.75" customHeight="1" x14ac:dyDescent="0.15">
      <c r="A809" s="22"/>
      <c r="B809" s="22"/>
      <c r="C809" s="22"/>
      <c r="D809" s="22"/>
      <c r="E809" s="22"/>
      <c r="F809" s="28"/>
      <c r="G809" s="28"/>
      <c r="H809" s="28"/>
      <c r="I809" s="28"/>
      <c r="J809" s="28"/>
      <c r="K809" s="28"/>
      <c r="L809" s="28"/>
      <c r="M809" s="22"/>
      <c r="N809" s="22"/>
      <c r="O809" s="22"/>
      <c r="P809" s="22"/>
      <c r="Q809" s="22"/>
      <c r="R809" s="28"/>
      <c r="S809" s="28"/>
      <c r="T809" s="28"/>
      <c r="U809" s="28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ht="15.75" customHeight="1" x14ac:dyDescent="0.15">
      <c r="A810" s="22"/>
      <c r="B810" s="22"/>
      <c r="C810" s="22"/>
      <c r="D810" s="22"/>
      <c r="E810" s="22"/>
      <c r="F810" s="28"/>
      <c r="G810" s="28"/>
      <c r="H810" s="28"/>
      <c r="I810" s="28"/>
      <c r="J810" s="28"/>
      <c r="K810" s="28"/>
      <c r="L810" s="28"/>
      <c r="M810" s="22"/>
      <c r="N810" s="22"/>
      <c r="O810" s="22"/>
      <c r="P810" s="22"/>
      <c r="Q810" s="22"/>
      <c r="R810" s="28"/>
      <c r="S810" s="28"/>
      <c r="T810" s="28"/>
      <c r="U810" s="28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ht="15.75" customHeight="1" x14ac:dyDescent="0.15">
      <c r="A811" s="22"/>
      <c r="B811" s="22"/>
      <c r="C811" s="22"/>
      <c r="D811" s="22"/>
      <c r="E811" s="22"/>
      <c r="F811" s="28"/>
      <c r="G811" s="28"/>
      <c r="H811" s="28"/>
      <c r="I811" s="28"/>
      <c r="J811" s="28"/>
      <c r="K811" s="28"/>
      <c r="L811" s="28"/>
      <c r="M811" s="22"/>
      <c r="N811" s="22"/>
      <c r="O811" s="22"/>
      <c r="P811" s="22"/>
      <c r="Q811" s="22"/>
      <c r="R811" s="28"/>
      <c r="S811" s="28"/>
      <c r="T811" s="28"/>
      <c r="U811" s="28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ht="15.75" customHeight="1" x14ac:dyDescent="0.15">
      <c r="A812" s="22"/>
      <c r="B812" s="22"/>
      <c r="C812" s="22"/>
      <c r="D812" s="22"/>
      <c r="E812" s="22"/>
      <c r="F812" s="28"/>
      <c r="G812" s="28"/>
      <c r="H812" s="28"/>
      <c r="I812" s="28"/>
      <c r="J812" s="28"/>
      <c r="K812" s="28"/>
      <c r="L812" s="28"/>
      <c r="M812" s="22"/>
      <c r="N812" s="22"/>
      <c r="O812" s="22"/>
      <c r="P812" s="22"/>
      <c r="Q812" s="22"/>
      <c r="R812" s="28"/>
      <c r="S812" s="28"/>
      <c r="T812" s="28"/>
      <c r="U812" s="28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ht="15.75" customHeight="1" x14ac:dyDescent="0.15">
      <c r="A813" s="22"/>
      <c r="B813" s="22"/>
      <c r="C813" s="22"/>
      <c r="D813" s="22"/>
      <c r="E813" s="22"/>
      <c r="F813" s="28"/>
      <c r="G813" s="28"/>
      <c r="H813" s="28"/>
      <c r="I813" s="28"/>
      <c r="J813" s="28"/>
      <c r="K813" s="28"/>
      <c r="L813" s="28"/>
      <c r="M813" s="22"/>
      <c r="N813" s="22"/>
      <c r="O813" s="22"/>
      <c r="P813" s="22"/>
      <c r="Q813" s="22"/>
      <c r="R813" s="28"/>
      <c r="S813" s="28"/>
      <c r="T813" s="28"/>
      <c r="U813" s="28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ht="15.75" customHeight="1" x14ac:dyDescent="0.15">
      <c r="A814" s="22"/>
      <c r="B814" s="22"/>
      <c r="C814" s="22"/>
      <c r="D814" s="22"/>
      <c r="E814" s="22"/>
      <c r="F814" s="28"/>
      <c r="G814" s="28"/>
      <c r="H814" s="28"/>
      <c r="I814" s="28"/>
      <c r="J814" s="28"/>
      <c r="K814" s="28"/>
      <c r="L814" s="28"/>
      <c r="M814" s="22"/>
      <c r="N814" s="22"/>
      <c r="O814" s="22"/>
      <c r="P814" s="22"/>
      <c r="Q814" s="22"/>
      <c r="R814" s="28"/>
      <c r="S814" s="28"/>
      <c r="T814" s="28"/>
      <c r="U814" s="28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ht="15.75" customHeight="1" x14ac:dyDescent="0.15">
      <c r="A815" s="22"/>
      <c r="B815" s="22"/>
      <c r="C815" s="22"/>
      <c r="D815" s="22"/>
      <c r="E815" s="22"/>
      <c r="F815" s="28"/>
      <c r="G815" s="28"/>
      <c r="H815" s="28"/>
      <c r="I815" s="28"/>
      <c r="J815" s="28"/>
      <c r="K815" s="28"/>
      <c r="L815" s="28"/>
      <c r="M815" s="22"/>
      <c r="N815" s="22"/>
      <c r="O815" s="22"/>
      <c r="P815" s="22"/>
      <c r="Q815" s="22"/>
      <c r="R815" s="28"/>
      <c r="S815" s="28"/>
      <c r="T815" s="28"/>
      <c r="U815" s="28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ht="15.75" customHeight="1" x14ac:dyDescent="0.15">
      <c r="A816" s="22"/>
      <c r="B816" s="22"/>
      <c r="C816" s="22"/>
      <c r="D816" s="22"/>
      <c r="E816" s="22"/>
      <c r="F816" s="28"/>
      <c r="G816" s="28"/>
      <c r="H816" s="28"/>
      <c r="I816" s="28"/>
      <c r="J816" s="28"/>
      <c r="K816" s="28"/>
      <c r="L816" s="28"/>
      <c r="M816" s="22"/>
      <c r="N816" s="22"/>
      <c r="O816" s="22"/>
      <c r="P816" s="22"/>
      <c r="Q816" s="22"/>
      <c r="R816" s="28"/>
      <c r="S816" s="28"/>
      <c r="T816" s="28"/>
      <c r="U816" s="28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ht="15.75" customHeight="1" x14ac:dyDescent="0.15">
      <c r="A817" s="22"/>
      <c r="B817" s="22"/>
      <c r="C817" s="22"/>
      <c r="D817" s="22"/>
      <c r="E817" s="22"/>
      <c r="F817" s="28"/>
      <c r="G817" s="28"/>
      <c r="H817" s="28"/>
      <c r="I817" s="28"/>
      <c r="J817" s="28"/>
      <c r="K817" s="28"/>
      <c r="L817" s="28"/>
      <c r="M817" s="22"/>
      <c r="N817" s="22"/>
      <c r="O817" s="22"/>
      <c r="P817" s="22"/>
      <c r="Q817" s="22"/>
      <c r="R817" s="28"/>
      <c r="S817" s="28"/>
      <c r="T817" s="28"/>
      <c r="U817" s="28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ht="15.75" customHeight="1" x14ac:dyDescent="0.15">
      <c r="A818" s="22"/>
      <c r="B818" s="22"/>
      <c r="C818" s="22"/>
      <c r="D818" s="22"/>
      <c r="E818" s="22"/>
      <c r="F818" s="28"/>
      <c r="G818" s="28"/>
      <c r="H818" s="28"/>
      <c r="I818" s="28"/>
      <c r="J818" s="28"/>
      <c r="K818" s="28"/>
      <c r="L818" s="28"/>
      <c r="M818" s="22"/>
      <c r="N818" s="22"/>
      <c r="O818" s="22"/>
      <c r="P818" s="22"/>
      <c r="Q818" s="22"/>
      <c r="R818" s="28"/>
      <c r="S818" s="28"/>
      <c r="T818" s="28"/>
      <c r="U818" s="28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ht="15.75" customHeight="1" x14ac:dyDescent="0.15">
      <c r="A819" s="22"/>
      <c r="B819" s="22"/>
      <c r="C819" s="22"/>
      <c r="D819" s="22"/>
      <c r="E819" s="22"/>
      <c r="F819" s="28"/>
      <c r="G819" s="28"/>
      <c r="H819" s="28"/>
      <c r="I819" s="28"/>
      <c r="J819" s="28"/>
      <c r="K819" s="28"/>
      <c r="L819" s="28"/>
      <c r="M819" s="22"/>
      <c r="N819" s="22"/>
      <c r="O819" s="22"/>
      <c r="P819" s="22"/>
      <c r="Q819" s="22"/>
      <c r="R819" s="28"/>
      <c r="S819" s="28"/>
      <c r="T819" s="28"/>
      <c r="U819" s="28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ht="15.75" customHeight="1" x14ac:dyDescent="0.15">
      <c r="A820" s="22"/>
      <c r="B820" s="22"/>
      <c r="C820" s="22"/>
      <c r="D820" s="22"/>
      <c r="E820" s="22"/>
      <c r="F820" s="28"/>
      <c r="G820" s="28"/>
      <c r="H820" s="28"/>
      <c r="I820" s="28"/>
      <c r="J820" s="28"/>
      <c r="K820" s="28"/>
      <c r="L820" s="28"/>
      <c r="M820" s="22"/>
      <c r="N820" s="22"/>
      <c r="O820" s="22"/>
      <c r="P820" s="22"/>
      <c r="Q820" s="22"/>
      <c r="R820" s="28"/>
      <c r="S820" s="28"/>
      <c r="T820" s="28"/>
      <c r="U820" s="28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ht="15.75" customHeight="1" x14ac:dyDescent="0.15">
      <c r="A821" s="22"/>
      <c r="B821" s="22"/>
      <c r="C821" s="22"/>
      <c r="D821" s="22"/>
      <c r="E821" s="22"/>
      <c r="F821" s="28"/>
      <c r="G821" s="28"/>
      <c r="H821" s="28"/>
      <c r="I821" s="28"/>
      <c r="J821" s="28"/>
      <c r="K821" s="28"/>
      <c r="L821" s="28"/>
      <c r="M821" s="22"/>
      <c r="N821" s="22"/>
      <c r="O821" s="22"/>
      <c r="P821" s="22"/>
      <c r="Q821" s="22"/>
      <c r="R821" s="28"/>
      <c r="S821" s="28"/>
      <c r="T821" s="28"/>
      <c r="U821" s="28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ht="15.75" customHeight="1" x14ac:dyDescent="0.15">
      <c r="A822" s="22"/>
      <c r="B822" s="22"/>
      <c r="C822" s="22"/>
      <c r="D822" s="22"/>
      <c r="E822" s="22"/>
      <c r="F822" s="28"/>
      <c r="G822" s="28"/>
      <c r="H822" s="28"/>
      <c r="I822" s="28"/>
      <c r="J822" s="28"/>
      <c r="K822" s="28"/>
      <c r="L822" s="28"/>
      <c r="M822" s="22"/>
      <c r="N822" s="22"/>
      <c r="O822" s="22"/>
      <c r="P822" s="22"/>
      <c r="Q822" s="22"/>
      <c r="R822" s="28"/>
      <c r="S822" s="28"/>
      <c r="T822" s="28"/>
      <c r="U822" s="28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ht="15.75" customHeight="1" x14ac:dyDescent="0.15">
      <c r="A823" s="22"/>
      <c r="B823" s="22"/>
      <c r="C823" s="22"/>
      <c r="D823" s="22"/>
      <c r="E823" s="22"/>
      <c r="F823" s="28"/>
      <c r="G823" s="28"/>
      <c r="H823" s="28"/>
      <c r="I823" s="28"/>
      <c r="J823" s="28"/>
      <c r="K823" s="28"/>
      <c r="L823" s="28"/>
      <c r="M823" s="22"/>
      <c r="N823" s="22"/>
      <c r="O823" s="22"/>
      <c r="P823" s="22"/>
      <c r="Q823" s="22"/>
      <c r="R823" s="28"/>
      <c r="S823" s="28"/>
      <c r="T823" s="28"/>
      <c r="U823" s="28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ht="15.75" customHeight="1" x14ac:dyDescent="0.15">
      <c r="A824" s="22"/>
      <c r="B824" s="22"/>
      <c r="C824" s="22"/>
      <c r="D824" s="22"/>
      <c r="E824" s="22"/>
      <c r="F824" s="28"/>
      <c r="G824" s="28"/>
      <c r="H824" s="28"/>
      <c r="I824" s="28"/>
      <c r="J824" s="28"/>
      <c r="K824" s="28"/>
      <c r="L824" s="28"/>
      <c r="M824" s="22"/>
      <c r="N824" s="22"/>
      <c r="O824" s="22"/>
      <c r="P824" s="22"/>
      <c r="Q824" s="22"/>
      <c r="R824" s="28"/>
      <c r="S824" s="28"/>
      <c r="T824" s="28"/>
      <c r="U824" s="28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ht="15.75" customHeight="1" x14ac:dyDescent="0.15">
      <c r="A825" s="22"/>
      <c r="B825" s="22"/>
      <c r="C825" s="22"/>
      <c r="D825" s="22"/>
      <c r="E825" s="22"/>
      <c r="F825" s="28"/>
      <c r="G825" s="28"/>
      <c r="H825" s="28"/>
      <c r="I825" s="28"/>
      <c r="J825" s="28"/>
      <c r="K825" s="28"/>
      <c r="L825" s="28"/>
      <c r="M825" s="22"/>
      <c r="N825" s="22"/>
      <c r="O825" s="22"/>
      <c r="P825" s="22"/>
      <c r="Q825" s="22"/>
      <c r="R825" s="28"/>
      <c r="S825" s="28"/>
      <c r="T825" s="28"/>
      <c r="U825" s="28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ht="15.75" customHeight="1" x14ac:dyDescent="0.15">
      <c r="A826" s="22"/>
      <c r="B826" s="22"/>
      <c r="C826" s="22"/>
      <c r="D826" s="22"/>
      <c r="E826" s="22"/>
      <c r="F826" s="28"/>
      <c r="G826" s="28"/>
      <c r="H826" s="28"/>
      <c r="I826" s="28"/>
      <c r="J826" s="28"/>
      <c r="K826" s="28"/>
      <c r="L826" s="28"/>
      <c r="M826" s="22"/>
      <c r="N826" s="22"/>
      <c r="O826" s="22"/>
      <c r="P826" s="22"/>
      <c r="Q826" s="22"/>
      <c r="R826" s="28"/>
      <c r="S826" s="28"/>
      <c r="T826" s="28"/>
      <c r="U826" s="28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ht="15.75" customHeight="1" x14ac:dyDescent="0.15">
      <c r="A827" s="22"/>
      <c r="B827" s="22"/>
      <c r="C827" s="22"/>
      <c r="D827" s="22"/>
      <c r="E827" s="22"/>
      <c r="F827" s="28"/>
      <c r="G827" s="28"/>
      <c r="H827" s="28"/>
      <c r="I827" s="28"/>
      <c r="J827" s="28"/>
      <c r="K827" s="28"/>
      <c r="L827" s="28"/>
      <c r="M827" s="22"/>
      <c r="N827" s="22"/>
      <c r="O827" s="22"/>
      <c r="P827" s="22"/>
      <c r="Q827" s="22"/>
      <c r="R827" s="28"/>
      <c r="S827" s="28"/>
      <c r="T827" s="28"/>
      <c r="U827" s="28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ht="15.75" customHeight="1" x14ac:dyDescent="0.15">
      <c r="A828" s="22"/>
      <c r="B828" s="22"/>
      <c r="C828" s="22"/>
      <c r="D828" s="22"/>
      <c r="E828" s="22"/>
      <c r="F828" s="28"/>
      <c r="G828" s="28"/>
      <c r="H828" s="28"/>
      <c r="I828" s="28"/>
      <c r="J828" s="28"/>
      <c r="K828" s="28"/>
      <c r="L828" s="28"/>
      <c r="M828" s="22"/>
      <c r="N828" s="22"/>
      <c r="O828" s="22"/>
      <c r="P828" s="22"/>
      <c r="Q828" s="22"/>
      <c r="R828" s="28"/>
      <c r="S828" s="28"/>
      <c r="T828" s="28"/>
      <c r="U828" s="28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ht="15.75" customHeight="1" x14ac:dyDescent="0.15">
      <c r="A829" s="22"/>
      <c r="B829" s="22"/>
      <c r="C829" s="22"/>
      <c r="D829" s="22"/>
      <c r="E829" s="22"/>
      <c r="F829" s="28"/>
      <c r="G829" s="28"/>
      <c r="H829" s="28"/>
      <c r="I829" s="28"/>
      <c r="J829" s="28"/>
      <c r="K829" s="28"/>
      <c r="L829" s="28"/>
      <c r="M829" s="22"/>
      <c r="N829" s="22"/>
      <c r="O829" s="22"/>
      <c r="P829" s="22"/>
      <c r="Q829" s="22"/>
      <c r="R829" s="28"/>
      <c r="S829" s="28"/>
      <c r="T829" s="28"/>
      <c r="U829" s="28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ht="15.75" customHeight="1" x14ac:dyDescent="0.15">
      <c r="A830" s="22"/>
      <c r="B830" s="22"/>
      <c r="C830" s="22"/>
      <c r="D830" s="22"/>
      <c r="E830" s="22"/>
      <c r="F830" s="28"/>
      <c r="G830" s="28"/>
      <c r="H830" s="28"/>
      <c r="I830" s="28"/>
      <c r="J830" s="28"/>
      <c r="K830" s="28"/>
      <c r="L830" s="28"/>
      <c r="M830" s="22"/>
      <c r="N830" s="22"/>
      <c r="O830" s="22"/>
      <c r="P830" s="22"/>
      <c r="Q830" s="22"/>
      <c r="R830" s="28"/>
      <c r="S830" s="28"/>
      <c r="T830" s="28"/>
      <c r="U830" s="28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ht="15.75" customHeight="1" x14ac:dyDescent="0.15">
      <c r="A831" s="22"/>
      <c r="B831" s="22"/>
      <c r="C831" s="22"/>
      <c r="D831" s="22"/>
      <c r="E831" s="22"/>
      <c r="F831" s="28"/>
      <c r="G831" s="28"/>
      <c r="H831" s="28"/>
      <c r="I831" s="28"/>
      <c r="J831" s="28"/>
      <c r="K831" s="28"/>
      <c r="L831" s="28"/>
      <c r="M831" s="22"/>
      <c r="N831" s="22"/>
      <c r="O831" s="22"/>
      <c r="P831" s="22"/>
      <c r="Q831" s="22"/>
      <c r="R831" s="28"/>
      <c r="S831" s="28"/>
      <c r="T831" s="28"/>
      <c r="U831" s="28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ht="15.75" customHeight="1" x14ac:dyDescent="0.15">
      <c r="A832" s="22"/>
      <c r="B832" s="22"/>
      <c r="C832" s="22"/>
      <c r="D832" s="22"/>
      <c r="E832" s="22"/>
      <c r="F832" s="28"/>
      <c r="G832" s="28"/>
      <c r="H832" s="28"/>
      <c r="I832" s="28"/>
      <c r="J832" s="28"/>
      <c r="K832" s="28"/>
      <c r="L832" s="28"/>
      <c r="M832" s="22"/>
      <c r="N832" s="22"/>
      <c r="O832" s="22"/>
      <c r="P832" s="22"/>
      <c r="Q832" s="22"/>
      <c r="R832" s="28"/>
      <c r="S832" s="28"/>
      <c r="T832" s="28"/>
      <c r="U832" s="28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ht="15.75" customHeight="1" x14ac:dyDescent="0.15">
      <c r="A833" s="22"/>
      <c r="B833" s="22"/>
      <c r="C833" s="22"/>
      <c r="D833" s="22"/>
      <c r="E833" s="22"/>
      <c r="F833" s="28"/>
      <c r="G833" s="28"/>
      <c r="H833" s="28"/>
      <c r="I833" s="28"/>
      <c r="J833" s="28"/>
      <c r="K833" s="28"/>
      <c r="L833" s="28"/>
      <c r="M833" s="22"/>
      <c r="N833" s="22"/>
      <c r="O833" s="22"/>
      <c r="P833" s="22"/>
      <c r="Q833" s="22"/>
      <c r="R833" s="28"/>
      <c r="S833" s="28"/>
      <c r="T833" s="28"/>
      <c r="U833" s="28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ht="15.75" customHeight="1" x14ac:dyDescent="0.15">
      <c r="A834" s="22"/>
      <c r="B834" s="22"/>
      <c r="C834" s="22"/>
      <c r="D834" s="22"/>
      <c r="E834" s="22"/>
      <c r="F834" s="28"/>
      <c r="G834" s="28"/>
      <c r="H834" s="28"/>
      <c r="I834" s="28"/>
      <c r="J834" s="28"/>
      <c r="K834" s="28"/>
      <c r="L834" s="28"/>
      <c r="M834" s="22"/>
      <c r="N834" s="22"/>
      <c r="O834" s="22"/>
      <c r="P834" s="22"/>
      <c r="Q834" s="22"/>
      <c r="R834" s="28"/>
      <c r="S834" s="28"/>
      <c r="T834" s="28"/>
      <c r="U834" s="28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ht="15.75" customHeight="1" x14ac:dyDescent="0.15">
      <c r="A835" s="22"/>
      <c r="B835" s="22"/>
      <c r="C835" s="22"/>
      <c r="D835" s="22"/>
      <c r="E835" s="22"/>
      <c r="F835" s="28"/>
      <c r="G835" s="28"/>
      <c r="H835" s="28"/>
      <c r="I835" s="28"/>
      <c r="J835" s="28"/>
      <c r="K835" s="28"/>
      <c r="L835" s="28"/>
      <c r="M835" s="22"/>
      <c r="N835" s="22"/>
      <c r="O835" s="22"/>
      <c r="P835" s="22"/>
      <c r="Q835" s="22"/>
      <c r="R835" s="28"/>
      <c r="S835" s="28"/>
      <c r="T835" s="28"/>
      <c r="U835" s="28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ht="15.75" customHeight="1" x14ac:dyDescent="0.15">
      <c r="A836" s="22"/>
      <c r="B836" s="22"/>
      <c r="C836" s="22"/>
      <c r="D836" s="22"/>
      <c r="E836" s="22"/>
      <c r="F836" s="28"/>
      <c r="G836" s="28"/>
      <c r="H836" s="28"/>
      <c r="I836" s="28"/>
      <c r="J836" s="28"/>
      <c r="K836" s="28"/>
      <c r="L836" s="28"/>
      <c r="M836" s="22"/>
      <c r="N836" s="22"/>
      <c r="O836" s="22"/>
      <c r="P836" s="22"/>
      <c r="Q836" s="22"/>
      <c r="R836" s="28"/>
      <c r="S836" s="28"/>
      <c r="T836" s="28"/>
      <c r="U836" s="28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ht="15.75" customHeight="1" x14ac:dyDescent="0.15">
      <c r="A837" s="22"/>
      <c r="B837" s="22"/>
      <c r="C837" s="22"/>
      <c r="D837" s="22"/>
      <c r="E837" s="22"/>
      <c r="F837" s="28"/>
      <c r="G837" s="28"/>
      <c r="H837" s="28"/>
      <c r="I837" s="28"/>
      <c r="J837" s="28"/>
      <c r="K837" s="28"/>
      <c r="L837" s="28"/>
      <c r="M837" s="22"/>
      <c r="N837" s="22"/>
      <c r="O837" s="22"/>
      <c r="P837" s="22"/>
      <c r="Q837" s="22"/>
      <c r="R837" s="28"/>
      <c r="S837" s="28"/>
      <c r="T837" s="28"/>
      <c r="U837" s="28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ht="15.75" customHeight="1" x14ac:dyDescent="0.15">
      <c r="A838" s="22"/>
      <c r="B838" s="22"/>
      <c r="C838" s="22"/>
      <c r="D838" s="22"/>
      <c r="E838" s="22"/>
      <c r="F838" s="28"/>
      <c r="G838" s="28"/>
      <c r="H838" s="28"/>
      <c r="I838" s="28"/>
      <c r="J838" s="28"/>
      <c r="K838" s="28"/>
      <c r="L838" s="28"/>
      <c r="M838" s="22"/>
      <c r="N838" s="22"/>
      <c r="O838" s="22"/>
      <c r="P838" s="22"/>
      <c r="Q838" s="22"/>
      <c r="R838" s="28"/>
      <c r="S838" s="28"/>
      <c r="T838" s="28"/>
      <c r="U838" s="28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ht="15.75" customHeight="1" x14ac:dyDescent="0.15">
      <c r="A839" s="22"/>
      <c r="B839" s="22"/>
      <c r="C839" s="22"/>
      <c r="D839" s="22"/>
      <c r="E839" s="22"/>
      <c r="F839" s="28"/>
      <c r="G839" s="28"/>
      <c r="H839" s="28"/>
      <c r="I839" s="28"/>
      <c r="J839" s="28"/>
      <c r="K839" s="28"/>
      <c r="L839" s="28"/>
      <c r="M839" s="22"/>
      <c r="N839" s="22"/>
      <c r="O839" s="22"/>
      <c r="P839" s="22"/>
      <c r="Q839" s="22"/>
      <c r="R839" s="28"/>
      <c r="S839" s="28"/>
      <c r="T839" s="28"/>
      <c r="U839" s="28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ht="15.75" customHeight="1" x14ac:dyDescent="0.15">
      <c r="A840" s="22"/>
      <c r="B840" s="22"/>
      <c r="C840" s="22"/>
      <c r="D840" s="22"/>
      <c r="E840" s="22"/>
      <c r="F840" s="28"/>
      <c r="G840" s="28"/>
      <c r="H840" s="28"/>
      <c r="I840" s="28"/>
      <c r="J840" s="28"/>
      <c r="K840" s="28"/>
      <c r="L840" s="28"/>
      <c r="M840" s="22"/>
      <c r="N840" s="22"/>
      <c r="O840" s="22"/>
      <c r="P840" s="22"/>
      <c r="Q840" s="22"/>
      <c r="R840" s="28"/>
      <c r="S840" s="28"/>
      <c r="T840" s="28"/>
      <c r="U840" s="28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ht="15.75" customHeight="1" x14ac:dyDescent="0.15">
      <c r="A841" s="22"/>
      <c r="B841" s="22"/>
      <c r="C841" s="22"/>
      <c r="D841" s="22"/>
      <c r="E841" s="22"/>
      <c r="F841" s="28"/>
      <c r="G841" s="28"/>
      <c r="H841" s="28"/>
      <c r="I841" s="28"/>
      <c r="J841" s="28"/>
      <c r="K841" s="28"/>
      <c r="L841" s="28"/>
      <c r="M841" s="22"/>
      <c r="N841" s="22"/>
      <c r="O841" s="22"/>
      <c r="P841" s="22"/>
      <c r="Q841" s="22"/>
      <c r="R841" s="28"/>
      <c r="S841" s="28"/>
      <c r="T841" s="28"/>
      <c r="U841" s="28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ht="15.75" customHeight="1" x14ac:dyDescent="0.15">
      <c r="A842" s="22"/>
      <c r="B842" s="22"/>
      <c r="C842" s="22"/>
      <c r="D842" s="22"/>
      <c r="E842" s="22"/>
      <c r="F842" s="28"/>
      <c r="G842" s="28"/>
      <c r="H842" s="28"/>
      <c r="I842" s="28"/>
      <c r="J842" s="28"/>
      <c r="K842" s="28"/>
      <c r="L842" s="28"/>
      <c r="M842" s="22"/>
      <c r="N842" s="22"/>
      <c r="O842" s="22"/>
      <c r="P842" s="22"/>
      <c r="Q842" s="22"/>
      <c r="R842" s="28"/>
      <c r="S842" s="28"/>
      <c r="T842" s="28"/>
      <c r="U842" s="28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ht="15.75" customHeight="1" x14ac:dyDescent="0.15">
      <c r="A843" s="22"/>
      <c r="B843" s="22"/>
      <c r="C843" s="22"/>
      <c r="D843" s="22"/>
      <c r="E843" s="22"/>
      <c r="F843" s="28"/>
      <c r="G843" s="28"/>
      <c r="H843" s="28"/>
      <c r="I843" s="28"/>
      <c r="J843" s="28"/>
      <c r="K843" s="28"/>
      <c r="L843" s="28"/>
      <c r="M843" s="22"/>
      <c r="N843" s="22"/>
      <c r="O843" s="22"/>
      <c r="P843" s="22"/>
      <c r="Q843" s="22"/>
      <c r="R843" s="28"/>
      <c r="S843" s="28"/>
      <c r="T843" s="28"/>
      <c r="U843" s="28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ht="15.75" customHeight="1" x14ac:dyDescent="0.15">
      <c r="A844" s="22"/>
      <c r="B844" s="22"/>
      <c r="C844" s="22"/>
      <c r="D844" s="22"/>
      <c r="E844" s="22"/>
      <c r="F844" s="28"/>
      <c r="G844" s="28"/>
      <c r="H844" s="28"/>
      <c r="I844" s="28"/>
      <c r="J844" s="28"/>
      <c r="K844" s="28"/>
      <c r="L844" s="28"/>
      <c r="M844" s="22"/>
      <c r="N844" s="22"/>
      <c r="O844" s="22"/>
      <c r="P844" s="22"/>
      <c r="Q844" s="22"/>
      <c r="R844" s="28"/>
      <c r="S844" s="28"/>
      <c r="T844" s="28"/>
      <c r="U844" s="28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ht="15.75" customHeight="1" x14ac:dyDescent="0.15">
      <c r="A845" s="22"/>
      <c r="B845" s="22"/>
      <c r="C845" s="22"/>
      <c r="D845" s="22"/>
      <c r="E845" s="22"/>
      <c r="F845" s="28"/>
      <c r="G845" s="28"/>
      <c r="H845" s="28"/>
      <c r="I845" s="28"/>
      <c r="J845" s="28"/>
      <c r="K845" s="28"/>
      <c r="L845" s="28"/>
      <c r="M845" s="22"/>
      <c r="N845" s="22"/>
      <c r="O845" s="22"/>
      <c r="P845" s="22"/>
      <c r="Q845" s="22"/>
      <c r="R845" s="28"/>
      <c r="S845" s="28"/>
      <c r="T845" s="28"/>
      <c r="U845" s="28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ht="15.75" customHeight="1" x14ac:dyDescent="0.15">
      <c r="A846" s="22"/>
      <c r="B846" s="22"/>
      <c r="C846" s="22"/>
      <c r="D846" s="22"/>
      <c r="E846" s="22"/>
      <c r="F846" s="28"/>
      <c r="G846" s="28"/>
      <c r="H846" s="28"/>
      <c r="I846" s="28"/>
      <c r="J846" s="28"/>
      <c r="K846" s="28"/>
      <c r="L846" s="28"/>
      <c r="M846" s="22"/>
      <c r="N846" s="22"/>
      <c r="O846" s="22"/>
      <c r="P846" s="22"/>
      <c r="Q846" s="22"/>
      <c r="R846" s="28"/>
      <c r="S846" s="28"/>
      <c r="T846" s="28"/>
      <c r="U846" s="28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ht="15.75" customHeight="1" x14ac:dyDescent="0.15">
      <c r="A847" s="22"/>
      <c r="B847" s="22"/>
      <c r="C847" s="22"/>
      <c r="D847" s="22"/>
      <c r="E847" s="22"/>
      <c r="F847" s="28"/>
      <c r="G847" s="28"/>
      <c r="H847" s="28"/>
      <c r="I847" s="28"/>
      <c r="J847" s="28"/>
      <c r="K847" s="28"/>
      <c r="L847" s="28"/>
      <c r="M847" s="22"/>
      <c r="N847" s="22"/>
      <c r="O847" s="22"/>
      <c r="P847" s="22"/>
      <c r="Q847" s="22"/>
      <c r="R847" s="28"/>
      <c r="S847" s="28"/>
      <c r="T847" s="28"/>
      <c r="U847" s="28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ht="15.75" customHeight="1" x14ac:dyDescent="0.15">
      <c r="A848" s="22"/>
      <c r="B848" s="22"/>
      <c r="C848" s="22"/>
      <c r="D848" s="22"/>
      <c r="E848" s="22"/>
      <c r="F848" s="28"/>
      <c r="G848" s="28"/>
      <c r="H848" s="28"/>
      <c r="I848" s="28"/>
      <c r="J848" s="28"/>
      <c r="K848" s="28"/>
      <c r="L848" s="28"/>
      <c r="M848" s="22"/>
      <c r="N848" s="22"/>
      <c r="O848" s="22"/>
      <c r="P848" s="22"/>
      <c r="Q848" s="22"/>
      <c r="R848" s="28"/>
      <c r="S848" s="28"/>
      <c r="T848" s="28"/>
      <c r="U848" s="28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ht="15.75" customHeight="1" x14ac:dyDescent="0.15">
      <c r="A849" s="22"/>
      <c r="B849" s="22"/>
      <c r="C849" s="22"/>
      <c r="D849" s="22"/>
      <c r="E849" s="22"/>
      <c r="F849" s="28"/>
      <c r="G849" s="28"/>
      <c r="H849" s="28"/>
      <c r="I849" s="28"/>
      <c r="J849" s="28"/>
      <c r="K849" s="28"/>
      <c r="L849" s="28"/>
      <c r="M849" s="22"/>
      <c r="N849" s="22"/>
      <c r="O849" s="22"/>
      <c r="P849" s="22"/>
      <c r="Q849" s="22"/>
      <c r="R849" s="28"/>
      <c r="S849" s="28"/>
      <c r="T849" s="28"/>
      <c r="U849" s="28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ht="15.75" customHeight="1" x14ac:dyDescent="0.15">
      <c r="A850" s="22"/>
      <c r="B850" s="22"/>
      <c r="C850" s="22"/>
      <c r="D850" s="22"/>
      <c r="E850" s="22"/>
      <c r="F850" s="28"/>
      <c r="G850" s="28"/>
      <c r="H850" s="28"/>
      <c r="I850" s="28"/>
      <c r="J850" s="28"/>
      <c r="K850" s="28"/>
      <c r="L850" s="28"/>
      <c r="M850" s="22"/>
      <c r="N850" s="22"/>
      <c r="O850" s="22"/>
      <c r="P850" s="22"/>
      <c r="Q850" s="22"/>
      <c r="R850" s="28"/>
      <c r="S850" s="28"/>
      <c r="T850" s="28"/>
      <c r="U850" s="28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ht="15.75" customHeight="1" x14ac:dyDescent="0.15">
      <c r="A851" s="22"/>
      <c r="B851" s="22"/>
      <c r="C851" s="22"/>
      <c r="D851" s="22"/>
      <c r="E851" s="22"/>
      <c r="F851" s="28"/>
      <c r="G851" s="28"/>
      <c r="H851" s="28"/>
      <c r="I851" s="28"/>
      <c r="J851" s="28"/>
      <c r="K851" s="28"/>
      <c r="L851" s="28"/>
      <c r="M851" s="22"/>
      <c r="N851" s="22"/>
      <c r="O851" s="22"/>
      <c r="P851" s="22"/>
      <c r="Q851" s="22"/>
      <c r="R851" s="28"/>
      <c r="S851" s="28"/>
      <c r="T851" s="28"/>
      <c r="U851" s="28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ht="15.75" customHeight="1" x14ac:dyDescent="0.15">
      <c r="A852" s="22"/>
      <c r="B852" s="22"/>
      <c r="C852" s="22"/>
      <c r="D852" s="22"/>
      <c r="E852" s="22"/>
      <c r="F852" s="28"/>
      <c r="G852" s="28"/>
      <c r="H852" s="28"/>
      <c r="I852" s="28"/>
      <c r="J852" s="28"/>
      <c r="K852" s="28"/>
      <c r="L852" s="28"/>
      <c r="M852" s="22"/>
      <c r="N852" s="22"/>
      <c r="O852" s="22"/>
      <c r="P852" s="22"/>
      <c r="Q852" s="22"/>
      <c r="R852" s="28"/>
      <c r="S852" s="28"/>
      <c r="T852" s="28"/>
      <c r="U852" s="28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ht="15.75" customHeight="1" x14ac:dyDescent="0.15">
      <c r="A853" s="22"/>
      <c r="B853" s="22"/>
      <c r="C853" s="22"/>
      <c r="D853" s="22"/>
      <c r="E853" s="22"/>
      <c r="F853" s="28"/>
      <c r="G853" s="28"/>
      <c r="H853" s="28"/>
      <c r="I853" s="28"/>
      <c r="J853" s="28"/>
      <c r="K853" s="28"/>
      <c r="L853" s="28"/>
      <c r="M853" s="22"/>
      <c r="N853" s="22"/>
      <c r="O853" s="22"/>
      <c r="P853" s="22"/>
      <c r="Q853" s="22"/>
      <c r="R853" s="28"/>
      <c r="S853" s="28"/>
      <c r="T853" s="28"/>
      <c r="U853" s="28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ht="15.75" customHeight="1" x14ac:dyDescent="0.15">
      <c r="A854" s="22"/>
      <c r="B854" s="22"/>
      <c r="C854" s="22"/>
      <c r="D854" s="22"/>
      <c r="E854" s="22"/>
      <c r="F854" s="28"/>
      <c r="G854" s="28"/>
      <c r="H854" s="28"/>
      <c r="I854" s="28"/>
      <c r="J854" s="28"/>
      <c r="K854" s="28"/>
      <c r="L854" s="28"/>
      <c r="M854" s="22"/>
      <c r="N854" s="22"/>
      <c r="O854" s="22"/>
      <c r="P854" s="22"/>
      <c r="Q854" s="22"/>
      <c r="R854" s="28"/>
      <c r="S854" s="28"/>
      <c r="T854" s="28"/>
      <c r="U854" s="28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ht="15.75" customHeight="1" x14ac:dyDescent="0.15">
      <c r="A855" s="22"/>
      <c r="B855" s="22"/>
      <c r="C855" s="22"/>
      <c r="D855" s="22"/>
      <c r="E855" s="22"/>
      <c r="F855" s="28"/>
      <c r="G855" s="28"/>
      <c r="H855" s="28"/>
      <c r="I855" s="28"/>
      <c r="J855" s="28"/>
      <c r="K855" s="28"/>
      <c r="L855" s="28"/>
      <c r="M855" s="22"/>
      <c r="N855" s="22"/>
      <c r="O855" s="22"/>
      <c r="P855" s="22"/>
      <c r="Q855" s="22"/>
      <c r="R855" s="28"/>
      <c r="S855" s="28"/>
      <c r="T855" s="28"/>
      <c r="U855" s="28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ht="15.75" customHeight="1" x14ac:dyDescent="0.15">
      <c r="A856" s="22"/>
      <c r="B856" s="22"/>
      <c r="C856" s="22"/>
      <c r="D856" s="22"/>
      <c r="E856" s="22"/>
      <c r="F856" s="28"/>
      <c r="G856" s="28"/>
      <c r="H856" s="28"/>
      <c r="I856" s="28"/>
      <c r="J856" s="28"/>
      <c r="K856" s="28"/>
      <c r="L856" s="28"/>
      <c r="M856" s="22"/>
      <c r="N856" s="22"/>
      <c r="O856" s="22"/>
      <c r="P856" s="22"/>
      <c r="Q856" s="22"/>
      <c r="R856" s="28"/>
      <c r="S856" s="28"/>
      <c r="T856" s="28"/>
      <c r="U856" s="28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ht="15.75" customHeight="1" x14ac:dyDescent="0.15">
      <c r="A857" s="22"/>
      <c r="B857" s="22"/>
      <c r="C857" s="22"/>
      <c r="D857" s="22"/>
      <c r="E857" s="22"/>
      <c r="F857" s="28"/>
      <c r="G857" s="28"/>
      <c r="H857" s="28"/>
      <c r="I857" s="28"/>
      <c r="J857" s="28"/>
      <c r="K857" s="28"/>
      <c r="L857" s="28"/>
      <c r="M857" s="22"/>
      <c r="N857" s="22"/>
      <c r="O857" s="22"/>
      <c r="P857" s="22"/>
      <c r="Q857" s="22"/>
      <c r="R857" s="28"/>
      <c r="S857" s="28"/>
      <c r="T857" s="28"/>
      <c r="U857" s="28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ht="15.75" customHeight="1" x14ac:dyDescent="0.15">
      <c r="A858" s="22"/>
      <c r="B858" s="22"/>
      <c r="C858" s="22"/>
      <c r="D858" s="22"/>
      <c r="E858" s="22"/>
      <c r="F858" s="28"/>
      <c r="G858" s="28"/>
      <c r="H858" s="28"/>
      <c r="I858" s="28"/>
      <c r="J858" s="28"/>
      <c r="K858" s="28"/>
      <c r="L858" s="28"/>
      <c r="M858" s="22"/>
      <c r="N858" s="22"/>
      <c r="O858" s="22"/>
      <c r="P858" s="22"/>
      <c r="Q858" s="22"/>
      <c r="R858" s="28"/>
      <c r="S858" s="28"/>
      <c r="T858" s="28"/>
      <c r="U858" s="28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ht="15.75" customHeight="1" x14ac:dyDescent="0.15">
      <c r="A859" s="22"/>
      <c r="B859" s="22"/>
      <c r="C859" s="22"/>
      <c r="D859" s="22"/>
      <c r="E859" s="22"/>
      <c r="F859" s="28"/>
      <c r="G859" s="28"/>
      <c r="H859" s="28"/>
      <c r="I859" s="28"/>
      <c r="J859" s="28"/>
      <c r="K859" s="28"/>
      <c r="L859" s="28"/>
      <c r="M859" s="22"/>
      <c r="N859" s="22"/>
      <c r="O859" s="22"/>
      <c r="P859" s="22"/>
      <c r="Q859" s="22"/>
      <c r="R859" s="28"/>
      <c r="S859" s="28"/>
      <c r="T859" s="28"/>
      <c r="U859" s="28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ht="15.75" customHeight="1" x14ac:dyDescent="0.15">
      <c r="A860" s="22"/>
      <c r="B860" s="22"/>
      <c r="C860" s="22"/>
      <c r="D860" s="22"/>
      <c r="E860" s="22"/>
      <c r="F860" s="28"/>
      <c r="G860" s="28"/>
      <c r="H860" s="28"/>
      <c r="I860" s="28"/>
      <c r="J860" s="28"/>
      <c r="K860" s="28"/>
      <c r="L860" s="28"/>
      <c r="M860" s="22"/>
      <c r="N860" s="22"/>
      <c r="O860" s="22"/>
      <c r="P860" s="22"/>
      <c r="Q860" s="22"/>
      <c r="R860" s="28"/>
      <c r="S860" s="28"/>
      <c r="T860" s="28"/>
      <c r="U860" s="28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ht="15.75" customHeight="1" x14ac:dyDescent="0.15">
      <c r="A861" s="22"/>
      <c r="B861" s="22"/>
      <c r="C861" s="22"/>
      <c r="D861" s="22"/>
      <c r="E861" s="22"/>
      <c r="F861" s="28"/>
      <c r="G861" s="28"/>
      <c r="H861" s="28"/>
      <c r="I861" s="28"/>
      <c r="J861" s="28"/>
      <c r="K861" s="28"/>
      <c r="L861" s="28"/>
      <c r="M861" s="22"/>
      <c r="N861" s="22"/>
      <c r="O861" s="22"/>
      <c r="P861" s="22"/>
      <c r="Q861" s="22"/>
      <c r="R861" s="28"/>
      <c r="S861" s="28"/>
      <c r="T861" s="28"/>
      <c r="U861" s="28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ht="15.75" customHeight="1" x14ac:dyDescent="0.15">
      <c r="A862" s="22"/>
      <c r="B862" s="22"/>
      <c r="C862" s="22"/>
      <c r="D862" s="22"/>
      <c r="E862" s="22"/>
      <c r="F862" s="28"/>
      <c r="G862" s="28"/>
      <c r="H862" s="28"/>
      <c r="I862" s="28"/>
      <c r="J862" s="28"/>
      <c r="K862" s="28"/>
      <c r="L862" s="28"/>
      <c r="M862" s="22"/>
      <c r="N862" s="22"/>
      <c r="O862" s="22"/>
      <c r="P862" s="22"/>
      <c r="Q862" s="22"/>
      <c r="R862" s="28"/>
      <c r="S862" s="28"/>
      <c r="T862" s="28"/>
      <c r="U862" s="28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ht="15.75" customHeight="1" x14ac:dyDescent="0.15">
      <c r="A863" s="22"/>
      <c r="B863" s="22"/>
      <c r="C863" s="22"/>
      <c r="D863" s="22"/>
      <c r="E863" s="22"/>
      <c r="F863" s="28"/>
      <c r="G863" s="28"/>
      <c r="H863" s="28"/>
      <c r="I863" s="28"/>
      <c r="J863" s="28"/>
      <c r="K863" s="28"/>
      <c r="L863" s="28"/>
      <c r="M863" s="22"/>
      <c r="N863" s="22"/>
      <c r="O863" s="22"/>
      <c r="P863" s="22"/>
      <c r="Q863" s="22"/>
      <c r="R863" s="28"/>
      <c r="S863" s="28"/>
      <c r="T863" s="28"/>
      <c r="U863" s="28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ht="15.75" customHeight="1" x14ac:dyDescent="0.15">
      <c r="A864" s="22"/>
      <c r="B864" s="22"/>
      <c r="C864" s="22"/>
      <c r="D864" s="22"/>
      <c r="E864" s="22"/>
      <c r="F864" s="28"/>
      <c r="G864" s="28"/>
      <c r="H864" s="28"/>
      <c r="I864" s="28"/>
      <c r="J864" s="28"/>
      <c r="K864" s="28"/>
      <c r="L864" s="28"/>
      <c r="M864" s="22"/>
      <c r="N864" s="22"/>
      <c r="O864" s="22"/>
      <c r="P864" s="22"/>
      <c r="Q864" s="22"/>
      <c r="R864" s="28"/>
      <c r="S864" s="28"/>
      <c r="T864" s="28"/>
      <c r="U864" s="28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ht="15.75" customHeight="1" x14ac:dyDescent="0.15">
      <c r="A865" s="22"/>
      <c r="B865" s="22"/>
      <c r="C865" s="22"/>
      <c r="D865" s="22"/>
      <c r="E865" s="22"/>
      <c r="F865" s="28"/>
      <c r="G865" s="28"/>
      <c r="H865" s="28"/>
      <c r="I865" s="28"/>
      <c r="J865" s="28"/>
      <c r="K865" s="28"/>
      <c r="L865" s="28"/>
      <c r="M865" s="22"/>
      <c r="N865" s="22"/>
      <c r="O865" s="22"/>
      <c r="P865" s="22"/>
      <c r="Q865" s="22"/>
      <c r="R865" s="28"/>
      <c r="S865" s="28"/>
      <c r="T865" s="28"/>
      <c r="U865" s="28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ht="15.75" customHeight="1" x14ac:dyDescent="0.15">
      <c r="A866" s="22"/>
      <c r="B866" s="22"/>
      <c r="C866" s="22"/>
      <c r="D866" s="22"/>
      <c r="E866" s="22"/>
      <c r="F866" s="28"/>
      <c r="G866" s="28"/>
      <c r="H866" s="28"/>
      <c r="I866" s="28"/>
      <c r="J866" s="28"/>
      <c r="K866" s="28"/>
      <c r="L866" s="28"/>
      <c r="M866" s="22"/>
      <c r="N866" s="22"/>
      <c r="O866" s="22"/>
      <c r="P866" s="22"/>
      <c r="Q866" s="22"/>
      <c r="R866" s="28"/>
      <c r="S866" s="28"/>
      <c r="T866" s="28"/>
      <c r="U866" s="28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ht="15.75" customHeight="1" x14ac:dyDescent="0.15">
      <c r="A867" s="22"/>
      <c r="B867" s="22"/>
      <c r="C867" s="22"/>
      <c r="D867" s="22"/>
      <c r="E867" s="22"/>
      <c r="F867" s="28"/>
      <c r="G867" s="28"/>
      <c r="H867" s="28"/>
      <c r="I867" s="28"/>
      <c r="J867" s="28"/>
      <c r="K867" s="28"/>
      <c r="L867" s="28"/>
      <c r="M867" s="22"/>
      <c r="N867" s="22"/>
      <c r="O867" s="22"/>
      <c r="P867" s="22"/>
      <c r="Q867" s="22"/>
      <c r="R867" s="28"/>
      <c r="S867" s="28"/>
      <c r="T867" s="28"/>
      <c r="U867" s="28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ht="15.75" customHeight="1" x14ac:dyDescent="0.15">
      <c r="A868" s="22"/>
      <c r="B868" s="22"/>
      <c r="C868" s="22"/>
      <c r="D868" s="22"/>
      <c r="E868" s="22"/>
      <c r="F868" s="28"/>
      <c r="G868" s="28"/>
      <c r="H868" s="28"/>
      <c r="I868" s="28"/>
      <c r="J868" s="28"/>
      <c r="K868" s="28"/>
      <c r="L868" s="28"/>
      <c r="M868" s="22"/>
      <c r="N868" s="22"/>
      <c r="O868" s="22"/>
      <c r="P868" s="22"/>
      <c r="Q868" s="22"/>
      <c r="R868" s="28"/>
      <c r="S868" s="28"/>
      <c r="T868" s="28"/>
      <c r="U868" s="28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ht="15.75" customHeight="1" x14ac:dyDescent="0.15">
      <c r="A869" s="22"/>
      <c r="B869" s="22"/>
      <c r="C869" s="22"/>
      <c r="D869" s="22"/>
      <c r="E869" s="22"/>
      <c r="F869" s="28"/>
      <c r="G869" s="28"/>
      <c r="H869" s="28"/>
      <c r="I869" s="28"/>
      <c r="J869" s="28"/>
      <c r="K869" s="28"/>
      <c r="L869" s="28"/>
      <c r="M869" s="22"/>
      <c r="N869" s="22"/>
      <c r="O869" s="22"/>
      <c r="P869" s="22"/>
      <c r="Q869" s="22"/>
      <c r="R869" s="28"/>
      <c r="S869" s="28"/>
      <c r="T869" s="28"/>
      <c r="U869" s="28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ht="15.75" customHeight="1" x14ac:dyDescent="0.15">
      <c r="A870" s="22"/>
      <c r="B870" s="22"/>
      <c r="C870" s="22"/>
      <c r="D870" s="22"/>
      <c r="E870" s="22"/>
      <c r="F870" s="28"/>
      <c r="G870" s="28"/>
      <c r="H870" s="28"/>
      <c r="I870" s="28"/>
      <c r="J870" s="28"/>
      <c r="K870" s="28"/>
      <c r="L870" s="28"/>
      <c r="M870" s="22"/>
      <c r="N870" s="22"/>
      <c r="O870" s="22"/>
      <c r="P870" s="22"/>
      <c r="Q870" s="22"/>
      <c r="R870" s="28"/>
      <c r="S870" s="28"/>
      <c r="T870" s="28"/>
      <c r="U870" s="28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ht="15.75" customHeight="1" x14ac:dyDescent="0.15">
      <c r="A871" s="22"/>
      <c r="B871" s="22"/>
      <c r="C871" s="22"/>
      <c r="D871" s="22"/>
      <c r="E871" s="22"/>
      <c r="F871" s="28"/>
      <c r="G871" s="28"/>
      <c r="H871" s="28"/>
      <c r="I871" s="28"/>
      <c r="J871" s="28"/>
      <c r="K871" s="28"/>
      <c r="L871" s="28"/>
      <c r="M871" s="22"/>
      <c r="N871" s="22"/>
      <c r="O871" s="22"/>
      <c r="P871" s="22"/>
      <c r="Q871" s="22"/>
      <c r="R871" s="28"/>
      <c r="S871" s="28"/>
      <c r="T871" s="28"/>
      <c r="U871" s="28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15.75" customHeight="1" x14ac:dyDescent="0.15">
      <c r="A872" s="22"/>
      <c r="B872" s="22"/>
      <c r="C872" s="22"/>
      <c r="D872" s="22"/>
      <c r="E872" s="22"/>
      <c r="F872" s="28"/>
      <c r="G872" s="28"/>
      <c r="H872" s="28"/>
      <c r="I872" s="28"/>
      <c r="J872" s="28"/>
      <c r="K872" s="28"/>
      <c r="L872" s="28"/>
      <c r="M872" s="22"/>
      <c r="N872" s="22"/>
      <c r="O872" s="22"/>
      <c r="P872" s="22"/>
      <c r="Q872" s="22"/>
      <c r="R872" s="28"/>
      <c r="S872" s="28"/>
      <c r="T872" s="28"/>
      <c r="U872" s="28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ht="15.75" customHeight="1" x14ac:dyDescent="0.15">
      <c r="A873" s="22"/>
      <c r="B873" s="22"/>
      <c r="C873" s="22"/>
      <c r="D873" s="22"/>
      <c r="E873" s="22"/>
      <c r="F873" s="28"/>
      <c r="G873" s="28"/>
      <c r="H873" s="28"/>
      <c r="I873" s="28"/>
      <c r="J873" s="28"/>
      <c r="K873" s="28"/>
      <c r="L873" s="28"/>
      <c r="M873" s="22"/>
      <c r="N873" s="22"/>
      <c r="O873" s="22"/>
      <c r="P873" s="22"/>
      <c r="Q873" s="22"/>
      <c r="R873" s="28"/>
      <c r="S873" s="28"/>
      <c r="T873" s="28"/>
      <c r="U873" s="28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ht="15.75" customHeight="1" x14ac:dyDescent="0.15">
      <c r="A874" s="22"/>
      <c r="B874" s="22"/>
      <c r="C874" s="22"/>
      <c r="D874" s="22"/>
      <c r="E874" s="22"/>
      <c r="F874" s="28"/>
      <c r="G874" s="28"/>
      <c r="H874" s="28"/>
      <c r="I874" s="28"/>
      <c r="J874" s="28"/>
      <c r="K874" s="28"/>
      <c r="L874" s="28"/>
      <c r="M874" s="22"/>
      <c r="N874" s="22"/>
      <c r="O874" s="22"/>
      <c r="P874" s="22"/>
      <c r="Q874" s="22"/>
      <c r="R874" s="28"/>
      <c r="S874" s="28"/>
      <c r="T874" s="28"/>
      <c r="U874" s="28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ht="15.75" customHeight="1" x14ac:dyDescent="0.15">
      <c r="A875" s="22"/>
      <c r="B875" s="22"/>
      <c r="C875" s="22"/>
      <c r="D875" s="22"/>
      <c r="E875" s="22"/>
      <c r="F875" s="28"/>
      <c r="G875" s="28"/>
      <c r="H875" s="28"/>
      <c r="I875" s="28"/>
      <c r="J875" s="28"/>
      <c r="K875" s="28"/>
      <c r="L875" s="28"/>
      <c r="M875" s="22"/>
      <c r="N875" s="22"/>
      <c r="O875" s="22"/>
      <c r="P875" s="22"/>
      <c r="Q875" s="22"/>
      <c r="R875" s="28"/>
      <c r="S875" s="28"/>
      <c r="T875" s="28"/>
      <c r="U875" s="28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ht="15.75" customHeight="1" x14ac:dyDescent="0.15">
      <c r="A876" s="22"/>
      <c r="B876" s="22"/>
      <c r="C876" s="22"/>
      <c r="D876" s="22"/>
      <c r="E876" s="22"/>
      <c r="F876" s="28"/>
      <c r="G876" s="28"/>
      <c r="H876" s="28"/>
      <c r="I876" s="28"/>
      <c r="J876" s="28"/>
      <c r="K876" s="28"/>
      <c r="L876" s="28"/>
      <c r="M876" s="22"/>
      <c r="N876" s="22"/>
      <c r="O876" s="22"/>
      <c r="P876" s="22"/>
      <c r="Q876" s="22"/>
      <c r="R876" s="28"/>
      <c r="S876" s="28"/>
      <c r="T876" s="28"/>
      <c r="U876" s="28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ht="15.75" customHeight="1" x14ac:dyDescent="0.15">
      <c r="A877" s="22"/>
      <c r="B877" s="22"/>
      <c r="C877" s="22"/>
      <c r="D877" s="22"/>
      <c r="E877" s="22"/>
      <c r="F877" s="28"/>
      <c r="G877" s="28"/>
      <c r="H877" s="28"/>
      <c r="I877" s="28"/>
      <c r="J877" s="28"/>
      <c r="K877" s="28"/>
      <c r="L877" s="28"/>
      <c r="M877" s="22"/>
      <c r="N877" s="22"/>
      <c r="O877" s="22"/>
      <c r="P877" s="22"/>
      <c r="Q877" s="22"/>
      <c r="R877" s="28"/>
      <c r="S877" s="28"/>
      <c r="T877" s="28"/>
      <c r="U877" s="28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ht="15.75" customHeight="1" x14ac:dyDescent="0.15">
      <c r="A878" s="22"/>
      <c r="B878" s="22"/>
      <c r="C878" s="22"/>
      <c r="D878" s="22"/>
      <c r="E878" s="22"/>
      <c r="F878" s="28"/>
      <c r="G878" s="28"/>
      <c r="H878" s="28"/>
      <c r="I878" s="28"/>
      <c r="J878" s="28"/>
      <c r="K878" s="28"/>
      <c r="L878" s="28"/>
      <c r="M878" s="22"/>
      <c r="N878" s="22"/>
      <c r="O878" s="22"/>
      <c r="P878" s="22"/>
      <c r="Q878" s="22"/>
      <c r="R878" s="28"/>
      <c r="S878" s="28"/>
      <c r="T878" s="28"/>
      <c r="U878" s="28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ht="15.75" customHeight="1" x14ac:dyDescent="0.15">
      <c r="A879" s="22"/>
      <c r="B879" s="22"/>
      <c r="C879" s="22"/>
      <c r="D879" s="22"/>
      <c r="E879" s="22"/>
      <c r="F879" s="28"/>
      <c r="G879" s="28"/>
      <c r="H879" s="28"/>
      <c r="I879" s="28"/>
      <c r="J879" s="28"/>
      <c r="K879" s="28"/>
      <c r="L879" s="28"/>
      <c r="M879" s="22"/>
      <c r="N879" s="22"/>
      <c r="O879" s="22"/>
      <c r="P879" s="22"/>
      <c r="Q879" s="22"/>
      <c r="R879" s="28"/>
      <c r="S879" s="28"/>
      <c r="T879" s="28"/>
      <c r="U879" s="28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ht="15.75" customHeight="1" x14ac:dyDescent="0.15">
      <c r="A880" s="22"/>
      <c r="B880" s="22"/>
      <c r="C880" s="22"/>
      <c r="D880" s="22"/>
      <c r="E880" s="22"/>
      <c r="F880" s="28"/>
      <c r="G880" s="28"/>
      <c r="H880" s="28"/>
      <c r="I880" s="28"/>
      <c r="J880" s="28"/>
      <c r="K880" s="28"/>
      <c r="L880" s="28"/>
      <c r="M880" s="22"/>
      <c r="N880" s="22"/>
      <c r="O880" s="22"/>
      <c r="P880" s="22"/>
      <c r="Q880" s="22"/>
      <c r="R880" s="28"/>
      <c r="S880" s="28"/>
      <c r="T880" s="28"/>
      <c r="U880" s="28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ht="15.75" customHeight="1" x14ac:dyDescent="0.15">
      <c r="A881" s="22"/>
      <c r="B881" s="22"/>
      <c r="C881" s="22"/>
      <c r="D881" s="22"/>
      <c r="E881" s="22"/>
      <c r="F881" s="28"/>
      <c r="G881" s="28"/>
      <c r="H881" s="28"/>
      <c r="I881" s="28"/>
      <c r="J881" s="28"/>
      <c r="K881" s="28"/>
      <c r="L881" s="28"/>
      <c r="M881" s="22"/>
      <c r="N881" s="22"/>
      <c r="O881" s="22"/>
      <c r="P881" s="22"/>
      <c r="Q881" s="22"/>
      <c r="R881" s="28"/>
      <c r="S881" s="28"/>
      <c r="T881" s="28"/>
      <c r="U881" s="28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ht="15.75" customHeight="1" x14ac:dyDescent="0.15">
      <c r="A882" s="22"/>
      <c r="B882" s="22"/>
      <c r="C882" s="22"/>
      <c r="D882" s="22"/>
      <c r="E882" s="22"/>
      <c r="F882" s="28"/>
      <c r="G882" s="28"/>
      <c r="H882" s="28"/>
      <c r="I882" s="28"/>
      <c r="J882" s="28"/>
      <c r="K882" s="28"/>
      <c r="L882" s="28"/>
      <c r="M882" s="22"/>
      <c r="N882" s="22"/>
      <c r="O882" s="22"/>
      <c r="P882" s="22"/>
      <c r="Q882" s="22"/>
      <c r="R882" s="28"/>
      <c r="S882" s="28"/>
      <c r="T882" s="28"/>
      <c r="U882" s="28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ht="15.75" customHeight="1" x14ac:dyDescent="0.15">
      <c r="A883" s="22"/>
      <c r="B883" s="22"/>
      <c r="C883" s="22"/>
      <c r="D883" s="22"/>
      <c r="E883" s="22"/>
      <c r="F883" s="28"/>
      <c r="G883" s="28"/>
      <c r="H883" s="28"/>
      <c r="I883" s="28"/>
      <c r="J883" s="28"/>
      <c r="K883" s="28"/>
      <c r="L883" s="28"/>
      <c r="M883" s="22"/>
      <c r="N883" s="22"/>
      <c r="O883" s="22"/>
      <c r="P883" s="22"/>
      <c r="Q883" s="22"/>
      <c r="R883" s="28"/>
      <c r="S883" s="28"/>
      <c r="T883" s="28"/>
      <c r="U883" s="28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ht="15.75" customHeight="1" x14ac:dyDescent="0.15">
      <c r="A884" s="22"/>
      <c r="B884" s="22"/>
      <c r="C884" s="22"/>
      <c r="D884" s="22"/>
      <c r="E884" s="22"/>
      <c r="F884" s="28"/>
      <c r="G884" s="28"/>
      <c r="H884" s="28"/>
      <c r="I884" s="28"/>
      <c r="J884" s="28"/>
      <c r="K884" s="28"/>
      <c r="L884" s="28"/>
      <c r="M884" s="22"/>
      <c r="N884" s="22"/>
      <c r="O884" s="22"/>
      <c r="P884" s="22"/>
      <c r="Q884" s="22"/>
      <c r="R884" s="28"/>
      <c r="S884" s="28"/>
      <c r="T884" s="28"/>
      <c r="U884" s="28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ht="15.75" customHeight="1" x14ac:dyDescent="0.15">
      <c r="A885" s="22"/>
      <c r="B885" s="22"/>
      <c r="C885" s="22"/>
      <c r="D885" s="22"/>
      <c r="E885" s="22"/>
      <c r="F885" s="28"/>
      <c r="G885" s="28"/>
      <c r="H885" s="28"/>
      <c r="I885" s="28"/>
      <c r="J885" s="28"/>
      <c r="K885" s="28"/>
      <c r="L885" s="28"/>
      <c r="M885" s="22"/>
      <c r="N885" s="22"/>
      <c r="O885" s="22"/>
      <c r="P885" s="22"/>
      <c r="Q885" s="22"/>
      <c r="R885" s="28"/>
      <c r="S885" s="28"/>
      <c r="T885" s="28"/>
      <c r="U885" s="28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ht="15.75" customHeight="1" x14ac:dyDescent="0.15">
      <c r="A886" s="22"/>
      <c r="B886" s="22"/>
      <c r="C886" s="22"/>
      <c r="D886" s="22"/>
      <c r="E886" s="22"/>
      <c r="F886" s="28"/>
      <c r="G886" s="28"/>
      <c r="H886" s="28"/>
      <c r="I886" s="28"/>
      <c r="J886" s="28"/>
      <c r="K886" s="28"/>
      <c r="L886" s="28"/>
      <c r="M886" s="22"/>
      <c r="N886" s="22"/>
      <c r="O886" s="22"/>
      <c r="P886" s="22"/>
      <c r="Q886" s="22"/>
      <c r="R886" s="28"/>
      <c r="S886" s="28"/>
      <c r="T886" s="28"/>
      <c r="U886" s="28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ht="15.75" customHeight="1" x14ac:dyDescent="0.15">
      <c r="A887" s="22"/>
      <c r="B887" s="22"/>
      <c r="C887" s="22"/>
      <c r="D887" s="22"/>
      <c r="E887" s="22"/>
      <c r="F887" s="28"/>
      <c r="G887" s="28"/>
      <c r="H887" s="28"/>
      <c r="I887" s="28"/>
      <c r="J887" s="28"/>
      <c r="K887" s="28"/>
      <c r="L887" s="28"/>
      <c r="M887" s="22"/>
      <c r="N887" s="22"/>
      <c r="O887" s="22"/>
      <c r="P887" s="22"/>
      <c r="Q887" s="22"/>
      <c r="R887" s="28"/>
      <c r="S887" s="28"/>
      <c r="T887" s="28"/>
      <c r="U887" s="28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ht="15.75" customHeight="1" x14ac:dyDescent="0.15">
      <c r="A888" s="22"/>
      <c r="B888" s="22"/>
      <c r="C888" s="22"/>
      <c r="D888" s="22"/>
      <c r="E888" s="22"/>
      <c r="F888" s="28"/>
      <c r="G888" s="28"/>
      <c r="H888" s="28"/>
      <c r="I888" s="28"/>
      <c r="J888" s="28"/>
      <c r="K888" s="28"/>
      <c r="L888" s="28"/>
      <c r="M888" s="22"/>
      <c r="N888" s="22"/>
      <c r="O888" s="22"/>
      <c r="P888" s="22"/>
      <c r="Q888" s="22"/>
      <c r="R888" s="28"/>
      <c r="S888" s="28"/>
      <c r="T888" s="28"/>
      <c r="U888" s="28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ht="15.75" customHeight="1" x14ac:dyDescent="0.15">
      <c r="A889" s="22"/>
      <c r="B889" s="22"/>
      <c r="C889" s="22"/>
      <c r="D889" s="22"/>
      <c r="E889" s="22"/>
      <c r="F889" s="28"/>
      <c r="G889" s="28"/>
      <c r="H889" s="28"/>
      <c r="I889" s="28"/>
      <c r="J889" s="28"/>
      <c r="K889" s="28"/>
      <c r="L889" s="28"/>
      <c r="M889" s="22"/>
      <c r="N889" s="22"/>
      <c r="O889" s="22"/>
      <c r="P889" s="22"/>
      <c r="Q889" s="22"/>
      <c r="R889" s="28"/>
      <c r="S889" s="28"/>
      <c r="T889" s="28"/>
      <c r="U889" s="28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ht="15.75" customHeight="1" x14ac:dyDescent="0.15">
      <c r="A890" s="22"/>
      <c r="B890" s="22"/>
      <c r="C890" s="22"/>
      <c r="D890" s="22"/>
      <c r="E890" s="22"/>
      <c r="F890" s="28"/>
      <c r="G890" s="28"/>
      <c r="H890" s="28"/>
      <c r="I890" s="28"/>
      <c r="J890" s="28"/>
      <c r="K890" s="28"/>
      <c r="L890" s="28"/>
      <c r="M890" s="22"/>
      <c r="N890" s="22"/>
      <c r="O890" s="22"/>
      <c r="P890" s="22"/>
      <c r="Q890" s="22"/>
      <c r="R890" s="28"/>
      <c r="S890" s="28"/>
      <c r="T890" s="28"/>
      <c r="U890" s="28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ht="15.75" customHeight="1" x14ac:dyDescent="0.15">
      <c r="A891" s="22"/>
      <c r="B891" s="22"/>
      <c r="C891" s="22"/>
      <c r="D891" s="22"/>
      <c r="E891" s="22"/>
      <c r="F891" s="28"/>
      <c r="G891" s="28"/>
      <c r="H891" s="28"/>
      <c r="I891" s="28"/>
      <c r="J891" s="28"/>
      <c r="K891" s="28"/>
      <c r="L891" s="28"/>
      <c r="M891" s="22"/>
      <c r="N891" s="22"/>
      <c r="O891" s="22"/>
      <c r="P891" s="22"/>
      <c r="Q891" s="22"/>
      <c r="R891" s="28"/>
      <c r="S891" s="28"/>
      <c r="T891" s="28"/>
      <c r="U891" s="28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ht="15.75" customHeight="1" x14ac:dyDescent="0.15">
      <c r="A892" s="22"/>
      <c r="B892" s="22"/>
      <c r="C892" s="22"/>
      <c r="D892" s="22"/>
      <c r="E892" s="22"/>
      <c r="F892" s="28"/>
      <c r="G892" s="28"/>
      <c r="H892" s="28"/>
      <c r="I892" s="28"/>
      <c r="J892" s="28"/>
      <c r="K892" s="28"/>
      <c r="L892" s="28"/>
      <c r="M892" s="22"/>
      <c r="N892" s="22"/>
      <c r="O892" s="22"/>
      <c r="P892" s="22"/>
      <c r="Q892" s="22"/>
      <c r="R892" s="28"/>
      <c r="S892" s="28"/>
      <c r="T892" s="28"/>
      <c r="U892" s="28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ht="15.75" customHeight="1" x14ac:dyDescent="0.15">
      <c r="A893" s="22"/>
      <c r="B893" s="22"/>
      <c r="C893" s="22"/>
      <c r="D893" s="22"/>
      <c r="E893" s="22"/>
      <c r="F893" s="28"/>
      <c r="G893" s="28"/>
      <c r="H893" s="28"/>
      <c r="I893" s="28"/>
      <c r="J893" s="28"/>
      <c r="K893" s="28"/>
      <c r="L893" s="28"/>
      <c r="M893" s="22"/>
      <c r="N893" s="22"/>
      <c r="O893" s="22"/>
      <c r="P893" s="22"/>
      <c r="Q893" s="22"/>
      <c r="R893" s="28"/>
      <c r="S893" s="28"/>
      <c r="T893" s="28"/>
      <c r="U893" s="28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ht="15.75" customHeight="1" x14ac:dyDescent="0.15">
      <c r="A894" s="22"/>
      <c r="B894" s="22"/>
      <c r="C894" s="22"/>
      <c r="D894" s="22"/>
      <c r="E894" s="22"/>
      <c r="F894" s="28"/>
      <c r="G894" s="28"/>
      <c r="H894" s="28"/>
      <c r="I894" s="28"/>
      <c r="J894" s="28"/>
      <c r="K894" s="28"/>
      <c r="L894" s="28"/>
      <c r="M894" s="22"/>
      <c r="N894" s="22"/>
      <c r="O894" s="22"/>
      <c r="P894" s="22"/>
      <c r="Q894" s="22"/>
      <c r="R894" s="28"/>
      <c r="S894" s="28"/>
      <c r="T894" s="28"/>
      <c r="U894" s="28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ht="15.75" customHeight="1" x14ac:dyDescent="0.15">
      <c r="A895" s="22"/>
      <c r="B895" s="22"/>
      <c r="C895" s="22"/>
      <c r="D895" s="22"/>
      <c r="E895" s="22"/>
      <c r="F895" s="28"/>
      <c r="G895" s="28"/>
      <c r="H895" s="28"/>
      <c r="I895" s="28"/>
      <c r="J895" s="28"/>
      <c r="K895" s="28"/>
      <c r="L895" s="28"/>
      <c r="M895" s="22"/>
      <c r="N895" s="22"/>
      <c r="O895" s="22"/>
      <c r="P895" s="22"/>
      <c r="Q895" s="22"/>
      <c r="R895" s="28"/>
      <c r="S895" s="28"/>
      <c r="T895" s="28"/>
      <c r="U895" s="28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ht="15.75" customHeight="1" x14ac:dyDescent="0.15">
      <c r="A896" s="22"/>
      <c r="B896" s="22"/>
      <c r="C896" s="22"/>
      <c r="D896" s="22"/>
      <c r="E896" s="22"/>
      <c r="F896" s="28"/>
      <c r="G896" s="28"/>
      <c r="H896" s="28"/>
      <c r="I896" s="28"/>
      <c r="J896" s="28"/>
      <c r="K896" s="28"/>
      <c r="L896" s="28"/>
      <c r="M896" s="22"/>
      <c r="N896" s="22"/>
      <c r="O896" s="22"/>
      <c r="P896" s="22"/>
      <c r="Q896" s="22"/>
      <c r="R896" s="28"/>
      <c r="S896" s="28"/>
      <c r="T896" s="28"/>
      <c r="U896" s="28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ht="15.75" customHeight="1" x14ac:dyDescent="0.15">
      <c r="A897" s="22"/>
      <c r="B897" s="22"/>
      <c r="C897" s="22"/>
      <c r="D897" s="22"/>
      <c r="E897" s="22"/>
      <c r="F897" s="28"/>
      <c r="G897" s="28"/>
      <c r="H897" s="28"/>
      <c r="I897" s="28"/>
      <c r="J897" s="28"/>
      <c r="K897" s="28"/>
      <c r="L897" s="28"/>
      <c r="M897" s="22"/>
      <c r="N897" s="22"/>
      <c r="O897" s="22"/>
      <c r="P897" s="22"/>
      <c r="Q897" s="22"/>
      <c r="R897" s="28"/>
      <c r="S897" s="28"/>
      <c r="T897" s="28"/>
      <c r="U897" s="28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ht="15.75" customHeight="1" x14ac:dyDescent="0.15">
      <c r="A898" s="22"/>
      <c r="B898" s="22"/>
      <c r="C898" s="22"/>
      <c r="D898" s="22"/>
      <c r="E898" s="22"/>
      <c r="F898" s="28"/>
      <c r="G898" s="28"/>
      <c r="H898" s="28"/>
      <c r="I898" s="28"/>
      <c r="J898" s="28"/>
      <c r="K898" s="28"/>
      <c r="L898" s="28"/>
      <c r="M898" s="22"/>
      <c r="N898" s="22"/>
      <c r="O898" s="22"/>
      <c r="P898" s="22"/>
      <c r="Q898" s="22"/>
      <c r="R898" s="28"/>
      <c r="S898" s="28"/>
      <c r="T898" s="28"/>
      <c r="U898" s="28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ht="15.75" customHeight="1" x14ac:dyDescent="0.15">
      <c r="A899" s="22"/>
      <c r="B899" s="22"/>
      <c r="C899" s="22"/>
      <c r="D899" s="22"/>
      <c r="E899" s="22"/>
      <c r="F899" s="28"/>
      <c r="G899" s="28"/>
      <c r="H899" s="28"/>
      <c r="I899" s="28"/>
      <c r="J899" s="28"/>
      <c r="K899" s="28"/>
      <c r="L899" s="28"/>
      <c r="M899" s="22"/>
      <c r="N899" s="22"/>
      <c r="O899" s="22"/>
      <c r="P899" s="22"/>
      <c r="Q899" s="22"/>
      <c r="R899" s="28"/>
      <c r="S899" s="28"/>
      <c r="T899" s="28"/>
      <c r="U899" s="28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ht="15.75" customHeight="1" x14ac:dyDescent="0.15">
      <c r="A900" s="22"/>
      <c r="B900" s="22"/>
      <c r="C900" s="22"/>
      <c r="D900" s="22"/>
      <c r="E900" s="22"/>
      <c r="F900" s="28"/>
      <c r="G900" s="28"/>
      <c r="H900" s="28"/>
      <c r="I900" s="28"/>
      <c r="J900" s="28"/>
      <c r="K900" s="28"/>
      <c r="L900" s="28"/>
      <c r="M900" s="22"/>
      <c r="N900" s="22"/>
      <c r="O900" s="22"/>
      <c r="P900" s="22"/>
      <c r="Q900" s="22"/>
      <c r="R900" s="28"/>
      <c r="S900" s="28"/>
      <c r="T900" s="28"/>
      <c r="U900" s="28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ht="15.75" customHeight="1" x14ac:dyDescent="0.15">
      <c r="A901" s="22"/>
      <c r="B901" s="22"/>
      <c r="C901" s="22"/>
      <c r="D901" s="22"/>
      <c r="E901" s="22"/>
      <c r="F901" s="28"/>
      <c r="G901" s="28"/>
      <c r="H901" s="28"/>
      <c r="I901" s="28"/>
      <c r="J901" s="28"/>
      <c r="K901" s="28"/>
      <c r="L901" s="28"/>
      <c r="M901" s="22"/>
      <c r="N901" s="22"/>
      <c r="O901" s="22"/>
      <c r="P901" s="22"/>
      <c r="Q901" s="22"/>
      <c r="R901" s="28"/>
      <c r="S901" s="28"/>
      <c r="T901" s="28"/>
      <c r="U901" s="28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ht="15.75" customHeight="1" x14ac:dyDescent="0.15">
      <c r="A902" s="22"/>
      <c r="B902" s="22"/>
      <c r="C902" s="22"/>
      <c r="D902" s="22"/>
      <c r="E902" s="22"/>
      <c r="F902" s="28"/>
      <c r="G902" s="28"/>
      <c r="H902" s="28"/>
      <c r="I902" s="28"/>
      <c r="J902" s="28"/>
      <c r="K902" s="28"/>
      <c r="L902" s="28"/>
      <c r="M902" s="22"/>
      <c r="N902" s="22"/>
      <c r="O902" s="22"/>
      <c r="P902" s="22"/>
      <c r="Q902" s="22"/>
      <c r="R902" s="28"/>
      <c r="S902" s="28"/>
      <c r="T902" s="28"/>
      <c r="U902" s="28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ht="15.75" customHeight="1" x14ac:dyDescent="0.15">
      <c r="A903" s="22"/>
      <c r="B903" s="22"/>
      <c r="C903" s="22"/>
      <c r="D903" s="22"/>
      <c r="E903" s="22"/>
      <c r="F903" s="28"/>
      <c r="G903" s="28"/>
      <c r="H903" s="28"/>
      <c r="I903" s="28"/>
      <c r="J903" s="28"/>
      <c r="K903" s="28"/>
      <c r="L903" s="28"/>
      <c r="M903" s="22"/>
      <c r="N903" s="22"/>
      <c r="O903" s="22"/>
      <c r="P903" s="22"/>
      <c r="Q903" s="22"/>
      <c r="R903" s="28"/>
      <c r="S903" s="28"/>
      <c r="T903" s="28"/>
      <c r="U903" s="28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ht="15.75" customHeight="1" x14ac:dyDescent="0.15">
      <c r="A904" s="22"/>
      <c r="B904" s="22"/>
      <c r="C904" s="22"/>
      <c r="D904" s="22"/>
      <c r="E904" s="22"/>
      <c r="F904" s="28"/>
      <c r="G904" s="28"/>
      <c r="H904" s="28"/>
      <c r="I904" s="28"/>
      <c r="J904" s="28"/>
      <c r="K904" s="28"/>
      <c r="L904" s="28"/>
      <c r="M904" s="22"/>
      <c r="N904" s="22"/>
      <c r="O904" s="22"/>
      <c r="P904" s="22"/>
      <c r="Q904" s="22"/>
      <c r="R904" s="28"/>
      <c r="S904" s="28"/>
      <c r="T904" s="28"/>
      <c r="U904" s="28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ht="15.75" customHeight="1" x14ac:dyDescent="0.15">
      <c r="A905" s="22"/>
      <c r="B905" s="22"/>
      <c r="C905" s="22"/>
      <c r="D905" s="22"/>
      <c r="E905" s="22"/>
      <c r="F905" s="28"/>
      <c r="G905" s="28"/>
      <c r="H905" s="28"/>
      <c r="I905" s="28"/>
      <c r="J905" s="28"/>
      <c r="K905" s="28"/>
      <c r="L905" s="28"/>
      <c r="M905" s="22"/>
      <c r="N905" s="22"/>
      <c r="O905" s="22"/>
      <c r="P905" s="22"/>
      <c r="Q905" s="22"/>
      <c r="R905" s="28"/>
      <c r="S905" s="28"/>
      <c r="T905" s="28"/>
      <c r="U905" s="28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ht="15.75" customHeight="1" x14ac:dyDescent="0.15">
      <c r="A906" s="22"/>
      <c r="B906" s="22"/>
      <c r="C906" s="22"/>
      <c r="D906" s="22"/>
      <c r="E906" s="22"/>
      <c r="F906" s="28"/>
      <c r="G906" s="28"/>
      <c r="H906" s="28"/>
      <c r="I906" s="28"/>
      <c r="J906" s="28"/>
      <c r="K906" s="28"/>
      <c r="L906" s="28"/>
      <c r="M906" s="22"/>
      <c r="N906" s="22"/>
      <c r="O906" s="22"/>
      <c r="P906" s="22"/>
      <c r="Q906" s="22"/>
      <c r="R906" s="28"/>
      <c r="S906" s="28"/>
      <c r="T906" s="28"/>
      <c r="U906" s="28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ht="15.75" customHeight="1" x14ac:dyDescent="0.15">
      <c r="A907" s="22"/>
      <c r="B907" s="22"/>
      <c r="C907" s="22"/>
      <c r="D907" s="22"/>
      <c r="E907" s="22"/>
      <c r="F907" s="28"/>
      <c r="G907" s="28"/>
      <c r="H907" s="28"/>
      <c r="I907" s="28"/>
      <c r="J907" s="28"/>
      <c r="K907" s="28"/>
      <c r="L907" s="28"/>
      <c r="M907" s="22"/>
      <c r="N907" s="22"/>
      <c r="O907" s="22"/>
      <c r="P907" s="22"/>
      <c r="Q907" s="22"/>
      <c r="R907" s="28"/>
      <c r="S907" s="28"/>
      <c r="T907" s="28"/>
      <c r="U907" s="28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ht="15.75" customHeight="1" x14ac:dyDescent="0.15">
      <c r="A908" s="22"/>
      <c r="B908" s="22"/>
      <c r="C908" s="22"/>
      <c r="D908" s="22"/>
      <c r="E908" s="22"/>
      <c r="F908" s="28"/>
      <c r="G908" s="28"/>
      <c r="H908" s="28"/>
      <c r="I908" s="28"/>
      <c r="J908" s="28"/>
      <c r="K908" s="28"/>
      <c r="L908" s="28"/>
      <c r="M908" s="22"/>
      <c r="N908" s="22"/>
      <c r="O908" s="22"/>
      <c r="P908" s="22"/>
      <c r="Q908" s="22"/>
      <c r="R908" s="28"/>
      <c r="S908" s="28"/>
      <c r="T908" s="28"/>
      <c r="U908" s="28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ht="15.75" customHeight="1" x14ac:dyDescent="0.15">
      <c r="A909" s="22"/>
      <c r="B909" s="22"/>
      <c r="C909" s="22"/>
      <c r="D909" s="22"/>
      <c r="E909" s="22"/>
      <c r="F909" s="28"/>
      <c r="G909" s="28"/>
      <c r="H909" s="28"/>
      <c r="I909" s="28"/>
      <c r="J909" s="28"/>
      <c r="K909" s="28"/>
      <c r="L909" s="28"/>
      <c r="M909" s="22"/>
      <c r="N909" s="22"/>
      <c r="O909" s="22"/>
      <c r="P909" s="22"/>
      <c r="Q909" s="22"/>
      <c r="R909" s="28"/>
      <c r="S909" s="28"/>
      <c r="T909" s="28"/>
      <c r="U909" s="28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ht="15.75" customHeight="1" x14ac:dyDescent="0.15">
      <c r="A910" s="22"/>
      <c r="B910" s="22"/>
      <c r="C910" s="22"/>
      <c r="D910" s="22"/>
      <c r="E910" s="22"/>
      <c r="F910" s="28"/>
      <c r="G910" s="28"/>
      <c r="H910" s="28"/>
      <c r="I910" s="28"/>
      <c r="J910" s="28"/>
      <c r="K910" s="28"/>
      <c r="L910" s="28"/>
      <c r="M910" s="22"/>
      <c r="N910" s="22"/>
      <c r="O910" s="22"/>
      <c r="P910" s="22"/>
      <c r="Q910" s="22"/>
      <c r="R910" s="28"/>
      <c r="S910" s="28"/>
      <c r="T910" s="28"/>
      <c r="U910" s="28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ht="15.75" customHeight="1" x14ac:dyDescent="0.15">
      <c r="A911" s="22"/>
      <c r="B911" s="22"/>
      <c r="C911" s="22"/>
      <c r="D911" s="22"/>
      <c r="E911" s="22"/>
      <c r="F911" s="28"/>
      <c r="G911" s="28"/>
      <c r="H911" s="28"/>
      <c r="I911" s="28"/>
      <c r="J911" s="28"/>
      <c r="K911" s="28"/>
      <c r="L911" s="28"/>
      <c r="M911" s="22"/>
      <c r="N911" s="22"/>
      <c r="O911" s="22"/>
      <c r="P911" s="22"/>
      <c r="Q911" s="22"/>
      <c r="R911" s="28"/>
      <c r="S911" s="28"/>
      <c r="T911" s="28"/>
      <c r="U911" s="28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ht="15.75" customHeight="1" x14ac:dyDescent="0.15">
      <c r="A912" s="22"/>
      <c r="B912" s="22"/>
      <c r="C912" s="22"/>
      <c r="D912" s="22"/>
      <c r="E912" s="22"/>
      <c r="F912" s="28"/>
      <c r="G912" s="28"/>
      <c r="H912" s="28"/>
      <c r="I912" s="28"/>
      <c r="J912" s="28"/>
      <c r="K912" s="28"/>
      <c r="L912" s="28"/>
      <c r="M912" s="22"/>
      <c r="N912" s="22"/>
      <c r="O912" s="22"/>
      <c r="P912" s="22"/>
      <c r="Q912" s="22"/>
      <c r="R912" s="28"/>
      <c r="S912" s="28"/>
      <c r="T912" s="28"/>
      <c r="U912" s="28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ht="15.75" customHeight="1" x14ac:dyDescent="0.15">
      <c r="A913" s="22"/>
      <c r="B913" s="22"/>
      <c r="C913" s="22"/>
      <c r="D913" s="22"/>
      <c r="E913" s="22"/>
      <c r="F913" s="28"/>
      <c r="G913" s="28"/>
      <c r="H913" s="28"/>
      <c r="I913" s="28"/>
      <c r="J913" s="28"/>
      <c r="K913" s="28"/>
      <c r="L913" s="28"/>
      <c r="M913" s="22"/>
      <c r="N913" s="22"/>
      <c r="O913" s="22"/>
      <c r="P913" s="22"/>
      <c r="Q913" s="22"/>
      <c r="R913" s="28"/>
      <c r="S913" s="28"/>
      <c r="T913" s="28"/>
      <c r="U913" s="28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ht="15.75" customHeight="1" x14ac:dyDescent="0.15">
      <c r="A914" s="22"/>
      <c r="B914" s="22"/>
      <c r="C914" s="22"/>
      <c r="D914" s="22"/>
      <c r="E914" s="22"/>
      <c r="F914" s="28"/>
      <c r="G914" s="28"/>
      <c r="H914" s="28"/>
      <c r="I914" s="28"/>
      <c r="J914" s="28"/>
      <c r="K914" s="28"/>
      <c r="L914" s="28"/>
      <c r="M914" s="22"/>
      <c r="N914" s="22"/>
      <c r="O914" s="22"/>
      <c r="P914" s="22"/>
      <c r="Q914" s="22"/>
      <c r="R914" s="28"/>
      <c r="S914" s="28"/>
      <c r="T914" s="28"/>
      <c r="U914" s="28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ht="15.75" customHeight="1" x14ac:dyDescent="0.15">
      <c r="A915" s="22"/>
      <c r="B915" s="22"/>
      <c r="C915" s="22"/>
      <c r="D915" s="22"/>
      <c r="E915" s="22"/>
      <c r="F915" s="28"/>
      <c r="G915" s="28"/>
      <c r="H915" s="28"/>
      <c r="I915" s="28"/>
      <c r="J915" s="28"/>
      <c r="K915" s="28"/>
      <c r="L915" s="28"/>
      <c r="M915" s="22"/>
      <c r="N915" s="22"/>
      <c r="O915" s="22"/>
      <c r="P915" s="22"/>
      <c r="Q915" s="22"/>
      <c r="R915" s="28"/>
      <c r="S915" s="28"/>
      <c r="T915" s="28"/>
      <c r="U915" s="28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ht="15.75" customHeight="1" x14ac:dyDescent="0.15">
      <c r="A916" s="22"/>
      <c r="B916" s="22"/>
      <c r="C916" s="22"/>
      <c r="D916" s="22"/>
      <c r="E916" s="22"/>
      <c r="F916" s="28"/>
      <c r="G916" s="28"/>
      <c r="H916" s="28"/>
      <c r="I916" s="28"/>
      <c r="J916" s="28"/>
      <c r="K916" s="28"/>
      <c r="L916" s="28"/>
      <c r="M916" s="22"/>
      <c r="N916" s="22"/>
      <c r="O916" s="22"/>
      <c r="P916" s="22"/>
      <c r="Q916" s="22"/>
      <c r="R916" s="28"/>
      <c r="S916" s="28"/>
      <c r="T916" s="28"/>
      <c r="U916" s="28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ht="15.75" customHeight="1" x14ac:dyDescent="0.15">
      <c r="A917" s="22"/>
      <c r="B917" s="22"/>
      <c r="C917" s="22"/>
      <c r="D917" s="22"/>
      <c r="E917" s="22"/>
      <c r="F917" s="28"/>
      <c r="G917" s="28"/>
      <c r="H917" s="28"/>
      <c r="I917" s="28"/>
      <c r="J917" s="28"/>
      <c r="K917" s="28"/>
      <c r="L917" s="28"/>
      <c r="M917" s="22"/>
      <c r="N917" s="22"/>
      <c r="O917" s="22"/>
      <c r="P917" s="22"/>
      <c r="Q917" s="22"/>
      <c r="R917" s="28"/>
      <c r="S917" s="28"/>
      <c r="T917" s="28"/>
      <c r="U917" s="28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ht="15.75" customHeight="1" x14ac:dyDescent="0.15">
      <c r="A918" s="22"/>
      <c r="B918" s="22"/>
      <c r="C918" s="22"/>
      <c r="D918" s="22"/>
      <c r="E918" s="22"/>
      <c r="F918" s="28"/>
      <c r="G918" s="28"/>
      <c r="H918" s="28"/>
      <c r="I918" s="28"/>
      <c r="J918" s="28"/>
      <c r="K918" s="28"/>
      <c r="L918" s="28"/>
      <c r="M918" s="22"/>
      <c r="N918" s="22"/>
      <c r="O918" s="22"/>
      <c r="P918" s="22"/>
      <c r="Q918" s="22"/>
      <c r="R918" s="28"/>
      <c r="S918" s="28"/>
      <c r="T918" s="28"/>
      <c r="U918" s="28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ht="15.75" customHeight="1" x14ac:dyDescent="0.15">
      <c r="A919" s="22"/>
      <c r="B919" s="22"/>
      <c r="C919" s="22"/>
      <c r="D919" s="22"/>
      <c r="E919" s="22"/>
      <c r="F919" s="28"/>
      <c r="G919" s="28"/>
      <c r="H919" s="28"/>
      <c r="I919" s="28"/>
      <c r="J919" s="28"/>
      <c r="K919" s="28"/>
      <c r="L919" s="28"/>
      <c r="M919" s="22"/>
      <c r="N919" s="22"/>
      <c r="O919" s="22"/>
      <c r="P919" s="22"/>
      <c r="Q919" s="22"/>
      <c r="R919" s="28"/>
      <c r="S919" s="28"/>
      <c r="T919" s="28"/>
      <c r="U919" s="28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ht="15.75" customHeight="1" x14ac:dyDescent="0.15">
      <c r="A920" s="22"/>
      <c r="B920" s="22"/>
      <c r="C920" s="22"/>
      <c r="D920" s="22"/>
      <c r="E920" s="22"/>
      <c r="F920" s="28"/>
      <c r="G920" s="28"/>
      <c r="H920" s="28"/>
      <c r="I920" s="28"/>
      <c r="J920" s="28"/>
      <c r="K920" s="28"/>
      <c r="L920" s="28"/>
      <c r="M920" s="22"/>
      <c r="N920" s="22"/>
      <c r="O920" s="22"/>
      <c r="P920" s="22"/>
      <c r="Q920" s="22"/>
      <c r="R920" s="28"/>
      <c r="S920" s="28"/>
      <c r="T920" s="28"/>
      <c r="U920" s="28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ht="15.75" customHeight="1" x14ac:dyDescent="0.15">
      <c r="A921" s="22"/>
      <c r="B921" s="22"/>
      <c r="C921" s="22"/>
      <c r="D921" s="22"/>
      <c r="E921" s="22"/>
      <c r="F921" s="28"/>
      <c r="G921" s="28"/>
      <c r="H921" s="28"/>
      <c r="I921" s="28"/>
      <c r="J921" s="28"/>
      <c r="K921" s="28"/>
      <c r="L921" s="28"/>
      <c r="M921" s="22"/>
      <c r="N921" s="22"/>
      <c r="O921" s="22"/>
      <c r="P921" s="22"/>
      <c r="Q921" s="22"/>
      <c r="R921" s="28"/>
      <c r="S921" s="28"/>
      <c r="T921" s="28"/>
      <c r="U921" s="28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ht="15.75" customHeight="1" x14ac:dyDescent="0.15">
      <c r="A922" s="22"/>
      <c r="B922" s="22"/>
      <c r="C922" s="22"/>
      <c r="D922" s="22"/>
      <c r="E922" s="22"/>
      <c r="F922" s="28"/>
      <c r="G922" s="28"/>
      <c r="H922" s="28"/>
      <c r="I922" s="28"/>
      <c r="J922" s="28"/>
      <c r="K922" s="28"/>
      <c r="L922" s="28"/>
      <c r="M922" s="22"/>
      <c r="N922" s="22"/>
      <c r="O922" s="22"/>
      <c r="P922" s="22"/>
      <c r="Q922" s="22"/>
      <c r="R922" s="28"/>
      <c r="S922" s="28"/>
      <c r="T922" s="28"/>
      <c r="U922" s="28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ht="15.75" customHeight="1" x14ac:dyDescent="0.15">
      <c r="A923" s="22"/>
      <c r="B923" s="22"/>
      <c r="C923" s="22"/>
      <c r="D923" s="22"/>
      <c r="E923" s="22"/>
      <c r="F923" s="28"/>
      <c r="G923" s="28"/>
      <c r="H923" s="28"/>
      <c r="I923" s="28"/>
      <c r="J923" s="28"/>
      <c r="K923" s="28"/>
      <c r="L923" s="28"/>
      <c r="M923" s="22"/>
      <c r="N923" s="22"/>
      <c r="O923" s="22"/>
      <c r="P923" s="22"/>
      <c r="Q923" s="22"/>
      <c r="R923" s="28"/>
      <c r="S923" s="28"/>
      <c r="T923" s="28"/>
      <c r="U923" s="28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ht="15.75" customHeight="1" x14ac:dyDescent="0.15">
      <c r="A924" s="22"/>
      <c r="B924" s="22"/>
      <c r="C924" s="22"/>
      <c r="D924" s="22"/>
      <c r="E924" s="22"/>
      <c r="F924" s="28"/>
      <c r="G924" s="28"/>
      <c r="H924" s="28"/>
      <c r="I924" s="28"/>
      <c r="J924" s="28"/>
      <c r="K924" s="28"/>
      <c r="L924" s="28"/>
      <c r="M924" s="22"/>
      <c r="N924" s="22"/>
      <c r="O924" s="22"/>
      <c r="P924" s="22"/>
      <c r="Q924" s="22"/>
      <c r="R924" s="28"/>
      <c r="S924" s="28"/>
      <c r="T924" s="28"/>
      <c r="U924" s="28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ht="15.75" customHeight="1" x14ac:dyDescent="0.15">
      <c r="A925" s="22"/>
      <c r="B925" s="22"/>
      <c r="C925" s="22"/>
      <c r="D925" s="22"/>
      <c r="E925" s="22"/>
      <c r="F925" s="28"/>
      <c r="G925" s="28"/>
      <c r="H925" s="28"/>
      <c r="I925" s="28"/>
      <c r="J925" s="28"/>
      <c r="K925" s="28"/>
      <c r="L925" s="28"/>
      <c r="M925" s="22"/>
      <c r="N925" s="22"/>
      <c r="O925" s="22"/>
      <c r="P925" s="22"/>
      <c r="Q925" s="22"/>
      <c r="R925" s="28"/>
      <c r="S925" s="28"/>
      <c r="T925" s="28"/>
      <c r="U925" s="28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ht="15.75" customHeight="1" x14ac:dyDescent="0.15">
      <c r="A926" s="22"/>
      <c r="B926" s="22"/>
      <c r="C926" s="22"/>
      <c r="D926" s="22"/>
      <c r="E926" s="22"/>
      <c r="F926" s="28"/>
      <c r="G926" s="28"/>
      <c r="H926" s="28"/>
      <c r="I926" s="28"/>
      <c r="J926" s="28"/>
      <c r="K926" s="28"/>
      <c r="L926" s="28"/>
      <c r="M926" s="22"/>
      <c r="N926" s="22"/>
      <c r="O926" s="22"/>
      <c r="P926" s="22"/>
      <c r="Q926" s="22"/>
      <c r="R926" s="28"/>
      <c r="S926" s="28"/>
      <c r="T926" s="28"/>
      <c r="U926" s="28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ht="15.75" customHeight="1" x14ac:dyDescent="0.15">
      <c r="A927" s="22"/>
      <c r="B927" s="22"/>
      <c r="C927" s="22"/>
      <c r="D927" s="22"/>
      <c r="E927" s="22"/>
      <c r="F927" s="28"/>
      <c r="G927" s="28"/>
      <c r="H927" s="28"/>
      <c r="I927" s="28"/>
      <c r="J927" s="28"/>
      <c r="K927" s="28"/>
      <c r="L927" s="28"/>
      <c r="M927" s="22"/>
      <c r="N927" s="22"/>
      <c r="O927" s="22"/>
      <c r="P927" s="22"/>
      <c r="Q927" s="22"/>
      <c r="R927" s="28"/>
      <c r="S927" s="28"/>
      <c r="T927" s="28"/>
      <c r="U927" s="28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ht="15.75" customHeight="1" x14ac:dyDescent="0.15">
      <c r="A928" s="22"/>
      <c r="B928" s="22"/>
      <c r="C928" s="22"/>
      <c r="D928" s="22"/>
      <c r="E928" s="22"/>
      <c r="F928" s="28"/>
      <c r="G928" s="28"/>
      <c r="H928" s="28"/>
      <c r="I928" s="28"/>
      <c r="J928" s="28"/>
      <c r="K928" s="28"/>
      <c r="L928" s="28"/>
      <c r="M928" s="22"/>
      <c r="N928" s="22"/>
      <c r="O928" s="22"/>
      <c r="P928" s="22"/>
      <c r="Q928" s="22"/>
      <c r="R928" s="28"/>
      <c r="S928" s="28"/>
      <c r="T928" s="28"/>
      <c r="U928" s="28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ht="15.75" customHeight="1" x14ac:dyDescent="0.15">
      <c r="A929" s="22"/>
      <c r="B929" s="22"/>
      <c r="C929" s="22"/>
      <c r="D929" s="22"/>
      <c r="E929" s="22"/>
      <c r="F929" s="28"/>
      <c r="G929" s="28"/>
      <c r="H929" s="28"/>
      <c r="I929" s="28"/>
      <c r="J929" s="28"/>
      <c r="K929" s="28"/>
      <c r="L929" s="28"/>
      <c r="M929" s="22"/>
      <c r="N929" s="22"/>
      <c r="O929" s="22"/>
      <c r="P929" s="22"/>
      <c r="Q929" s="22"/>
      <c r="R929" s="28"/>
      <c r="S929" s="28"/>
      <c r="T929" s="28"/>
      <c r="U929" s="28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ht="15.75" customHeight="1" x14ac:dyDescent="0.15">
      <c r="A930" s="22"/>
      <c r="B930" s="22"/>
      <c r="C930" s="22"/>
      <c r="D930" s="22"/>
      <c r="E930" s="22"/>
      <c r="F930" s="28"/>
      <c r="G930" s="28"/>
      <c r="H930" s="28"/>
      <c r="I930" s="28"/>
      <c r="J930" s="28"/>
      <c r="K930" s="28"/>
      <c r="L930" s="28"/>
      <c r="M930" s="22"/>
      <c r="N930" s="22"/>
      <c r="O930" s="22"/>
      <c r="P930" s="22"/>
      <c r="Q930" s="22"/>
      <c r="R930" s="28"/>
      <c r="S930" s="28"/>
      <c r="T930" s="28"/>
      <c r="U930" s="28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ht="15.75" customHeight="1" x14ac:dyDescent="0.15">
      <c r="A931" s="22"/>
      <c r="B931" s="22"/>
      <c r="C931" s="22"/>
      <c r="D931" s="22"/>
      <c r="E931" s="22"/>
      <c r="F931" s="28"/>
      <c r="G931" s="28"/>
      <c r="H931" s="28"/>
      <c r="I931" s="28"/>
      <c r="J931" s="28"/>
      <c r="K931" s="28"/>
      <c r="L931" s="28"/>
      <c r="M931" s="22"/>
      <c r="N931" s="22"/>
      <c r="O931" s="22"/>
      <c r="P931" s="22"/>
      <c r="Q931" s="22"/>
      <c r="R931" s="28"/>
      <c r="S931" s="28"/>
      <c r="T931" s="28"/>
      <c r="U931" s="28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ht="15.75" customHeight="1" x14ac:dyDescent="0.15">
      <c r="A932" s="22"/>
      <c r="B932" s="22"/>
      <c r="C932" s="22"/>
      <c r="D932" s="22"/>
      <c r="E932" s="22"/>
      <c r="F932" s="28"/>
      <c r="G932" s="28"/>
      <c r="H932" s="28"/>
      <c r="I932" s="28"/>
      <c r="J932" s="28"/>
      <c r="K932" s="28"/>
      <c r="L932" s="28"/>
      <c r="M932" s="22"/>
      <c r="N932" s="22"/>
      <c r="O932" s="22"/>
      <c r="P932" s="22"/>
      <c r="Q932" s="22"/>
      <c r="R932" s="28"/>
      <c r="S932" s="28"/>
      <c r="T932" s="28"/>
      <c r="U932" s="28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ht="15.75" customHeight="1" x14ac:dyDescent="0.15">
      <c r="A933" s="22"/>
      <c r="B933" s="22"/>
      <c r="C933" s="22"/>
      <c r="D933" s="22"/>
      <c r="E933" s="22"/>
      <c r="F933" s="28"/>
      <c r="G933" s="28"/>
      <c r="H933" s="28"/>
      <c r="I933" s="28"/>
      <c r="J933" s="28"/>
      <c r="K933" s="28"/>
      <c r="L933" s="28"/>
      <c r="M933" s="22"/>
      <c r="N933" s="22"/>
      <c r="O933" s="22"/>
      <c r="P933" s="22"/>
      <c r="Q933" s="22"/>
      <c r="R933" s="28"/>
      <c r="S933" s="28"/>
      <c r="T933" s="28"/>
      <c r="U933" s="28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ht="15.75" customHeight="1" x14ac:dyDescent="0.15">
      <c r="A934" s="22"/>
      <c r="B934" s="22"/>
      <c r="C934" s="22"/>
      <c r="D934" s="22"/>
      <c r="E934" s="22"/>
      <c r="F934" s="28"/>
      <c r="G934" s="28"/>
      <c r="H934" s="28"/>
      <c r="I934" s="28"/>
      <c r="J934" s="28"/>
      <c r="K934" s="28"/>
      <c r="L934" s="28"/>
      <c r="M934" s="22"/>
      <c r="N934" s="22"/>
      <c r="O934" s="22"/>
      <c r="P934" s="22"/>
      <c r="Q934" s="22"/>
      <c r="R934" s="28"/>
      <c r="S934" s="28"/>
      <c r="T934" s="28"/>
      <c r="U934" s="28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ht="15.75" customHeight="1" x14ac:dyDescent="0.15">
      <c r="A935" s="22"/>
      <c r="B935" s="22"/>
      <c r="C935" s="22"/>
      <c r="D935" s="22"/>
      <c r="E935" s="22"/>
      <c r="F935" s="28"/>
      <c r="G935" s="28"/>
      <c r="H935" s="28"/>
      <c r="I935" s="28"/>
      <c r="J935" s="28"/>
      <c r="K935" s="28"/>
      <c r="L935" s="28"/>
      <c r="M935" s="22"/>
      <c r="N935" s="22"/>
      <c r="O935" s="22"/>
      <c r="P935" s="22"/>
      <c r="Q935" s="22"/>
      <c r="R935" s="28"/>
      <c r="S935" s="28"/>
      <c r="T935" s="28"/>
      <c r="U935" s="28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ht="15.75" customHeight="1" x14ac:dyDescent="0.15">
      <c r="A936" s="22"/>
      <c r="B936" s="22"/>
      <c r="C936" s="22"/>
      <c r="D936" s="22"/>
      <c r="E936" s="22"/>
      <c r="F936" s="28"/>
      <c r="G936" s="28"/>
      <c r="H936" s="28"/>
      <c r="I936" s="28"/>
      <c r="J936" s="28"/>
      <c r="K936" s="28"/>
      <c r="L936" s="28"/>
      <c r="M936" s="22"/>
      <c r="N936" s="22"/>
      <c r="O936" s="22"/>
      <c r="P936" s="22"/>
      <c r="Q936" s="22"/>
      <c r="R936" s="28"/>
      <c r="S936" s="28"/>
      <c r="T936" s="28"/>
      <c r="U936" s="28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ht="15.75" customHeight="1" x14ac:dyDescent="0.15">
      <c r="A937" s="22"/>
      <c r="B937" s="22"/>
      <c r="C937" s="22"/>
      <c r="D937" s="22"/>
      <c r="E937" s="22"/>
      <c r="F937" s="28"/>
      <c r="G937" s="28"/>
      <c r="H937" s="28"/>
      <c r="I937" s="28"/>
      <c r="J937" s="28"/>
      <c r="K937" s="28"/>
      <c r="L937" s="28"/>
      <c r="M937" s="22"/>
      <c r="N937" s="22"/>
      <c r="O937" s="22"/>
      <c r="P937" s="22"/>
      <c r="Q937" s="22"/>
      <c r="R937" s="28"/>
      <c r="S937" s="28"/>
      <c r="T937" s="28"/>
      <c r="U937" s="28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ht="15.75" customHeight="1" x14ac:dyDescent="0.15">
      <c r="A938" s="22"/>
      <c r="B938" s="22"/>
      <c r="C938" s="22"/>
      <c r="D938" s="22"/>
      <c r="E938" s="22"/>
      <c r="F938" s="28"/>
      <c r="G938" s="28"/>
      <c r="H938" s="28"/>
      <c r="I938" s="28"/>
      <c r="J938" s="28"/>
      <c r="K938" s="28"/>
      <c r="L938" s="28"/>
      <c r="M938" s="22"/>
      <c r="N938" s="22"/>
      <c r="O938" s="22"/>
      <c r="P938" s="22"/>
      <c r="Q938" s="22"/>
      <c r="R938" s="28"/>
      <c r="S938" s="28"/>
      <c r="T938" s="28"/>
      <c r="U938" s="28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ht="15.75" customHeight="1" x14ac:dyDescent="0.15">
      <c r="A939" s="22"/>
      <c r="B939" s="22"/>
      <c r="C939" s="22"/>
      <c r="D939" s="22"/>
      <c r="E939" s="22"/>
      <c r="F939" s="28"/>
      <c r="G939" s="28"/>
      <c r="H939" s="28"/>
      <c r="I939" s="28"/>
      <c r="J939" s="28"/>
      <c r="K939" s="28"/>
      <c r="L939" s="28"/>
      <c r="M939" s="22"/>
      <c r="N939" s="22"/>
      <c r="O939" s="22"/>
      <c r="P939" s="22"/>
      <c r="Q939" s="22"/>
      <c r="R939" s="28"/>
      <c r="S939" s="28"/>
      <c r="T939" s="28"/>
      <c r="U939" s="28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ht="15.75" customHeight="1" x14ac:dyDescent="0.15">
      <c r="A940" s="22"/>
      <c r="B940" s="22"/>
      <c r="C940" s="22"/>
      <c r="D940" s="22"/>
      <c r="E940" s="22"/>
      <c r="F940" s="28"/>
      <c r="G940" s="28"/>
      <c r="H940" s="28"/>
      <c r="I940" s="28"/>
      <c r="J940" s="28"/>
      <c r="K940" s="28"/>
      <c r="L940" s="28"/>
      <c r="M940" s="22"/>
      <c r="N940" s="22"/>
      <c r="O940" s="22"/>
      <c r="P940" s="22"/>
      <c r="Q940" s="22"/>
      <c r="R940" s="28"/>
      <c r="S940" s="28"/>
      <c r="T940" s="28"/>
      <c r="U940" s="28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ht="15.75" customHeight="1" x14ac:dyDescent="0.15">
      <c r="A941" s="22"/>
      <c r="B941" s="22"/>
      <c r="C941" s="22"/>
      <c r="D941" s="22"/>
      <c r="E941" s="22"/>
      <c r="F941" s="28"/>
      <c r="G941" s="28"/>
      <c r="H941" s="28"/>
      <c r="I941" s="28"/>
      <c r="J941" s="28"/>
      <c r="K941" s="28"/>
      <c r="L941" s="28"/>
      <c r="M941" s="22"/>
      <c r="N941" s="22"/>
      <c r="O941" s="22"/>
      <c r="P941" s="22"/>
      <c r="Q941" s="22"/>
      <c r="R941" s="28"/>
      <c r="S941" s="28"/>
      <c r="T941" s="28"/>
      <c r="U941" s="28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ht="15.75" customHeight="1" x14ac:dyDescent="0.15">
      <c r="A942" s="22"/>
      <c r="B942" s="22"/>
      <c r="C942" s="22"/>
      <c r="D942" s="22"/>
      <c r="E942" s="22"/>
      <c r="F942" s="28"/>
      <c r="G942" s="28"/>
      <c r="H942" s="28"/>
      <c r="I942" s="28"/>
      <c r="J942" s="28"/>
      <c r="K942" s="28"/>
      <c r="L942" s="28"/>
      <c r="M942" s="22"/>
      <c r="N942" s="22"/>
      <c r="O942" s="22"/>
      <c r="P942" s="22"/>
      <c r="Q942" s="22"/>
      <c r="R942" s="28"/>
      <c r="S942" s="28"/>
      <c r="T942" s="28"/>
      <c r="U942" s="28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ht="15.75" customHeight="1" x14ac:dyDescent="0.15">
      <c r="A943" s="22"/>
      <c r="B943" s="22"/>
      <c r="C943" s="22"/>
      <c r="D943" s="22"/>
      <c r="E943" s="22"/>
      <c r="F943" s="28"/>
      <c r="G943" s="28"/>
      <c r="H943" s="28"/>
      <c r="I943" s="28"/>
      <c r="J943" s="28"/>
      <c r="K943" s="28"/>
      <c r="L943" s="28"/>
      <c r="M943" s="22"/>
      <c r="N943" s="22"/>
      <c r="O943" s="22"/>
      <c r="P943" s="22"/>
      <c r="Q943" s="22"/>
      <c r="R943" s="28"/>
      <c r="S943" s="28"/>
      <c r="T943" s="28"/>
      <c r="U943" s="28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ht="15.75" customHeight="1" x14ac:dyDescent="0.15">
      <c r="A944" s="22"/>
      <c r="B944" s="22"/>
      <c r="C944" s="22"/>
      <c r="D944" s="22"/>
      <c r="E944" s="22"/>
      <c r="F944" s="28"/>
      <c r="G944" s="28"/>
      <c r="H944" s="28"/>
      <c r="I944" s="28"/>
      <c r="J944" s="28"/>
      <c r="K944" s="28"/>
      <c r="L944" s="28"/>
      <c r="M944" s="22"/>
      <c r="N944" s="22"/>
      <c r="O944" s="22"/>
      <c r="P944" s="22"/>
      <c r="Q944" s="22"/>
      <c r="R944" s="28"/>
      <c r="S944" s="28"/>
      <c r="T944" s="28"/>
      <c r="U944" s="28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ht="15.75" customHeight="1" x14ac:dyDescent="0.15">
      <c r="A945" s="22"/>
      <c r="B945" s="22"/>
      <c r="C945" s="22"/>
      <c r="D945" s="22"/>
      <c r="E945" s="22"/>
      <c r="F945" s="28"/>
      <c r="G945" s="28"/>
      <c r="H945" s="28"/>
      <c r="I945" s="28"/>
      <c r="J945" s="28"/>
      <c r="K945" s="28"/>
      <c r="L945" s="28"/>
      <c r="M945" s="22"/>
      <c r="N945" s="22"/>
      <c r="O945" s="22"/>
      <c r="P945" s="22"/>
      <c r="Q945" s="22"/>
      <c r="R945" s="28"/>
      <c r="S945" s="28"/>
      <c r="T945" s="28"/>
      <c r="U945" s="28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ht="15.75" customHeight="1" x14ac:dyDescent="0.15">
      <c r="A946" s="22"/>
      <c r="B946" s="22"/>
      <c r="C946" s="22"/>
      <c r="D946" s="22"/>
      <c r="E946" s="22"/>
      <c r="F946" s="28"/>
      <c r="G946" s="28"/>
      <c r="H946" s="28"/>
      <c r="I946" s="28"/>
      <c r="J946" s="28"/>
      <c r="K946" s="28"/>
      <c r="L946" s="28"/>
      <c r="M946" s="22"/>
      <c r="N946" s="22"/>
      <c r="O946" s="22"/>
      <c r="P946" s="22"/>
      <c r="Q946" s="22"/>
      <c r="R946" s="28"/>
      <c r="S946" s="28"/>
      <c r="T946" s="28"/>
      <c r="U946" s="28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ht="15.75" customHeight="1" x14ac:dyDescent="0.15">
      <c r="A947" s="22"/>
      <c r="B947" s="22"/>
      <c r="C947" s="22"/>
      <c r="D947" s="22"/>
      <c r="E947" s="22"/>
      <c r="F947" s="28"/>
      <c r="G947" s="28"/>
      <c r="H947" s="28"/>
      <c r="I947" s="28"/>
      <c r="J947" s="28"/>
      <c r="K947" s="28"/>
      <c r="L947" s="28"/>
      <c r="M947" s="22"/>
      <c r="N947" s="22"/>
      <c r="O947" s="22"/>
      <c r="P947" s="22"/>
      <c r="Q947" s="22"/>
      <c r="R947" s="28"/>
      <c r="S947" s="28"/>
      <c r="T947" s="28"/>
      <c r="U947" s="28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ht="15.75" customHeight="1" x14ac:dyDescent="0.15">
      <c r="A948" s="22"/>
      <c r="B948" s="22"/>
      <c r="C948" s="22"/>
      <c r="D948" s="22"/>
      <c r="E948" s="22"/>
      <c r="F948" s="28"/>
      <c r="G948" s="28"/>
      <c r="H948" s="28"/>
      <c r="I948" s="28"/>
      <c r="J948" s="28"/>
      <c r="K948" s="28"/>
      <c r="L948" s="28"/>
      <c r="M948" s="22"/>
      <c r="N948" s="22"/>
      <c r="O948" s="22"/>
      <c r="P948" s="22"/>
      <c r="Q948" s="22"/>
      <c r="R948" s="28"/>
      <c r="S948" s="28"/>
      <c r="T948" s="28"/>
      <c r="U948" s="28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ht="15.75" customHeight="1" x14ac:dyDescent="0.15">
      <c r="A949" s="22"/>
      <c r="B949" s="22"/>
      <c r="C949" s="22"/>
      <c r="D949" s="22"/>
      <c r="E949" s="22"/>
      <c r="F949" s="28"/>
      <c r="G949" s="28"/>
      <c r="H949" s="28"/>
      <c r="I949" s="28"/>
      <c r="J949" s="28"/>
      <c r="K949" s="28"/>
      <c r="L949" s="28"/>
      <c r="M949" s="22"/>
      <c r="N949" s="22"/>
      <c r="O949" s="22"/>
      <c r="P949" s="22"/>
      <c r="Q949" s="22"/>
      <c r="R949" s="28"/>
      <c r="S949" s="28"/>
      <c r="T949" s="28"/>
      <c r="U949" s="28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ht="15.75" customHeight="1" x14ac:dyDescent="0.15">
      <c r="A950" s="22"/>
      <c r="B950" s="22"/>
      <c r="C950" s="22"/>
      <c r="D950" s="22"/>
      <c r="E950" s="22"/>
      <c r="F950" s="28"/>
      <c r="G950" s="28"/>
      <c r="H950" s="28"/>
      <c r="I950" s="28"/>
      <c r="J950" s="28"/>
      <c r="K950" s="28"/>
      <c r="L950" s="28"/>
      <c r="M950" s="22"/>
      <c r="N950" s="22"/>
      <c r="O950" s="22"/>
      <c r="P950" s="22"/>
      <c r="Q950" s="22"/>
      <c r="R950" s="28"/>
      <c r="S950" s="28"/>
      <c r="T950" s="28"/>
      <c r="U950" s="28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ht="15.75" customHeight="1" x14ac:dyDescent="0.15">
      <c r="A951" s="22"/>
      <c r="B951" s="22"/>
      <c r="C951" s="22"/>
      <c r="D951" s="22"/>
      <c r="E951" s="22"/>
      <c r="F951" s="28"/>
      <c r="G951" s="28"/>
      <c r="H951" s="28"/>
      <c r="I951" s="28"/>
      <c r="J951" s="28"/>
      <c r="K951" s="28"/>
      <c r="L951" s="28"/>
      <c r="M951" s="22"/>
      <c r="N951" s="22"/>
      <c r="O951" s="22"/>
      <c r="P951" s="22"/>
      <c r="Q951" s="22"/>
      <c r="R951" s="28"/>
      <c r="S951" s="28"/>
      <c r="T951" s="28"/>
      <c r="U951" s="28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ht="15.75" customHeight="1" x14ac:dyDescent="0.15">
      <c r="A952" s="22"/>
      <c r="B952" s="22"/>
      <c r="C952" s="22"/>
      <c r="D952" s="22"/>
      <c r="E952" s="22"/>
      <c r="F952" s="28"/>
      <c r="G952" s="28"/>
      <c r="H952" s="28"/>
      <c r="I952" s="28"/>
      <c r="J952" s="28"/>
      <c r="K952" s="28"/>
      <c r="L952" s="28"/>
      <c r="M952" s="22"/>
      <c r="N952" s="22"/>
      <c r="O952" s="22"/>
      <c r="P952" s="22"/>
      <c r="Q952" s="22"/>
      <c r="R952" s="28"/>
      <c r="S952" s="28"/>
      <c r="T952" s="28"/>
      <c r="U952" s="28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ht="15.75" customHeight="1" x14ac:dyDescent="0.15">
      <c r="A953" s="22"/>
      <c r="B953" s="22"/>
      <c r="C953" s="22"/>
      <c r="D953" s="22"/>
      <c r="E953" s="22"/>
      <c r="F953" s="28"/>
      <c r="G953" s="28"/>
      <c r="H953" s="28"/>
      <c r="I953" s="28"/>
      <c r="J953" s="28"/>
      <c r="K953" s="28"/>
      <c r="L953" s="28"/>
      <c r="M953" s="22"/>
      <c r="N953" s="22"/>
      <c r="O953" s="22"/>
      <c r="P953" s="22"/>
      <c r="Q953" s="22"/>
      <c r="R953" s="28"/>
      <c r="S953" s="28"/>
      <c r="T953" s="28"/>
      <c r="U953" s="28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ht="15.75" customHeight="1" x14ac:dyDescent="0.15">
      <c r="A954" s="22"/>
      <c r="B954" s="22"/>
      <c r="C954" s="22"/>
      <c r="D954" s="22"/>
      <c r="E954" s="22"/>
      <c r="F954" s="28"/>
      <c r="G954" s="28"/>
      <c r="H954" s="28"/>
      <c r="I954" s="28"/>
      <c r="J954" s="28"/>
      <c r="K954" s="28"/>
      <c r="L954" s="28"/>
      <c r="M954" s="22"/>
      <c r="N954" s="22"/>
      <c r="O954" s="22"/>
      <c r="P954" s="22"/>
      <c r="Q954" s="22"/>
      <c r="R954" s="28"/>
      <c r="S954" s="28"/>
      <c r="T954" s="28"/>
      <c r="U954" s="28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ht="15.75" customHeight="1" x14ac:dyDescent="0.15">
      <c r="A955" s="22"/>
      <c r="B955" s="22"/>
      <c r="C955" s="22"/>
      <c r="D955" s="22"/>
      <c r="E955" s="22"/>
      <c r="F955" s="28"/>
      <c r="G955" s="28"/>
      <c r="H955" s="28"/>
      <c r="I955" s="28"/>
      <c r="J955" s="28"/>
      <c r="K955" s="28"/>
      <c r="L955" s="28"/>
      <c r="M955" s="22"/>
      <c r="N955" s="22"/>
      <c r="O955" s="22"/>
      <c r="P955" s="22"/>
      <c r="Q955" s="22"/>
      <c r="R955" s="28"/>
      <c r="S955" s="28"/>
      <c r="T955" s="28"/>
      <c r="U955" s="28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ht="15.75" customHeight="1" x14ac:dyDescent="0.15">
      <c r="A956" s="22"/>
      <c r="B956" s="22"/>
      <c r="C956" s="22"/>
      <c r="D956" s="22"/>
      <c r="E956" s="22"/>
      <c r="F956" s="28"/>
      <c r="G956" s="28"/>
      <c r="H956" s="28"/>
      <c r="I956" s="28"/>
      <c r="J956" s="28"/>
      <c r="K956" s="28"/>
      <c r="L956" s="28"/>
      <c r="M956" s="22"/>
      <c r="N956" s="22"/>
      <c r="O956" s="22"/>
      <c r="P956" s="22"/>
      <c r="Q956" s="22"/>
      <c r="R956" s="28"/>
      <c r="S956" s="28"/>
      <c r="T956" s="28"/>
      <c r="U956" s="28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ht="15.75" customHeight="1" x14ac:dyDescent="0.15">
      <c r="A957" s="22"/>
      <c r="B957" s="22"/>
      <c r="C957" s="22"/>
      <c r="D957" s="22"/>
      <c r="E957" s="22"/>
      <c r="F957" s="28"/>
      <c r="G957" s="28"/>
      <c r="H957" s="28"/>
      <c r="I957" s="28"/>
      <c r="J957" s="28"/>
      <c r="K957" s="28"/>
      <c r="L957" s="28"/>
      <c r="M957" s="22"/>
      <c r="N957" s="22"/>
      <c r="O957" s="22"/>
      <c r="P957" s="22"/>
      <c r="Q957" s="22"/>
      <c r="R957" s="28"/>
      <c r="S957" s="28"/>
      <c r="T957" s="28"/>
      <c r="U957" s="28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ht="15.75" customHeight="1" x14ac:dyDescent="0.15">
      <c r="A958" s="22"/>
      <c r="B958" s="22"/>
      <c r="C958" s="22"/>
      <c r="D958" s="22"/>
      <c r="E958" s="22"/>
      <c r="F958" s="28"/>
      <c r="G958" s="28"/>
      <c r="H958" s="28"/>
      <c r="I958" s="28"/>
      <c r="J958" s="28"/>
      <c r="K958" s="28"/>
      <c r="L958" s="28"/>
      <c r="M958" s="22"/>
      <c r="N958" s="22"/>
      <c r="O958" s="22"/>
      <c r="P958" s="22"/>
      <c r="Q958" s="22"/>
      <c r="R958" s="28"/>
      <c r="S958" s="28"/>
      <c r="T958" s="28"/>
      <c r="U958" s="28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ht="15.75" customHeight="1" x14ac:dyDescent="0.15">
      <c r="A959" s="22"/>
      <c r="B959" s="22"/>
      <c r="C959" s="22"/>
      <c r="D959" s="22"/>
      <c r="E959" s="22"/>
      <c r="F959" s="28"/>
      <c r="G959" s="28"/>
      <c r="H959" s="28"/>
      <c r="I959" s="28"/>
      <c r="J959" s="28"/>
      <c r="K959" s="28"/>
      <c r="L959" s="28"/>
      <c r="M959" s="22"/>
      <c r="N959" s="22"/>
      <c r="O959" s="22"/>
      <c r="P959" s="22"/>
      <c r="Q959" s="22"/>
      <c r="R959" s="28"/>
      <c r="S959" s="28"/>
      <c r="T959" s="28"/>
      <c r="U959" s="28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ht="15.75" customHeight="1" x14ac:dyDescent="0.15">
      <c r="A960" s="22"/>
      <c r="B960" s="22"/>
      <c r="C960" s="22"/>
      <c r="D960" s="22"/>
      <c r="E960" s="22"/>
      <c r="F960" s="28"/>
      <c r="G960" s="28"/>
      <c r="H960" s="28"/>
      <c r="I960" s="28"/>
      <c r="J960" s="28"/>
      <c r="K960" s="28"/>
      <c r="L960" s="28"/>
      <c r="M960" s="22"/>
      <c r="N960" s="22"/>
      <c r="O960" s="22"/>
      <c r="P960" s="22"/>
      <c r="Q960" s="22"/>
      <c r="R960" s="28"/>
      <c r="S960" s="28"/>
      <c r="T960" s="28"/>
      <c r="U960" s="28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ht="15.75" customHeight="1" x14ac:dyDescent="0.15">
      <c r="A961" s="22"/>
      <c r="B961" s="22"/>
      <c r="C961" s="22"/>
      <c r="D961" s="22"/>
      <c r="E961" s="22"/>
      <c r="F961" s="28"/>
      <c r="G961" s="28"/>
      <c r="H961" s="28"/>
      <c r="I961" s="28"/>
      <c r="J961" s="28"/>
      <c r="K961" s="28"/>
      <c r="L961" s="28"/>
      <c r="M961" s="22"/>
      <c r="N961" s="22"/>
      <c r="O961" s="22"/>
      <c r="P961" s="22"/>
      <c r="Q961" s="22"/>
      <c r="R961" s="28"/>
      <c r="S961" s="28"/>
      <c r="T961" s="28"/>
      <c r="U961" s="28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ht="15.75" customHeight="1" x14ac:dyDescent="0.15">
      <c r="A962" s="22"/>
      <c r="B962" s="22"/>
      <c r="C962" s="22"/>
      <c r="D962" s="22"/>
      <c r="E962" s="22"/>
      <c r="F962" s="28"/>
      <c r="G962" s="28"/>
      <c r="H962" s="28"/>
      <c r="I962" s="28"/>
      <c r="J962" s="28"/>
      <c r="K962" s="28"/>
      <c r="L962" s="28"/>
      <c r="M962" s="22"/>
      <c r="N962" s="22"/>
      <c r="O962" s="22"/>
      <c r="P962" s="22"/>
      <c r="Q962" s="22"/>
      <c r="R962" s="28"/>
      <c r="S962" s="28"/>
      <c r="T962" s="28"/>
      <c r="U962" s="28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ht="15.75" customHeight="1" x14ac:dyDescent="0.15">
      <c r="A963" s="22"/>
      <c r="B963" s="22"/>
      <c r="C963" s="22"/>
      <c r="D963" s="22"/>
      <c r="E963" s="22"/>
      <c r="F963" s="28"/>
      <c r="G963" s="28"/>
      <c r="H963" s="28"/>
      <c r="I963" s="28"/>
      <c r="J963" s="28"/>
      <c r="K963" s="28"/>
      <c r="L963" s="28"/>
      <c r="M963" s="22"/>
      <c r="N963" s="22"/>
      <c r="O963" s="22"/>
      <c r="P963" s="22"/>
      <c r="Q963" s="22"/>
      <c r="R963" s="28"/>
      <c r="S963" s="28"/>
      <c r="T963" s="28"/>
      <c r="U963" s="28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ht="15.75" customHeight="1" x14ac:dyDescent="0.15">
      <c r="A964" s="22"/>
      <c r="B964" s="22"/>
      <c r="C964" s="22"/>
      <c r="D964" s="22"/>
      <c r="E964" s="22"/>
      <c r="F964" s="28"/>
      <c r="G964" s="28"/>
      <c r="H964" s="28"/>
      <c r="I964" s="28"/>
      <c r="J964" s="28"/>
      <c r="K964" s="28"/>
      <c r="L964" s="28"/>
      <c r="M964" s="22"/>
      <c r="N964" s="22"/>
      <c r="O964" s="22"/>
      <c r="P964" s="22"/>
      <c r="Q964" s="22"/>
      <c r="R964" s="28"/>
      <c r="S964" s="28"/>
      <c r="T964" s="28"/>
      <c r="U964" s="28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ht="15.75" customHeight="1" x14ac:dyDescent="0.15">
      <c r="A965" s="22"/>
      <c r="B965" s="22"/>
      <c r="C965" s="22"/>
      <c r="D965" s="22"/>
      <c r="E965" s="22"/>
      <c r="F965" s="28"/>
      <c r="G965" s="28"/>
      <c r="H965" s="28"/>
      <c r="I965" s="28"/>
      <c r="J965" s="28"/>
      <c r="K965" s="28"/>
      <c r="L965" s="28"/>
      <c r="M965" s="22"/>
      <c r="N965" s="22"/>
      <c r="O965" s="22"/>
      <c r="P965" s="22"/>
      <c r="Q965" s="22"/>
      <c r="R965" s="28"/>
      <c r="S965" s="28"/>
      <c r="T965" s="28"/>
      <c r="U965" s="28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ht="15.75" customHeight="1" x14ac:dyDescent="0.15">
      <c r="A966" s="22"/>
      <c r="B966" s="22"/>
      <c r="C966" s="22"/>
      <c r="D966" s="22"/>
      <c r="E966" s="22"/>
      <c r="F966" s="28"/>
      <c r="G966" s="28"/>
      <c r="H966" s="28"/>
      <c r="I966" s="28"/>
      <c r="J966" s="28"/>
      <c r="K966" s="28"/>
      <c r="L966" s="28"/>
      <c r="M966" s="22"/>
      <c r="N966" s="22"/>
      <c r="O966" s="22"/>
      <c r="P966" s="22"/>
      <c r="Q966" s="22"/>
      <c r="R966" s="28"/>
      <c r="S966" s="28"/>
      <c r="T966" s="28"/>
      <c r="U966" s="28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ht="15.75" customHeight="1" x14ac:dyDescent="0.15">
      <c r="A967" s="22"/>
      <c r="B967" s="22"/>
      <c r="C967" s="22"/>
      <c r="D967" s="22"/>
      <c r="E967" s="22"/>
      <c r="F967" s="28"/>
      <c r="G967" s="28"/>
      <c r="H967" s="28"/>
      <c r="I967" s="28"/>
      <c r="J967" s="28"/>
      <c r="K967" s="28"/>
      <c r="L967" s="28"/>
      <c r="M967" s="22"/>
      <c r="N967" s="22"/>
      <c r="O967" s="22"/>
      <c r="P967" s="22"/>
      <c r="Q967" s="22"/>
      <c r="R967" s="28"/>
      <c r="S967" s="28"/>
      <c r="T967" s="28"/>
      <c r="U967" s="28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ht="15.75" customHeight="1" x14ac:dyDescent="0.15">
      <c r="A968" s="22"/>
      <c r="B968" s="22"/>
      <c r="C968" s="22"/>
      <c r="D968" s="22"/>
      <c r="E968" s="22"/>
      <c r="F968" s="28"/>
      <c r="G968" s="28"/>
      <c r="H968" s="28"/>
      <c r="I968" s="28"/>
      <c r="J968" s="28"/>
      <c r="K968" s="28"/>
      <c r="L968" s="28"/>
      <c r="M968" s="22"/>
      <c r="N968" s="22"/>
      <c r="O968" s="22"/>
      <c r="P968" s="22"/>
      <c r="Q968" s="22"/>
      <c r="R968" s="28"/>
      <c r="S968" s="28"/>
      <c r="T968" s="28"/>
      <c r="U968" s="28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ht="15.75" customHeight="1" x14ac:dyDescent="0.15">
      <c r="A969" s="22"/>
      <c r="B969" s="22"/>
      <c r="C969" s="22"/>
      <c r="D969" s="22"/>
      <c r="E969" s="22"/>
      <c r="F969" s="28"/>
      <c r="G969" s="28"/>
      <c r="H969" s="28"/>
      <c r="I969" s="28"/>
      <c r="J969" s="28"/>
      <c r="K969" s="28"/>
      <c r="L969" s="28"/>
      <c r="M969" s="22"/>
      <c r="N969" s="22"/>
      <c r="O969" s="22"/>
      <c r="P969" s="22"/>
      <c r="Q969" s="22"/>
      <c r="R969" s="28"/>
      <c r="S969" s="28"/>
      <c r="T969" s="28"/>
      <c r="U969" s="28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ht="15.75" customHeight="1" x14ac:dyDescent="0.15">
      <c r="A970" s="22"/>
      <c r="B970" s="22"/>
      <c r="C970" s="22"/>
      <c r="D970" s="22"/>
      <c r="E970" s="22"/>
      <c r="F970" s="28"/>
      <c r="G970" s="28"/>
      <c r="H970" s="28"/>
      <c r="I970" s="28"/>
      <c r="J970" s="28"/>
      <c r="K970" s="28"/>
      <c r="L970" s="28"/>
      <c r="M970" s="22"/>
      <c r="N970" s="22"/>
      <c r="O970" s="22"/>
      <c r="P970" s="22"/>
      <c r="Q970" s="22"/>
      <c r="R970" s="28"/>
      <c r="S970" s="28"/>
      <c r="T970" s="28"/>
      <c r="U970" s="28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ht="15.75" customHeight="1" x14ac:dyDescent="0.15">
      <c r="A971" s="22"/>
      <c r="B971" s="22"/>
      <c r="C971" s="22"/>
      <c r="D971" s="22"/>
      <c r="E971" s="22"/>
      <c r="F971" s="28"/>
      <c r="G971" s="28"/>
      <c r="H971" s="28"/>
      <c r="I971" s="28"/>
      <c r="J971" s="28"/>
      <c r="K971" s="28"/>
      <c r="L971" s="28"/>
      <c r="M971" s="22"/>
      <c r="N971" s="22"/>
      <c r="O971" s="22"/>
      <c r="P971" s="22"/>
      <c r="Q971" s="22"/>
      <c r="R971" s="28"/>
      <c r="S971" s="28"/>
      <c r="T971" s="28"/>
      <c r="U971" s="28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ht="15.75" customHeight="1" x14ac:dyDescent="0.15">
      <c r="A972" s="22"/>
      <c r="B972" s="22"/>
      <c r="C972" s="22"/>
      <c r="D972" s="22"/>
      <c r="E972" s="22"/>
      <c r="F972" s="28"/>
      <c r="G972" s="28"/>
      <c r="H972" s="28"/>
      <c r="I972" s="28"/>
      <c r="J972" s="28"/>
      <c r="K972" s="28"/>
      <c r="L972" s="28"/>
      <c r="M972" s="22"/>
      <c r="N972" s="22"/>
      <c r="O972" s="22"/>
      <c r="P972" s="22"/>
      <c r="Q972" s="22"/>
      <c r="R972" s="28"/>
      <c r="S972" s="28"/>
      <c r="T972" s="28"/>
      <c r="U972" s="28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ht="15.75" customHeight="1" x14ac:dyDescent="0.15">
      <c r="A973" s="22"/>
      <c r="B973" s="22"/>
      <c r="C973" s="22"/>
      <c r="D973" s="22"/>
      <c r="E973" s="22"/>
      <c r="F973" s="28"/>
      <c r="G973" s="28"/>
      <c r="H973" s="28"/>
      <c r="I973" s="28"/>
      <c r="J973" s="28"/>
      <c r="K973" s="28"/>
      <c r="L973" s="28"/>
      <c r="M973" s="22"/>
      <c r="N973" s="22"/>
      <c r="O973" s="22"/>
      <c r="P973" s="22"/>
      <c r="Q973" s="22"/>
      <c r="R973" s="28"/>
      <c r="S973" s="28"/>
      <c r="T973" s="28"/>
      <c r="U973" s="28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ht="15.75" customHeight="1" x14ac:dyDescent="0.15">
      <c r="A974" s="22"/>
      <c r="B974" s="22"/>
      <c r="C974" s="22"/>
      <c r="D974" s="22"/>
      <c r="E974" s="22"/>
      <c r="F974" s="28"/>
      <c r="G974" s="28"/>
      <c r="H974" s="28"/>
      <c r="I974" s="28"/>
      <c r="J974" s="28"/>
      <c r="K974" s="28"/>
      <c r="L974" s="28"/>
      <c r="M974" s="22"/>
      <c r="N974" s="22"/>
      <c r="O974" s="22"/>
      <c r="P974" s="22"/>
      <c r="Q974" s="22"/>
      <c r="R974" s="28"/>
      <c r="S974" s="28"/>
      <c r="T974" s="28"/>
      <c r="U974" s="28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ht="15.75" customHeight="1" x14ac:dyDescent="0.15">
      <c r="A975" s="22"/>
      <c r="B975" s="22"/>
      <c r="C975" s="22"/>
      <c r="D975" s="22"/>
      <c r="E975" s="22"/>
      <c r="F975" s="28"/>
      <c r="G975" s="28"/>
      <c r="H975" s="28"/>
      <c r="I975" s="28"/>
      <c r="J975" s="28"/>
      <c r="K975" s="28"/>
      <c r="L975" s="28"/>
      <c r="M975" s="22"/>
      <c r="N975" s="22"/>
      <c r="O975" s="22"/>
      <c r="P975" s="22"/>
      <c r="Q975" s="22"/>
      <c r="R975" s="28"/>
      <c r="S975" s="28"/>
      <c r="T975" s="28"/>
      <c r="U975" s="28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ht="15.75" customHeight="1" x14ac:dyDescent="0.15">
      <c r="A976" s="22"/>
      <c r="B976" s="22"/>
      <c r="C976" s="22"/>
      <c r="D976" s="22"/>
      <c r="E976" s="22"/>
      <c r="F976" s="28"/>
      <c r="G976" s="28"/>
      <c r="H976" s="28"/>
      <c r="I976" s="28"/>
      <c r="J976" s="28"/>
      <c r="K976" s="28"/>
      <c r="L976" s="28"/>
      <c r="M976" s="22"/>
      <c r="N976" s="22"/>
      <c r="O976" s="22"/>
      <c r="P976" s="22"/>
      <c r="Q976" s="22"/>
      <c r="R976" s="28"/>
      <c r="S976" s="28"/>
      <c r="T976" s="28"/>
      <c r="U976" s="28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ht="15.75" customHeight="1" x14ac:dyDescent="0.15">
      <c r="A977" s="22"/>
      <c r="B977" s="22"/>
      <c r="C977" s="22"/>
      <c r="D977" s="22"/>
      <c r="E977" s="22"/>
      <c r="F977" s="28"/>
      <c r="G977" s="28"/>
      <c r="H977" s="28"/>
      <c r="I977" s="28"/>
      <c r="J977" s="28"/>
      <c r="K977" s="28"/>
      <c r="L977" s="28"/>
      <c r="M977" s="22"/>
      <c r="N977" s="22"/>
      <c r="O977" s="22"/>
      <c r="P977" s="22"/>
      <c r="Q977" s="22"/>
      <c r="R977" s="28"/>
      <c r="S977" s="28"/>
      <c r="T977" s="28"/>
      <c r="U977" s="28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ht="15.75" customHeight="1" x14ac:dyDescent="0.15">
      <c r="A978" s="22"/>
      <c r="B978" s="22"/>
      <c r="C978" s="22"/>
      <c r="D978" s="22"/>
      <c r="E978" s="22"/>
      <c r="F978" s="28"/>
      <c r="G978" s="28"/>
      <c r="H978" s="28"/>
      <c r="I978" s="28"/>
      <c r="J978" s="28"/>
      <c r="K978" s="28"/>
      <c r="L978" s="28"/>
      <c r="M978" s="22"/>
      <c r="N978" s="22"/>
      <c r="O978" s="22"/>
      <c r="P978" s="22"/>
      <c r="Q978" s="22"/>
      <c r="R978" s="28"/>
      <c r="S978" s="28"/>
      <c r="T978" s="28"/>
      <c r="U978" s="28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ht="15.75" customHeight="1" x14ac:dyDescent="0.15">
      <c r="A979" s="22"/>
      <c r="B979" s="22"/>
      <c r="C979" s="22"/>
      <c r="D979" s="22"/>
      <c r="E979" s="22"/>
      <c r="F979" s="28"/>
      <c r="G979" s="28"/>
      <c r="H979" s="28"/>
      <c r="I979" s="28"/>
      <c r="J979" s="28"/>
      <c r="K979" s="28"/>
      <c r="L979" s="28"/>
      <c r="M979" s="22"/>
      <c r="N979" s="22"/>
      <c r="O979" s="22"/>
      <c r="P979" s="22"/>
      <c r="Q979" s="22"/>
      <c r="R979" s="28"/>
      <c r="S979" s="28"/>
      <c r="T979" s="28"/>
      <c r="U979" s="28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ht="15.75" customHeight="1" x14ac:dyDescent="0.15">
      <c r="A980" s="22"/>
      <c r="B980" s="22"/>
      <c r="C980" s="22"/>
      <c r="D980" s="22"/>
      <c r="E980" s="22"/>
      <c r="F980" s="28"/>
      <c r="G980" s="28"/>
      <c r="H980" s="28"/>
      <c r="I980" s="28"/>
      <c r="J980" s="28"/>
      <c r="K980" s="28"/>
      <c r="L980" s="28"/>
      <c r="M980" s="22"/>
      <c r="N980" s="22"/>
      <c r="O980" s="22"/>
      <c r="P980" s="22"/>
      <c r="Q980" s="22"/>
      <c r="R980" s="28"/>
      <c r="S980" s="28"/>
      <c r="T980" s="28"/>
      <c r="U980" s="28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ht="15.75" customHeight="1" x14ac:dyDescent="0.15">
      <c r="A981" s="22"/>
      <c r="B981" s="22"/>
      <c r="C981" s="22"/>
      <c r="D981" s="22"/>
      <c r="E981" s="22"/>
      <c r="F981" s="28"/>
      <c r="G981" s="28"/>
      <c r="H981" s="28"/>
      <c r="I981" s="28"/>
      <c r="J981" s="28"/>
      <c r="K981" s="28"/>
      <c r="L981" s="28"/>
      <c r="M981" s="22"/>
      <c r="N981" s="22"/>
      <c r="O981" s="22"/>
      <c r="P981" s="22"/>
      <c r="Q981" s="22"/>
      <c r="R981" s="28"/>
      <c r="S981" s="28"/>
      <c r="T981" s="28"/>
      <c r="U981" s="28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ht="15.75" customHeight="1" x14ac:dyDescent="0.15">
      <c r="A982" s="22"/>
      <c r="B982" s="22"/>
      <c r="C982" s="22"/>
      <c r="D982" s="22"/>
      <c r="E982" s="22"/>
      <c r="F982" s="28"/>
      <c r="G982" s="28"/>
      <c r="H982" s="28"/>
      <c r="I982" s="28"/>
      <c r="J982" s="28"/>
      <c r="K982" s="28"/>
      <c r="L982" s="28"/>
      <c r="M982" s="22"/>
      <c r="N982" s="22"/>
      <c r="O982" s="22"/>
      <c r="P982" s="22"/>
      <c r="Q982" s="22"/>
      <c r="R982" s="28"/>
      <c r="S982" s="28"/>
      <c r="T982" s="28"/>
      <c r="U982" s="28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ht="15.75" customHeight="1" x14ac:dyDescent="0.15">
      <c r="A983" s="22"/>
      <c r="B983" s="22"/>
      <c r="C983" s="22"/>
      <c r="D983" s="22"/>
      <c r="E983" s="22"/>
      <c r="F983" s="28"/>
      <c r="G983" s="28"/>
      <c r="H983" s="28"/>
      <c r="I983" s="28"/>
      <c r="J983" s="28"/>
      <c r="K983" s="28"/>
      <c r="L983" s="28"/>
      <c r="M983" s="22"/>
      <c r="N983" s="22"/>
      <c r="O983" s="22"/>
      <c r="P983" s="22"/>
      <c r="Q983" s="22"/>
      <c r="R983" s="28"/>
      <c r="S983" s="28"/>
      <c r="T983" s="28"/>
      <c r="U983" s="28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ht="15.75" customHeight="1" x14ac:dyDescent="0.15">
      <c r="A984" s="22"/>
      <c r="B984" s="22"/>
      <c r="C984" s="22"/>
      <c r="D984" s="22"/>
      <c r="E984" s="22"/>
      <c r="F984" s="28"/>
      <c r="G984" s="28"/>
      <c r="H984" s="28"/>
      <c r="I984" s="28"/>
      <c r="J984" s="28"/>
      <c r="K984" s="28"/>
      <c r="L984" s="28"/>
      <c r="M984" s="22"/>
      <c r="N984" s="22"/>
      <c r="O984" s="22"/>
      <c r="P984" s="22"/>
      <c r="Q984" s="22"/>
      <c r="R984" s="28"/>
      <c r="S984" s="28"/>
      <c r="T984" s="28"/>
      <c r="U984" s="28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ht="15.75" customHeight="1" x14ac:dyDescent="0.15">
      <c r="A985" s="22"/>
      <c r="B985" s="22"/>
      <c r="C985" s="22"/>
      <c r="D985" s="22"/>
      <c r="E985" s="22"/>
      <c r="F985" s="28"/>
      <c r="G985" s="28"/>
      <c r="H985" s="28"/>
      <c r="I985" s="28"/>
      <c r="J985" s="28"/>
      <c r="K985" s="28"/>
      <c r="L985" s="28"/>
      <c r="M985" s="22"/>
      <c r="N985" s="22"/>
      <c r="O985" s="22"/>
      <c r="P985" s="22"/>
      <c r="Q985" s="22"/>
      <c r="R985" s="28"/>
      <c r="S985" s="28"/>
      <c r="T985" s="28"/>
      <c r="U985" s="28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ht="15.75" customHeight="1" x14ac:dyDescent="0.15">
      <c r="A986" s="22"/>
      <c r="B986" s="22"/>
      <c r="C986" s="22"/>
      <c r="D986" s="22"/>
      <c r="E986" s="22"/>
      <c r="F986" s="28"/>
      <c r="G986" s="28"/>
      <c r="H986" s="28"/>
      <c r="I986" s="28"/>
      <c r="J986" s="28"/>
      <c r="K986" s="28"/>
      <c r="L986" s="28"/>
      <c r="M986" s="22"/>
      <c r="N986" s="22"/>
      <c r="O986" s="22"/>
      <c r="P986" s="22"/>
      <c r="Q986" s="22"/>
      <c r="R986" s="28"/>
      <c r="S986" s="28"/>
      <c r="T986" s="28"/>
      <c r="U986" s="28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ht="15.75" customHeight="1" x14ac:dyDescent="0.15">
      <c r="A987" s="22"/>
      <c r="B987" s="22"/>
      <c r="C987" s="22"/>
      <c r="D987" s="22"/>
      <c r="E987" s="22"/>
      <c r="F987" s="28"/>
      <c r="G987" s="28"/>
      <c r="H987" s="28"/>
      <c r="I987" s="28"/>
      <c r="J987" s="28"/>
      <c r="K987" s="28"/>
      <c r="L987" s="28"/>
      <c r="M987" s="22"/>
      <c r="N987" s="22"/>
      <c r="O987" s="22"/>
      <c r="P987" s="22"/>
      <c r="Q987" s="22"/>
      <c r="R987" s="28"/>
      <c r="S987" s="28"/>
      <c r="T987" s="28"/>
      <c r="U987" s="28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ht="15.75" customHeight="1" x14ac:dyDescent="0.15">
      <c r="A988" s="22"/>
      <c r="B988" s="22"/>
      <c r="C988" s="22"/>
      <c r="D988" s="22"/>
      <c r="E988" s="22"/>
      <c r="F988" s="28"/>
      <c r="G988" s="28"/>
      <c r="H988" s="28"/>
      <c r="I988" s="28"/>
      <c r="J988" s="28"/>
      <c r="K988" s="28"/>
      <c r="L988" s="28"/>
      <c r="M988" s="22"/>
      <c r="N988" s="22"/>
      <c r="O988" s="22"/>
      <c r="P988" s="22"/>
      <c r="Q988" s="22"/>
      <c r="R988" s="28"/>
      <c r="S988" s="28"/>
      <c r="T988" s="28"/>
      <c r="U988" s="28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ht="15.75" customHeight="1" x14ac:dyDescent="0.15">
      <c r="A989" s="22"/>
      <c r="B989" s="22"/>
      <c r="C989" s="22"/>
      <c r="D989" s="22"/>
      <c r="E989" s="22"/>
      <c r="F989" s="28"/>
      <c r="G989" s="28"/>
      <c r="H989" s="28"/>
      <c r="I989" s="28"/>
      <c r="J989" s="28"/>
      <c r="K989" s="28"/>
      <c r="L989" s="28"/>
      <c r="M989" s="22"/>
      <c r="N989" s="22"/>
      <c r="O989" s="22"/>
      <c r="P989" s="22"/>
      <c r="Q989" s="22"/>
      <c r="R989" s="28"/>
      <c r="S989" s="28"/>
      <c r="T989" s="28"/>
      <c r="U989" s="28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ht="15.75" customHeight="1" x14ac:dyDescent="0.15">
      <c r="A990" s="22"/>
      <c r="B990" s="22"/>
      <c r="C990" s="22"/>
      <c r="D990" s="22"/>
      <c r="E990" s="22"/>
      <c r="F990" s="28"/>
      <c r="G990" s="28"/>
      <c r="H990" s="28"/>
      <c r="I990" s="28"/>
      <c r="J990" s="28"/>
      <c r="K990" s="28"/>
      <c r="L990" s="28"/>
      <c r="M990" s="22"/>
      <c r="N990" s="22"/>
      <c r="O990" s="22"/>
      <c r="P990" s="22"/>
      <c r="Q990" s="22"/>
      <c r="R990" s="28"/>
      <c r="S990" s="28"/>
      <c r="T990" s="28"/>
      <c r="U990" s="28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ht="15.75" customHeight="1" x14ac:dyDescent="0.15">
      <c r="A991" s="22"/>
      <c r="B991" s="22"/>
      <c r="C991" s="22"/>
      <c r="D991" s="22"/>
      <c r="E991" s="22"/>
      <c r="F991" s="28"/>
      <c r="G991" s="28"/>
      <c r="H991" s="28"/>
      <c r="I991" s="28"/>
      <c r="J991" s="28"/>
      <c r="K991" s="28"/>
      <c r="L991" s="28"/>
      <c r="M991" s="22"/>
      <c r="N991" s="22"/>
      <c r="O991" s="22"/>
      <c r="P991" s="22"/>
      <c r="Q991" s="22"/>
      <c r="R991" s="28"/>
      <c r="S991" s="28"/>
      <c r="T991" s="28"/>
      <c r="U991" s="28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ht="15.75" customHeight="1" x14ac:dyDescent="0.15">
      <c r="A992" s="22"/>
      <c r="B992" s="22"/>
      <c r="C992" s="22"/>
      <c r="D992" s="22"/>
      <c r="E992" s="22"/>
      <c r="F992" s="28"/>
      <c r="G992" s="28"/>
      <c r="H992" s="28"/>
      <c r="I992" s="28"/>
      <c r="J992" s="28"/>
      <c r="K992" s="28"/>
      <c r="L992" s="28"/>
      <c r="M992" s="22"/>
      <c r="N992" s="22"/>
      <c r="O992" s="22"/>
      <c r="P992" s="22"/>
      <c r="Q992" s="22"/>
      <c r="R992" s="28"/>
      <c r="S992" s="28"/>
      <c r="T992" s="28"/>
      <c r="U992" s="28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ht="15.75" customHeight="1" x14ac:dyDescent="0.15">
      <c r="A993" s="22"/>
      <c r="B993" s="22"/>
      <c r="C993" s="22"/>
      <c r="D993" s="22"/>
      <c r="E993" s="22"/>
      <c r="F993" s="28"/>
      <c r="G993" s="28"/>
      <c r="H993" s="28"/>
      <c r="I993" s="28"/>
      <c r="J993" s="28"/>
      <c r="K993" s="28"/>
      <c r="L993" s="28"/>
      <c r="M993" s="22"/>
      <c r="N993" s="22"/>
      <c r="O993" s="22"/>
      <c r="P993" s="22"/>
      <c r="Q993" s="22"/>
      <c r="R993" s="28"/>
      <c r="S993" s="28"/>
      <c r="T993" s="28"/>
      <c r="U993" s="28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ht="15.75" customHeight="1" x14ac:dyDescent="0.15">
      <c r="A994" s="22"/>
      <c r="B994" s="22"/>
      <c r="C994" s="22"/>
      <c r="D994" s="22"/>
      <c r="E994" s="22"/>
      <c r="F994" s="28"/>
      <c r="G994" s="28"/>
      <c r="H994" s="28"/>
      <c r="I994" s="28"/>
      <c r="J994" s="28"/>
      <c r="K994" s="28"/>
      <c r="L994" s="28"/>
      <c r="M994" s="22"/>
      <c r="N994" s="22"/>
      <c r="O994" s="22"/>
      <c r="P994" s="22"/>
      <c r="Q994" s="22"/>
      <c r="R994" s="28"/>
      <c r="S994" s="28"/>
      <c r="T994" s="28"/>
      <c r="U994" s="28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ht="15.75" customHeight="1" x14ac:dyDescent="0.15">
      <c r="A995" s="22"/>
      <c r="B995" s="22"/>
      <c r="C995" s="22"/>
      <c r="D995" s="22"/>
      <c r="E995" s="22"/>
      <c r="F995" s="28"/>
      <c r="G995" s="28"/>
      <c r="H995" s="28"/>
      <c r="I995" s="28"/>
      <c r="J995" s="28"/>
      <c r="K995" s="28"/>
      <c r="L995" s="28"/>
      <c r="M995" s="22"/>
      <c r="N995" s="22"/>
      <c r="O995" s="22"/>
      <c r="P995" s="22"/>
      <c r="Q995" s="22"/>
      <c r="R995" s="28"/>
      <c r="S995" s="28"/>
      <c r="T995" s="28"/>
      <c r="U995" s="28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ht="15.75" customHeight="1" x14ac:dyDescent="0.15">
      <c r="A996" s="22"/>
      <c r="B996" s="22"/>
      <c r="C996" s="22"/>
      <c r="D996" s="22"/>
      <c r="E996" s="22"/>
      <c r="F996" s="28"/>
      <c r="G996" s="28"/>
      <c r="H996" s="28"/>
      <c r="I996" s="28"/>
      <c r="J996" s="28"/>
      <c r="K996" s="28"/>
      <c r="L996" s="28"/>
      <c r="M996" s="22"/>
      <c r="N996" s="22"/>
      <c r="O996" s="22"/>
      <c r="P996" s="22"/>
      <c r="Q996" s="22"/>
      <c r="R996" s="28"/>
      <c r="S996" s="28"/>
      <c r="T996" s="28"/>
      <c r="U996" s="28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ht="15.75" customHeight="1" x14ac:dyDescent="0.15">
      <c r="A997" s="22"/>
      <c r="B997" s="22"/>
      <c r="C997" s="22"/>
      <c r="D997" s="22"/>
      <c r="E997" s="22"/>
      <c r="F997" s="28"/>
      <c r="G997" s="28"/>
      <c r="H997" s="28"/>
      <c r="I997" s="28"/>
      <c r="J997" s="28"/>
      <c r="K997" s="28"/>
      <c r="L997" s="28"/>
      <c r="M997" s="22"/>
      <c r="N997" s="22"/>
      <c r="O997" s="22"/>
      <c r="P997" s="22"/>
      <c r="Q997" s="22"/>
      <c r="R997" s="28"/>
      <c r="S997" s="28"/>
      <c r="T997" s="28"/>
      <c r="U997" s="28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ht="15.75" customHeight="1" x14ac:dyDescent="0.15">
      <c r="A998" s="22"/>
      <c r="B998" s="22"/>
      <c r="C998" s="22"/>
      <c r="D998" s="22"/>
      <c r="E998" s="22"/>
      <c r="F998" s="28"/>
      <c r="G998" s="28"/>
      <c r="H998" s="28"/>
      <c r="I998" s="28"/>
      <c r="J998" s="28"/>
      <c r="K998" s="28"/>
      <c r="L998" s="28"/>
      <c r="M998" s="22"/>
      <c r="N998" s="22"/>
      <c r="O998" s="22"/>
      <c r="P998" s="22"/>
      <c r="Q998" s="22"/>
      <c r="R998" s="28"/>
      <c r="S998" s="28"/>
      <c r="T998" s="28"/>
      <c r="U998" s="28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ht="15.75" customHeight="1" x14ac:dyDescent="0.15">
      <c r="A999" s="22"/>
      <c r="B999" s="22"/>
      <c r="C999" s="22"/>
      <c r="D999" s="22"/>
      <c r="E999" s="22"/>
      <c r="F999" s="28"/>
      <c r="G999" s="28"/>
      <c r="H999" s="28"/>
      <c r="I999" s="28"/>
      <c r="J999" s="28"/>
      <c r="K999" s="28"/>
      <c r="L999" s="28"/>
      <c r="M999" s="22"/>
      <c r="N999" s="22"/>
      <c r="O999" s="22"/>
      <c r="P999" s="22"/>
      <c r="Q999" s="22"/>
      <c r="R999" s="28"/>
      <c r="S999" s="28"/>
      <c r="T999" s="28"/>
      <c r="U999" s="28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ht="15.75" customHeight="1" x14ac:dyDescent="0.15">
      <c r="A1000" s="22"/>
      <c r="B1000" s="22"/>
      <c r="C1000" s="22"/>
      <c r="D1000" s="22"/>
      <c r="E1000" s="22"/>
      <c r="F1000" s="28"/>
      <c r="G1000" s="28"/>
      <c r="H1000" s="28"/>
      <c r="I1000" s="28"/>
      <c r="J1000" s="28"/>
      <c r="K1000" s="28"/>
      <c r="L1000" s="28"/>
      <c r="M1000" s="22"/>
      <c r="N1000" s="22"/>
      <c r="O1000" s="22"/>
      <c r="P1000" s="22"/>
      <c r="Q1000" s="22"/>
      <c r="R1000" s="28"/>
      <c r="S1000" s="28"/>
      <c r="T1000" s="28"/>
      <c r="U1000" s="28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ht="15.75" customHeight="1" x14ac:dyDescent="0.15">
      <c r="A1001" s="22"/>
      <c r="B1001" s="22"/>
      <c r="C1001" s="22"/>
      <c r="D1001" s="22"/>
      <c r="E1001" s="22"/>
      <c r="F1001" s="28"/>
      <c r="G1001" s="28"/>
      <c r="H1001" s="28"/>
      <c r="I1001" s="28"/>
      <c r="J1001" s="28"/>
      <c r="K1001" s="28"/>
      <c r="L1001" s="28"/>
      <c r="M1001" s="22"/>
      <c r="N1001" s="22"/>
      <c r="O1001" s="22"/>
      <c r="P1001" s="22"/>
      <c r="Q1001" s="22"/>
      <c r="R1001" s="28"/>
      <c r="S1001" s="28"/>
      <c r="T1001" s="28"/>
      <c r="U1001" s="28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 spans="1:30" ht="15.75" customHeight="1" x14ac:dyDescent="0.15">
      <c r="A1002" s="22"/>
      <c r="B1002" s="22"/>
      <c r="C1002" s="22"/>
      <c r="D1002" s="22"/>
      <c r="E1002" s="22"/>
      <c r="F1002" s="28"/>
      <c r="G1002" s="28"/>
      <c r="H1002" s="28"/>
      <c r="I1002" s="28"/>
      <c r="J1002" s="28"/>
      <c r="K1002" s="28"/>
      <c r="L1002" s="28"/>
      <c r="M1002" s="22"/>
      <c r="N1002" s="22"/>
      <c r="O1002" s="22"/>
      <c r="P1002" s="22"/>
      <c r="Q1002" s="22"/>
      <c r="R1002" s="28"/>
      <c r="S1002" s="28"/>
      <c r="T1002" s="28"/>
      <c r="U1002" s="28"/>
      <c r="V1002" s="22"/>
      <c r="W1002" s="22"/>
      <c r="X1002" s="22"/>
      <c r="Y1002" s="22"/>
      <c r="Z1002" s="22"/>
      <c r="AA1002" s="22"/>
      <c r="AB1002" s="22"/>
      <c r="AC1002" s="22"/>
      <c r="AD1002" s="22"/>
    </row>
    <row r="1003" spans="1:30" ht="15.75" customHeight="1" x14ac:dyDescent="0.15">
      <c r="A1003" s="22"/>
      <c r="B1003" s="22"/>
      <c r="C1003" s="22"/>
      <c r="D1003" s="22"/>
      <c r="E1003" s="22"/>
      <c r="F1003" s="28"/>
      <c r="G1003" s="28"/>
      <c r="H1003" s="28"/>
      <c r="I1003" s="28"/>
      <c r="J1003" s="28"/>
      <c r="K1003" s="28"/>
      <c r="L1003" s="28"/>
      <c r="M1003" s="22"/>
      <c r="N1003" s="22"/>
      <c r="O1003" s="22"/>
      <c r="P1003" s="22"/>
      <c r="Q1003" s="22"/>
      <c r="R1003" s="28"/>
      <c r="S1003" s="28"/>
      <c r="T1003" s="28"/>
      <c r="U1003" s="28"/>
      <c r="V1003" s="22"/>
      <c r="W1003" s="22"/>
      <c r="X1003" s="22"/>
      <c r="Y1003" s="22"/>
      <c r="Z1003" s="22"/>
      <c r="AA1003" s="22"/>
      <c r="AB1003" s="22"/>
      <c r="AC1003" s="22"/>
      <c r="AD1003" s="22"/>
    </row>
    <row r="1004" spans="1:30" ht="15.75" customHeight="1" x14ac:dyDescent="0.15">
      <c r="A1004" s="22"/>
      <c r="B1004" s="22"/>
      <c r="C1004" s="22"/>
      <c r="D1004" s="22"/>
      <c r="E1004" s="22"/>
      <c r="F1004" s="28"/>
      <c r="G1004" s="28"/>
      <c r="H1004" s="28"/>
      <c r="I1004" s="28"/>
      <c r="J1004" s="28"/>
      <c r="K1004" s="28"/>
      <c r="L1004" s="28"/>
      <c r="M1004" s="22"/>
      <c r="N1004" s="22"/>
      <c r="O1004" s="22"/>
      <c r="P1004" s="22"/>
      <c r="Q1004" s="22"/>
      <c r="R1004" s="28"/>
      <c r="S1004" s="28"/>
      <c r="T1004" s="28"/>
      <c r="U1004" s="28"/>
      <c r="V1004" s="22"/>
      <c r="W1004" s="22"/>
      <c r="X1004" s="22"/>
      <c r="Y1004" s="22"/>
      <c r="Z1004" s="22"/>
      <c r="AA1004" s="22"/>
      <c r="AB1004" s="22"/>
      <c r="AC1004" s="22"/>
      <c r="AD1004" s="22"/>
    </row>
    <row r="1005" spans="1:30" ht="15.75" customHeight="1" x14ac:dyDescent="0.15">
      <c r="A1005" s="22"/>
      <c r="B1005" s="22"/>
      <c r="C1005" s="22"/>
      <c r="D1005" s="22"/>
      <c r="E1005" s="22"/>
      <c r="F1005" s="28"/>
      <c r="G1005" s="28"/>
      <c r="H1005" s="28"/>
      <c r="I1005" s="28"/>
      <c r="J1005" s="28"/>
      <c r="K1005" s="28"/>
      <c r="L1005" s="28"/>
      <c r="M1005" s="22"/>
      <c r="N1005" s="22"/>
      <c r="O1005" s="22"/>
      <c r="P1005" s="22"/>
      <c r="Q1005" s="22"/>
      <c r="R1005" s="28"/>
      <c r="S1005" s="28"/>
      <c r="T1005" s="28"/>
      <c r="U1005" s="28"/>
      <c r="V1005" s="22"/>
      <c r="W1005" s="22"/>
      <c r="X1005" s="22"/>
      <c r="Y1005" s="22"/>
      <c r="Z1005" s="22"/>
      <c r="AA1005" s="22"/>
      <c r="AB1005" s="22"/>
      <c r="AC1005" s="22"/>
      <c r="AD1005" s="22"/>
    </row>
    <row r="1006" spans="1:30" ht="15.75" customHeight="1" x14ac:dyDescent="0.15">
      <c r="A1006" s="22"/>
      <c r="B1006" s="22"/>
      <c r="C1006" s="22"/>
      <c r="D1006" s="22"/>
      <c r="E1006" s="22"/>
      <c r="F1006" s="28"/>
      <c r="G1006" s="28"/>
      <c r="H1006" s="28"/>
      <c r="I1006" s="28"/>
      <c r="J1006" s="28"/>
      <c r="K1006" s="28"/>
      <c r="L1006" s="28"/>
      <c r="M1006" s="22"/>
      <c r="N1006" s="22"/>
      <c r="O1006" s="22"/>
      <c r="P1006" s="22"/>
      <c r="Q1006" s="22"/>
      <c r="R1006" s="28"/>
      <c r="S1006" s="28"/>
      <c r="T1006" s="28"/>
      <c r="U1006" s="28"/>
      <c r="V1006" s="22"/>
      <c r="W1006" s="22"/>
      <c r="X1006" s="22"/>
      <c r="Y1006" s="22"/>
      <c r="Z1006" s="22"/>
      <c r="AA1006" s="22"/>
      <c r="AB1006" s="22"/>
      <c r="AC1006" s="22"/>
      <c r="AD1006" s="22"/>
    </row>
    <row r="1007" spans="1:30" ht="15.75" customHeight="1" x14ac:dyDescent="0.15">
      <c r="A1007" s="22"/>
      <c r="B1007" s="22"/>
      <c r="C1007" s="22"/>
      <c r="D1007" s="22"/>
      <c r="E1007" s="22"/>
      <c r="F1007" s="28"/>
      <c r="G1007" s="28"/>
      <c r="H1007" s="28"/>
      <c r="I1007" s="28"/>
      <c r="J1007" s="28"/>
      <c r="K1007" s="28"/>
      <c r="L1007" s="28"/>
      <c r="M1007" s="22"/>
      <c r="N1007" s="22"/>
      <c r="O1007" s="22"/>
      <c r="P1007" s="22"/>
      <c r="Q1007" s="22"/>
      <c r="R1007" s="28"/>
      <c r="S1007" s="28"/>
      <c r="T1007" s="28"/>
      <c r="U1007" s="28"/>
      <c r="V1007" s="22"/>
      <c r="W1007" s="22"/>
      <c r="X1007" s="22"/>
      <c r="Y1007" s="22"/>
      <c r="Z1007" s="22"/>
      <c r="AA1007" s="22"/>
      <c r="AB1007" s="22"/>
      <c r="AC1007" s="22"/>
      <c r="AD1007" s="22"/>
    </row>
    <row r="1008" spans="1:30" ht="15.75" customHeight="1" x14ac:dyDescent="0.15">
      <c r="A1008" s="22"/>
      <c r="B1008" s="22"/>
      <c r="C1008" s="22"/>
      <c r="D1008" s="22"/>
      <c r="E1008" s="22"/>
      <c r="F1008" s="28"/>
      <c r="G1008" s="28"/>
      <c r="H1008" s="28"/>
      <c r="I1008" s="28"/>
      <c r="J1008" s="28"/>
      <c r="K1008" s="28"/>
      <c r="L1008" s="28"/>
      <c r="M1008" s="22"/>
      <c r="N1008" s="22"/>
      <c r="O1008" s="22"/>
      <c r="P1008" s="22"/>
      <c r="Q1008" s="22"/>
      <c r="R1008" s="28"/>
      <c r="S1008" s="28"/>
      <c r="T1008" s="28"/>
      <c r="U1008" s="28"/>
      <c r="V1008" s="22"/>
      <c r="W1008" s="22"/>
      <c r="X1008" s="22"/>
      <c r="Y1008" s="22"/>
      <c r="Z1008" s="22"/>
      <c r="AA1008" s="22"/>
      <c r="AB1008" s="22"/>
      <c r="AC1008" s="22"/>
      <c r="AD1008" s="22"/>
    </row>
    <row r="1009" spans="1:30" ht="15.75" customHeight="1" x14ac:dyDescent="0.15">
      <c r="A1009" s="22"/>
      <c r="B1009" s="22"/>
      <c r="C1009" s="22"/>
      <c r="D1009" s="22"/>
      <c r="E1009" s="22"/>
      <c r="F1009" s="28"/>
      <c r="G1009" s="28"/>
      <c r="H1009" s="28"/>
      <c r="I1009" s="28"/>
      <c r="J1009" s="28"/>
      <c r="K1009" s="28"/>
      <c r="L1009" s="28"/>
      <c r="M1009" s="22"/>
      <c r="N1009" s="22"/>
      <c r="O1009" s="22"/>
      <c r="P1009" s="22"/>
      <c r="Q1009" s="22"/>
      <c r="R1009" s="28"/>
      <c r="S1009" s="28"/>
      <c r="T1009" s="28"/>
      <c r="U1009" s="28"/>
      <c r="V1009" s="22"/>
      <c r="W1009" s="22"/>
      <c r="X1009" s="22"/>
      <c r="Y1009" s="22"/>
      <c r="Z1009" s="22"/>
      <c r="AA1009" s="22"/>
      <c r="AB1009" s="22"/>
      <c r="AC1009" s="22"/>
      <c r="AD1009" s="22"/>
    </row>
    <row r="1010" spans="1:30" ht="15.75" customHeight="1" x14ac:dyDescent="0.15">
      <c r="A1010" s="22"/>
      <c r="B1010" s="22"/>
      <c r="C1010" s="22"/>
      <c r="D1010" s="22"/>
      <c r="E1010" s="22"/>
      <c r="F1010" s="28"/>
      <c r="G1010" s="28"/>
      <c r="H1010" s="28"/>
      <c r="I1010" s="28"/>
      <c r="J1010" s="28"/>
      <c r="K1010" s="28"/>
      <c r="L1010" s="28"/>
      <c r="M1010" s="22"/>
      <c r="N1010" s="22"/>
      <c r="O1010" s="22"/>
      <c r="P1010" s="22"/>
      <c r="Q1010" s="22"/>
      <c r="R1010" s="28"/>
      <c r="S1010" s="28"/>
      <c r="T1010" s="28"/>
      <c r="U1010" s="28"/>
      <c r="V1010" s="22"/>
      <c r="W1010" s="22"/>
      <c r="X1010" s="22"/>
      <c r="Y1010" s="22"/>
      <c r="Z1010" s="22"/>
      <c r="AA1010" s="22"/>
      <c r="AB1010" s="22"/>
      <c r="AC1010" s="22"/>
      <c r="AD1010" s="22"/>
    </row>
    <row r="1011" spans="1:30" ht="15.75" customHeight="1" x14ac:dyDescent="0.15">
      <c r="A1011" s="22"/>
      <c r="B1011" s="22"/>
      <c r="C1011" s="22"/>
      <c r="D1011" s="22"/>
      <c r="E1011" s="22"/>
      <c r="F1011" s="28"/>
      <c r="G1011" s="28"/>
      <c r="H1011" s="28"/>
      <c r="I1011" s="28"/>
      <c r="J1011" s="28"/>
      <c r="K1011" s="28"/>
      <c r="L1011" s="28"/>
      <c r="M1011" s="22"/>
      <c r="N1011" s="22"/>
      <c r="O1011" s="22"/>
      <c r="P1011" s="22"/>
      <c r="Q1011" s="22"/>
      <c r="R1011" s="28"/>
      <c r="S1011" s="28"/>
      <c r="T1011" s="28"/>
      <c r="U1011" s="28"/>
      <c r="V1011" s="22"/>
      <c r="W1011" s="22"/>
      <c r="X1011" s="22"/>
      <c r="Y1011" s="22"/>
      <c r="Z1011" s="22"/>
      <c r="AA1011" s="22"/>
      <c r="AB1011" s="22"/>
      <c r="AC1011" s="22"/>
      <c r="AD1011" s="22"/>
    </row>
    <row r="1012" spans="1:30" ht="15.75" customHeight="1" x14ac:dyDescent="0.15">
      <c r="A1012" s="22"/>
      <c r="B1012" s="22"/>
      <c r="C1012" s="22"/>
      <c r="D1012" s="22"/>
      <c r="E1012" s="22"/>
      <c r="F1012" s="28"/>
      <c r="G1012" s="28"/>
      <c r="H1012" s="28"/>
      <c r="I1012" s="28"/>
      <c r="J1012" s="28"/>
      <c r="K1012" s="28"/>
      <c r="L1012" s="28"/>
      <c r="M1012" s="22"/>
      <c r="N1012" s="22"/>
      <c r="O1012" s="22"/>
      <c r="P1012" s="22"/>
      <c r="Q1012" s="22"/>
      <c r="R1012" s="28"/>
      <c r="S1012" s="28"/>
      <c r="T1012" s="28"/>
      <c r="U1012" s="28"/>
      <c r="V1012" s="22"/>
      <c r="W1012" s="22"/>
      <c r="X1012" s="22"/>
      <c r="Y1012" s="22"/>
      <c r="Z1012" s="22"/>
      <c r="AA1012" s="22"/>
      <c r="AB1012" s="22"/>
      <c r="AC1012" s="22"/>
      <c r="AD1012" s="22"/>
    </row>
    <row r="1013" spans="1:30" ht="15.75" customHeight="1" x14ac:dyDescent="0.15">
      <c r="A1013" s="22"/>
      <c r="B1013" s="22"/>
      <c r="C1013" s="22"/>
      <c r="D1013" s="22"/>
      <c r="E1013" s="22"/>
      <c r="F1013" s="28"/>
      <c r="G1013" s="28"/>
      <c r="H1013" s="28"/>
      <c r="I1013" s="28"/>
      <c r="J1013" s="28"/>
      <c r="K1013" s="28"/>
      <c r="L1013" s="28"/>
      <c r="M1013" s="22"/>
      <c r="N1013" s="22"/>
      <c r="O1013" s="22"/>
      <c r="P1013" s="22"/>
      <c r="Q1013" s="22"/>
      <c r="R1013" s="28"/>
      <c r="S1013" s="28"/>
      <c r="T1013" s="28"/>
      <c r="U1013" s="28"/>
      <c r="V1013" s="22"/>
      <c r="W1013" s="22"/>
      <c r="X1013" s="22"/>
      <c r="Y1013" s="22"/>
      <c r="Z1013" s="22"/>
      <c r="AA1013" s="22"/>
      <c r="AB1013" s="22"/>
      <c r="AC1013" s="22"/>
      <c r="AD1013" s="22"/>
    </row>
    <row r="1014" spans="1:30" ht="15.75" customHeight="1" x14ac:dyDescent="0.15">
      <c r="A1014" s="22"/>
      <c r="B1014" s="22"/>
      <c r="C1014" s="22"/>
      <c r="D1014" s="22"/>
      <c r="E1014" s="22"/>
      <c r="F1014" s="28"/>
      <c r="G1014" s="28"/>
      <c r="H1014" s="28"/>
      <c r="I1014" s="28"/>
      <c r="J1014" s="28"/>
      <c r="K1014" s="28"/>
      <c r="L1014" s="28"/>
      <c r="M1014" s="22"/>
      <c r="N1014" s="22"/>
      <c r="O1014" s="22"/>
      <c r="P1014" s="22"/>
      <c r="Q1014" s="22"/>
      <c r="R1014" s="28"/>
      <c r="S1014" s="28"/>
      <c r="T1014" s="28"/>
      <c r="U1014" s="28"/>
      <c r="V1014" s="22"/>
      <c r="W1014" s="22"/>
      <c r="X1014" s="22"/>
      <c r="Y1014" s="22"/>
      <c r="Z1014" s="22"/>
      <c r="AA1014" s="22"/>
      <c r="AB1014" s="22"/>
      <c r="AC1014" s="22"/>
      <c r="AD1014" s="22"/>
    </row>
    <row r="1015" spans="1:30" ht="15.75" customHeight="1" x14ac:dyDescent="0.15">
      <c r="A1015" s="22"/>
      <c r="B1015" s="22"/>
      <c r="C1015" s="22"/>
      <c r="D1015" s="22"/>
      <c r="E1015" s="22"/>
      <c r="F1015" s="28"/>
      <c r="G1015" s="28"/>
      <c r="H1015" s="28"/>
      <c r="I1015" s="28"/>
      <c r="J1015" s="28"/>
      <c r="K1015" s="28"/>
      <c r="L1015" s="28"/>
      <c r="M1015" s="22"/>
      <c r="N1015" s="22"/>
      <c r="O1015" s="22"/>
      <c r="P1015" s="22"/>
      <c r="Q1015" s="22"/>
      <c r="R1015" s="28"/>
      <c r="S1015" s="28"/>
      <c r="T1015" s="28"/>
      <c r="U1015" s="28"/>
      <c r="V1015" s="22"/>
      <c r="W1015" s="22"/>
      <c r="X1015" s="22"/>
      <c r="Y1015" s="22"/>
      <c r="Z1015" s="22"/>
      <c r="AA1015" s="22"/>
      <c r="AB1015" s="22"/>
      <c r="AC1015" s="22"/>
      <c r="AD1015" s="22"/>
    </row>
    <row r="1016" spans="1:30" ht="15.75" customHeight="1" x14ac:dyDescent="0.15">
      <c r="A1016" s="22"/>
      <c r="B1016" s="22"/>
      <c r="C1016" s="22"/>
      <c r="D1016" s="22"/>
      <c r="E1016" s="22"/>
      <c r="F1016" s="28"/>
      <c r="G1016" s="28"/>
      <c r="H1016" s="28"/>
      <c r="I1016" s="28"/>
      <c r="J1016" s="28"/>
      <c r="K1016" s="28"/>
      <c r="L1016" s="28"/>
      <c r="M1016" s="22"/>
      <c r="N1016" s="22"/>
      <c r="O1016" s="22"/>
      <c r="P1016" s="22"/>
      <c r="Q1016" s="22"/>
      <c r="R1016" s="28"/>
      <c r="S1016" s="28"/>
      <c r="T1016" s="28"/>
      <c r="U1016" s="28"/>
      <c r="V1016" s="22"/>
      <c r="W1016" s="22"/>
      <c r="X1016" s="22"/>
      <c r="Y1016" s="22"/>
      <c r="Z1016" s="22"/>
      <c r="AA1016" s="22"/>
      <c r="AB1016" s="22"/>
      <c r="AC1016" s="22"/>
      <c r="AD1016" s="22"/>
    </row>
    <row r="1017" spans="1:30" ht="15.75" customHeight="1" x14ac:dyDescent="0.15">
      <c r="A1017" s="22"/>
      <c r="B1017" s="22"/>
      <c r="C1017" s="22"/>
      <c r="D1017" s="22"/>
      <c r="E1017" s="22"/>
      <c r="F1017" s="28"/>
      <c r="G1017" s="28"/>
      <c r="H1017" s="28"/>
      <c r="I1017" s="28"/>
      <c r="J1017" s="28"/>
      <c r="K1017" s="28"/>
      <c r="L1017" s="28"/>
      <c r="M1017" s="22"/>
      <c r="N1017" s="22"/>
      <c r="O1017" s="22"/>
      <c r="P1017" s="22"/>
      <c r="Q1017" s="22"/>
      <c r="R1017" s="28"/>
      <c r="S1017" s="28"/>
      <c r="T1017" s="28"/>
      <c r="U1017" s="28"/>
      <c r="V1017" s="22"/>
      <c r="W1017" s="22"/>
      <c r="X1017" s="22"/>
      <c r="Y1017" s="22"/>
      <c r="Z1017" s="22"/>
      <c r="AA1017" s="22"/>
      <c r="AB1017" s="22"/>
      <c r="AC1017" s="22"/>
      <c r="AD1017" s="22"/>
    </row>
    <row r="1018" spans="1:30" ht="15.75" customHeight="1" x14ac:dyDescent="0.15">
      <c r="A1018" s="22"/>
      <c r="B1018" s="22"/>
      <c r="C1018" s="22"/>
      <c r="D1018" s="22"/>
      <c r="E1018" s="22"/>
      <c r="F1018" s="28"/>
      <c r="G1018" s="28"/>
      <c r="H1018" s="28"/>
      <c r="I1018" s="28"/>
      <c r="J1018" s="28"/>
      <c r="K1018" s="28"/>
      <c r="L1018" s="28"/>
      <c r="M1018" s="22"/>
      <c r="N1018" s="22"/>
      <c r="O1018" s="22"/>
      <c r="P1018" s="22"/>
      <c r="Q1018" s="22"/>
      <c r="R1018" s="28"/>
      <c r="S1018" s="28"/>
      <c r="T1018" s="28"/>
      <c r="U1018" s="28"/>
      <c r="V1018" s="22"/>
      <c r="W1018" s="22"/>
      <c r="X1018" s="22"/>
      <c r="Y1018" s="22"/>
      <c r="Z1018" s="22"/>
      <c r="AA1018" s="22"/>
      <c r="AB1018" s="22"/>
      <c r="AC1018" s="22"/>
      <c r="AD1018" s="22"/>
    </row>
    <row r="1019" spans="1:30" ht="15.75" customHeight="1" x14ac:dyDescent="0.15">
      <c r="A1019" s="22"/>
      <c r="B1019" s="22"/>
      <c r="C1019" s="22"/>
      <c r="D1019" s="22"/>
      <c r="E1019" s="22"/>
      <c r="F1019" s="28"/>
      <c r="G1019" s="28"/>
      <c r="H1019" s="28"/>
      <c r="I1019" s="28"/>
      <c r="J1019" s="28"/>
      <c r="K1019" s="28"/>
      <c r="L1019" s="28"/>
      <c r="M1019" s="22"/>
      <c r="N1019" s="22"/>
      <c r="O1019" s="22"/>
      <c r="P1019" s="22"/>
      <c r="Q1019" s="22"/>
      <c r="R1019" s="28"/>
      <c r="S1019" s="28"/>
      <c r="T1019" s="28"/>
      <c r="U1019" s="28"/>
      <c r="V1019" s="22"/>
      <c r="W1019" s="22"/>
      <c r="X1019" s="22"/>
      <c r="Y1019" s="22"/>
      <c r="Z1019" s="22"/>
      <c r="AA1019" s="22"/>
      <c r="AB1019" s="22"/>
      <c r="AC1019" s="22"/>
      <c r="AD1019" s="22"/>
    </row>
    <row r="1020" spans="1:30" ht="15.75" customHeight="1" x14ac:dyDescent="0.15">
      <c r="A1020" s="22"/>
      <c r="B1020" s="22"/>
      <c r="C1020" s="22"/>
      <c r="D1020" s="22"/>
      <c r="E1020" s="22"/>
      <c r="F1020" s="28"/>
      <c r="G1020" s="28"/>
      <c r="H1020" s="28"/>
      <c r="I1020" s="28"/>
      <c r="J1020" s="28"/>
      <c r="K1020" s="28"/>
      <c r="L1020" s="28"/>
      <c r="M1020" s="22"/>
      <c r="N1020" s="22"/>
      <c r="O1020" s="22"/>
      <c r="P1020" s="22"/>
      <c r="Q1020" s="22"/>
      <c r="R1020" s="28"/>
      <c r="S1020" s="28"/>
      <c r="T1020" s="28"/>
      <c r="U1020" s="28"/>
      <c r="V1020" s="22"/>
      <c r="W1020" s="22"/>
      <c r="X1020" s="22"/>
      <c r="Y1020" s="22"/>
      <c r="Z1020" s="22"/>
      <c r="AA1020" s="22"/>
      <c r="AB1020" s="22"/>
      <c r="AC1020" s="22"/>
      <c r="AD1020" s="22"/>
    </row>
    <row r="1021" spans="1:30" ht="15.75" customHeight="1" x14ac:dyDescent="0.15">
      <c r="A1021" s="22"/>
      <c r="B1021" s="22"/>
      <c r="C1021" s="22"/>
      <c r="D1021" s="22"/>
      <c r="E1021" s="22"/>
      <c r="F1021" s="28"/>
      <c r="G1021" s="28"/>
      <c r="H1021" s="28"/>
      <c r="I1021" s="28"/>
      <c r="J1021" s="28"/>
      <c r="K1021" s="28"/>
      <c r="L1021" s="28"/>
      <c r="M1021" s="22"/>
      <c r="N1021" s="22"/>
      <c r="O1021" s="22"/>
      <c r="P1021" s="22"/>
      <c r="Q1021" s="22"/>
      <c r="R1021" s="28"/>
      <c r="S1021" s="28"/>
      <c r="T1021" s="28"/>
      <c r="U1021" s="28"/>
      <c r="V1021" s="22"/>
      <c r="W1021" s="22"/>
      <c r="X1021" s="22"/>
      <c r="Y1021" s="22"/>
      <c r="Z1021" s="22"/>
      <c r="AA1021" s="22"/>
      <c r="AB1021" s="22"/>
      <c r="AC1021" s="22"/>
      <c r="AD1021" s="22"/>
    </row>
    <row r="1022" spans="1:30" ht="15.75" customHeight="1" x14ac:dyDescent="0.15">
      <c r="A1022" s="22"/>
      <c r="B1022" s="22"/>
      <c r="C1022" s="22"/>
      <c r="D1022" s="22"/>
      <c r="E1022" s="22"/>
      <c r="F1022" s="28"/>
      <c r="G1022" s="28"/>
      <c r="H1022" s="28"/>
      <c r="I1022" s="28"/>
      <c r="J1022" s="28"/>
      <c r="K1022" s="28"/>
      <c r="L1022" s="28"/>
      <c r="M1022" s="22"/>
      <c r="N1022" s="22"/>
      <c r="O1022" s="22"/>
      <c r="P1022" s="22"/>
      <c r="Q1022" s="22"/>
      <c r="R1022" s="28"/>
      <c r="S1022" s="28"/>
      <c r="T1022" s="28"/>
      <c r="U1022" s="28"/>
      <c r="V1022" s="22"/>
      <c r="W1022" s="22"/>
      <c r="X1022" s="22"/>
      <c r="Y1022" s="22"/>
      <c r="Z1022" s="22"/>
      <c r="AA1022" s="22"/>
      <c r="AB1022" s="22"/>
      <c r="AC1022" s="22"/>
      <c r="AD1022" s="22"/>
    </row>
    <row r="1023" spans="1:30" ht="15.75" customHeight="1" x14ac:dyDescent="0.15">
      <c r="A1023" s="22"/>
      <c r="B1023" s="22"/>
      <c r="C1023" s="22"/>
      <c r="D1023" s="22"/>
      <c r="E1023" s="22"/>
      <c r="F1023" s="28"/>
      <c r="G1023" s="28"/>
      <c r="H1023" s="28"/>
      <c r="I1023" s="28"/>
      <c r="J1023" s="28"/>
      <c r="K1023" s="28"/>
      <c r="L1023" s="28"/>
      <c r="M1023" s="22"/>
      <c r="N1023" s="22"/>
      <c r="O1023" s="22"/>
      <c r="P1023" s="22"/>
      <c r="Q1023" s="22"/>
      <c r="R1023" s="28"/>
      <c r="S1023" s="28"/>
      <c r="T1023" s="28"/>
      <c r="U1023" s="28"/>
      <c r="V1023" s="22"/>
      <c r="W1023" s="22"/>
      <c r="X1023" s="22"/>
      <c r="Y1023" s="22"/>
      <c r="Z1023" s="22"/>
      <c r="AA1023" s="22"/>
      <c r="AB1023" s="22"/>
      <c r="AC1023" s="22"/>
      <c r="AD1023" s="22"/>
    </row>
    <row r="1024" spans="1:30" ht="15.75" customHeight="1" x14ac:dyDescent="0.15">
      <c r="A1024" s="22"/>
      <c r="B1024" s="22"/>
      <c r="C1024" s="22"/>
      <c r="D1024" s="22"/>
      <c r="E1024" s="22"/>
      <c r="F1024" s="28"/>
      <c r="G1024" s="28"/>
      <c r="H1024" s="28"/>
      <c r="I1024" s="28"/>
      <c r="J1024" s="28"/>
      <c r="K1024" s="28"/>
      <c r="L1024" s="28"/>
      <c r="M1024" s="22"/>
      <c r="N1024" s="22"/>
      <c r="O1024" s="22"/>
      <c r="P1024" s="22"/>
      <c r="Q1024" s="22"/>
      <c r="R1024" s="28"/>
      <c r="S1024" s="28"/>
      <c r="T1024" s="28"/>
      <c r="U1024" s="28"/>
      <c r="V1024" s="22"/>
      <c r="W1024" s="22"/>
      <c r="X1024" s="22"/>
      <c r="Y1024" s="22"/>
      <c r="Z1024" s="22"/>
      <c r="AA1024" s="22"/>
      <c r="AB1024" s="22"/>
      <c r="AC1024" s="22"/>
      <c r="AD1024" s="22"/>
    </row>
    <row r="1025" spans="1:30" ht="15.75" customHeight="1" x14ac:dyDescent="0.15">
      <c r="A1025" s="22"/>
      <c r="B1025" s="22"/>
      <c r="C1025" s="22"/>
      <c r="D1025" s="22"/>
      <c r="E1025" s="22"/>
      <c r="F1025" s="28"/>
      <c r="G1025" s="28"/>
      <c r="H1025" s="28"/>
      <c r="I1025" s="28"/>
      <c r="J1025" s="28"/>
      <c r="K1025" s="28"/>
      <c r="L1025" s="28"/>
      <c r="M1025" s="22"/>
      <c r="N1025" s="22"/>
      <c r="O1025" s="22"/>
      <c r="P1025" s="22"/>
      <c r="Q1025" s="22"/>
      <c r="R1025" s="28"/>
      <c r="S1025" s="28"/>
      <c r="T1025" s="28"/>
      <c r="U1025" s="28"/>
      <c r="V1025" s="22"/>
      <c r="W1025" s="22"/>
      <c r="X1025" s="22"/>
      <c r="Y1025" s="22"/>
      <c r="Z1025" s="22"/>
      <c r="AA1025" s="22"/>
      <c r="AB1025" s="22"/>
      <c r="AC1025" s="22"/>
      <c r="AD1025" s="22"/>
    </row>
    <row r="1026" spans="1:30" ht="15.75" customHeight="1" x14ac:dyDescent="0.15">
      <c r="A1026" s="22"/>
      <c r="B1026" s="22"/>
      <c r="C1026" s="22"/>
      <c r="D1026" s="22"/>
      <c r="E1026" s="22"/>
      <c r="F1026" s="28"/>
      <c r="G1026" s="28"/>
      <c r="H1026" s="28"/>
      <c r="I1026" s="28"/>
      <c r="J1026" s="28"/>
      <c r="K1026" s="28"/>
      <c r="L1026" s="28"/>
      <c r="M1026" s="22"/>
      <c r="N1026" s="22"/>
      <c r="O1026" s="22"/>
      <c r="P1026" s="22"/>
      <c r="Q1026" s="22"/>
      <c r="R1026" s="28"/>
      <c r="S1026" s="28"/>
      <c r="T1026" s="28"/>
      <c r="U1026" s="28"/>
      <c r="V1026" s="22"/>
      <c r="W1026" s="22"/>
      <c r="X1026" s="22"/>
      <c r="Y1026" s="22"/>
      <c r="Z1026" s="22"/>
      <c r="AA1026" s="22"/>
      <c r="AB1026" s="22"/>
      <c r="AC1026" s="22"/>
      <c r="AD1026" s="22"/>
    </row>
    <row r="1027" spans="1:30" ht="15.75" customHeight="1" x14ac:dyDescent="0.15">
      <c r="A1027" s="22"/>
      <c r="B1027" s="22"/>
      <c r="C1027" s="22"/>
      <c r="D1027" s="22"/>
      <c r="E1027" s="22"/>
      <c r="F1027" s="28"/>
      <c r="G1027" s="28"/>
      <c r="H1027" s="28"/>
      <c r="I1027" s="28"/>
      <c r="J1027" s="28"/>
      <c r="K1027" s="28"/>
      <c r="L1027" s="28"/>
      <c r="M1027" s="22"/>
      <c r="N1027" s="22"/>
      <c r="O1027" s="22"/>
      <c r="P1027" s="22"/>
      <c r="Q1027" s="22"/>
      <c r="R1027" s="28"/>
      <c r="S1027" s="28"/>
      <c r="T1027" s="28"/>
      <c r="U1027" s="28"/>
      <c r="V1027" s="22"/>
      <c r="W1027" s="22"/>
      <c r="X1027" s="22"/>
      <c r="Y1027" s="22"/>
      <c r="Z1027" s="22"/>
      <c r="AA1027" s="22"/>
      <c r="AB1027" s="22"/>
      <c r="AC1027" s="22"/>
      <c r="AD1027" s="22"/>
    </row>
    <row r="1028" spans="1:30" ht="15.75" customHeight="1" x14ac:dyDescent="0.15">
      <c r="A1028" s="22"/>
      <c r="B1028" s="22"/>
      <c r="C1028" s="22"/>
      <c r="D1028" s="22"/>
      <c r="E1028" s="22"/>
      <c r="F1028" s="28"/>
      <c r="G1028" s="28"/>
      <c r="H1028" s="28"/>
      <c r="I1028" s="28"/>
      <c r="J1028" s="28"/>
      <c r="K1028" s="28"/>
      <c r="L1028" s="28"/>
      <c r="M1028" s="22"/>
      <c r="N1028" s="22"/>
      <c r="O1028" s="22"/>
      <c r="P1028" s="22"/>
      <c r="Q1028" s="22"/>
      <c r="R1028" s="28"/>
      <c r="S1028" s="28"/>
      <c r="T1028" s="28"/>
      <c r="U1028" s="28"/>
      <c r="V1028" s="22"/>
      <c r="W1028" s="22"/>
      <c r="X1028" s="22"/>
      <c r="Y1028" s="22"/>
      <c r="Z1028" s="22"/>
      <c r="AA1028" s="22"/>
      <c r="AB1028" s="22"/>
      <c r="AC1028" s="22"/>
      <c r="AD1028" s="22"/>
    </row>
    <row r="1029" spans="1:30" ht="15.75" customHeight="1" x14ac:dyDescent="0.15">
      <c r="A1029" s="22"/>
      <c r="B1029" s="22"/>
      <c r="C1029" s="22"/>
      <c r="D1029" s="22"/>
      <c r="E1029" s="22"/>
      <c r="F1029" s="28"/>
      <c r="G1029" s="28"/>
      <c r="H1029" s="28"/>
      <c r="I1029" s="28"/>
      <c r="J1029" s="28"/>
      <c r="K1029" s="28"/>
      <c r="L1029" s="28"/>
      <c r="M1029" s="22"/>
      <c r="N1029" s="22"/>
      <c r="O1029" s="22"/>
      <c r="P1029" s="22"/>
      <c r="Q1029" s="22"/>
      <c r="R1029" s="28"/>
      <c r="S1029" s="28"/>
      <c r="T1029" s="28"/>
      <c r="U1029" s="28"/>
      <c r="V1029" s="22"/>
      <c r="W1029" s="22"/>
      <c r="X1029" s="22"/>
      <c r="Y1029" s="22"/>
      <c r="Z1029" s="22"/>
      <c r="AA1029" s="22"/>
      <c r="AB1029" s="22"/>
      <c r="AC1029" s="22"/>
      <c r="AD1029" s="22"/>
    </row>
    <row r="1030" spans="1:30" ht="15.75" customHeight="1" x14ac:dyDescent="0.15">
      <c r="A1030" s="22"/>
      <c r="B1030" s="22"/>
      <c r="C1030" s="22"/>
      <c r="D1030" s="22"/>
      <c r="E1030" s="22"/>
      <c r="F1030" s="28"/>
      <c r="G1030" s="28"/>
      <c r="H1030" s="28"/>
      <c r="I1030" s="28"/>
      <c r="J1030" s="28"/>
      <c r="K1030" s="28"/>
      <c r="L1030" s="28"/>
      <c r="M1030" s="22"/>
      <c r="N1030" s="22"/>
      <c r="O1030" s="22"/>
      <c r="P1030" s="22"/>
      <c r="Q1030" s="22"/>
      <c r="R1030" s="28"/>
      <c r="S1030" s="28"/>
      <c r="T1030" s="28"/>
      <c r="U1030" s="28"/>
      <c r="V1030" s="22"/>
      <c r="W1030" s="22"/>
      <c r="X1030" s="22"/>
      <c r="Y1030" s="22"/>
      <c r="Z1030" s="22"/>
      <c r="AA1030" s="22"/>
      <c r="AB1030" s="22"/>
      <c r="AC1030" s="22"/>
      <c r="AD1030" s="22"/>
    </row>
    <row r="1031" spans="1:30" ht="15.75" customHeight="1" x14ac:dyDescent="0.15">
      <c r="A1031" s="22"/>
      <c r="B1031" s="22"/>
      <c r="C1031" s="22"/>
      <c r="D1031" s="22"/>
      <c r="E1031" s="22"/>
      <c r="F1031" s="28"/>
      <c r="G1031" s="28"/>
      <c r="H1031" s="28"/>
      <c r="I1031" s="28"/>
      <c r="J1031" s="28"/>
      <c r="K1031" s="28"/>
      <c r="L1031" s="28"/>
      <c r="M1031" s="22"/>
      <c r="N1031" s="22"/>
      <c r="O1031" s="22"/>
      <c r="P1031" s="22"/>
      <c r="Q1031" s="22"/>
      <c r="R1031" s="28"/>
      <c r="S1031" s="28"/>
      <c r="T1031" s="28"/>
      <c r="U1031" s="28"/>
      <c r="V1031" s="22"/>
      <c r="W1031" s="22"/>
      <c r="X1031" s="22"/>
      <c r="Y1031" s="22"/>
      <c r="Z1031" s="22"/>
      <c r="AA1031" s="22"/>
      <c r="AB1031" s="22"/>
      <c r="AC1031" s="22"/>
      <c r="AD1031" s="22"/>
    </row>
    <row r="1032" spans="1:30" ht="15.75" customHeight="1" x14ac:dyDescent="0.15">
      <c r="A1032" s="22"/>
      <c r="B1032" s="22"/>
      <c r="C1032" s="22"/>
      <c r="D1032" s="22"/>
      <c r="E1032" s="22"/>
      <c r="F1032" s="28"/>
      <c r="G1032" s="28"/>
      <c r="H1032" s="28"/>
      <c r="I1032" s="28"/>
      <c r="J1032" s="28"/>
      <c r="K1032" s="28"/>
      <c r="L1032" s="28"/>
      <c r="M1032" s="22"/>
      <c r="N1032" s="22"/>
      <c r="O1032" s="22"/>
      <c r="P1032" s="22"/>
      <c r="Q1032" s="22"/>
      <c r="R1032" s="28"/>
      <c r="S1032" s="28"/>
      <c r="T1032" s="28"/>
      <c r="U1032" s="28"/>
      <c r="V1032" s="22"/>
      <c r="W1032" s="22"/>
      <c r="X1032" s="22"/>
      <c r="Y1032" s="22"/>
      <c r="Z1032" s="22"/>
      <c r="AA1032" s="22"/>
      <c r="AB1032" s="22"/>
      <c r="AC1032" s="22"/>
      <c r="AD1032" s="22"/>
    </row>
    <row r="1033" spans="1:30" ht="15.75" customHeight="1" x14ac:dyDescent="0.15">
      <c r="A1033" s="22"/>
      <c r="B1033" s="22"/>
      <c r="C1033" s="22"/>
      <c r="D1033" s="22"/>
      <c r="E1033" s="22"/>
      <c r="F1033" s="28"/>
      <c r="G1033" s="28"/>
      <c r="H1033" s="28"/>
      <c r="I1033" s="28"/>
      <c r="J1033" s="28"/>
      <c r="K1033" s="28"/>
      <c r="L1033" s="28"/>
      <c r="M1033" s="22"/>
      <c r="N1033" s="22"/>
      <c r="O1033" s="22"/>
      <c r="P1033" s="22"/>
      <c r="Q1033" s="22"/>
      <c r="R1033" s="28"/>
      <c r="S1033" s="28"/>
      <c r="T1033" s="28"/>
      <c r="U1033" s="28"/>
      <c r="V1033" s="22"/>
      <c r="W1033" s="22"/>
      <c r="X1033" s="22"/>
      <c r="Y1033" s="22"/>
      <c r="Z1033" s="22"/>
      <c r="AA1033" s="22"/>
      <c r="AB1033" s="22"/>
      <c r="AC1033" s="22"/>
      <c r="AD1033" s="22"/>
    </row>
    <row r="1034" spans="1:30" ht="15.75" customHeight="1" x14ac:dyDescent="0.15">
      <c r="A1034" s="22"/>
      <c r="B1034" s="22"/>
      <c r="C1034" s="22"/>
      <c r="D1034" s="22"/>
      <c r="E1034" s="22"/>
      <c r="F1034" s="28"/>
      <c r="G1034" s="28"/>
      <c r="H1034" s="28"/>
      <c r="I1034" s="28"/>
      <c r="J1034" s="28"/>
      <c r="K1034" s="28"/>
      <c r="L1034" s="28"/>
      <c r="M1034" s="22"/>
      <c r="N1034" s="22"/>
      <c r="O1034" s="22"/>
      <c r="P1034" s="22"/>
      <c r="Q1034" s="22"/>
      <c r="R1034" s="28"/>
      <c r="S1034" s="28"/>
      <c r="T1034" s="28"/>
      <c r="U1034" s="28"/>
      <c r="V1034" s="22"/>
      <c r="W1034" s="22"/>
      <c r="X1034" s="22"/>
      <c r="Y1034" s="22"/>
      <c r="Z1034" s="22"/>
      <c r="AA1034" s="22"/>
      <c r="AB1034" s="22"/>
      <c r="AC1034" s="22"/>
      <c r="AD1034" s="22"/>
    </row>
    <row r="1035" spans="1:30" ht="15.75" customHeight="1" x14ac:dyDescent="0.15">
      <c r="A1035" s="22"/>
      <c r="B1035" s="22"/>
      <c r="C1035" s="22"/>
      <c r="D1035" s="22"/>
      <c r="E1035" s="22"/>
      <c r="F1035" s="28"/>
      <c r="G1035" s="28"/>
      <c r="H1035" s="28"/>
      <c r="I1035" s="28"/>
      <c r="J1035" s="28"/>
      <c r="K1035" s="28"/>
      <c r="L1035" s="28"/>
      <c r="M1035" s="22"/>
      <c r="N1035" s="22"/>
      <c r="O1035" s="22"/>
      <c r="P1035" s="22"/>
      <c r="Q1035" s="22"/>
      <c r="R1035" s="28"/>
      <c r="S1035" s="28"/>
      <c r="T1035" s="28"/>
      <c r="U1035" s="28"/>
      <c r="V1035" s="22"/>
      <c r="W1035" s="22"/>
      <c r="X1035" s="22"/>
      <c r="Y1035" s="22"/>
      <c r="Z1035" s="22"/>
      <c r="AA1035" s="22"/>
      <c r="AB1035" s="22"/>
      <c r="AC1035" s="22"/>
      <c r="AD1035" s="22"/>
    </row>
    <row r="1036" spans="1:30" ht="15.75" customHeight="1" x14ac:dyDescent="0.15">
      <c r="A1036" s="22"/>
      <c r="B1036" s="22"/>
      <c r="C1036" s="22"/>
      <c r="D1036" s="22"/>
      <c r="E1036" s="22"/>
      <c r="F1036" s="28"/>
      <c r="G1036" s="28"/>
      <c r="H1036" s="28"/>
      <c r="I1036" s="28"/>
      <c r="J1036" s="28"/>
      <c r="K1036" s="28"/>
      <c r="L1036" s="28"/>
      <c r="M1036" s="22"/>
      <c r="N1036" s="22"/>
      <c r="O1036" s="22"/>
      <c r="P1036" s="22"/>
      <c r="Q1036" s="22"/>
      <c r="R1036" s="28"/>
      <c r="S1036" s="28"/>
      <c r="T1036" s="28"/>
      <c r="U1036" s="28"/>
      <c r="V1036" s="22"/>
      <c r="W1036" s="22"/>
      <c r="X1036" s="22"/>
      <c r="Y1036" s="22"/>
      <c r="Z1036" s="22"/>
      <c r="AA1036" s="22"/>
      <c r="AB1036" s="22"/>
      <c r="AC1036" s="22"/>
      <c r="AD1036" s="22"/>
    </row>
    <row r="1037" spans="1:30" ht="15.75" customHeight="1" x14ac:dyDescent="0.15">
      <c r="A1037" s="22"/>
      <c r="B1037" s="22"/>
      <c r="C1037" s="22"/>
      <c r="D1037" s="22"/>
      <c r="E1037" s="22"/>
      <c r="F1037" s="28"/>
      <c r="G1037" s="28"/>
      <c r="H1037" s="28"/>
      <c r="I1037" s="28"/>
      <c r="J1037" s="28"/>
      <c r="K1037" s="28"/>
      <c r="L1037" s="28"/>
      <c r="M1037" s="22"/>
      <c r="N1037" s="22"/>
      <c r="O1037" s="22"/>
      <c r="P1037" s="22"/>
      <c r="Q1037" s="22"/>
      <c r="R1037" s="28"/>
      <c r="S1037" s="28"/>
      <c r="T1037" s="28"/>
      <c r="U1037" s="28"/>
      <c r="V1037" s="22"/>
      <c r="W1037" s="22"/>
      <c r="X1037" s="22"/>
      <c r="Y1037" s="22"/>
      <c r="Z1037" s="22"/>
      <c r="AA1037" s="22"/>
      <c r="AB1037" s="22"/>
      <c r="AC1037" s="22"/>
      <c r="AD1037" s="22"/>
    </row>
    <row r="1038" spans="1:30" ht="15.75" customHeight="1" x14ac:dyDescent="0.15">
      <c r="A1038" s="22"/>
      <c r="B1038" s="22"/>
      <c r="C1038" s="22"/>
      <c r="D1038" s="22"/>
      <c r="E1038" s="22"/>
      <c r="F1038" s="28"/>
      <c r="G1038" s="28"/>
      <c r="H1038" s="28"/>
      <c r="I1038" s="28"/>
      <c r="J1038" s="28"/>
      <c r="K1038" s="28"/>
      <c r="L1038" s="28"/>
      <c r="M1038" s="22"/>
      <c r="N1038" s="22"/>
      <c r="O1038" s="22"/>
      <c r="P1038" s="22"/>
      <c r="Q1038" s="22"/>
      <c r="R1038" s="28"/>
      <c r="S1038" s="28"/>
      <c r="T1038" s="28"/>
      <c r="U1038" s="28"/>
      <c r="V1038" s="22"/>
      <c r="W1038" s="22"/>
      <c r="X1038" s="22"/>
      <c r="Y1038" s="22"/>
      <c r="Z1038" s="22"/>
      <c r="AA1038" s="22"/>
      <c r="AB1038" s="22"/>
      <c r="AC1038" s="22"/>
      <c r="AD1038" s="22"/>
    </row>
    <row r="1039" spans="1:30" ht="15.75" customHeight="1" x14ac:dyDescent="0.15">
      <c r="A1039" s="22"/>
      <c r="B1039" s="22"/>
      <c r="C1039" s="22"/>
      <c r="D1039" s="22"/>
      <c r="E1039" s="22"/>
      <c r="F1039" s="28"/>
      <c r="G1039" s="28"/>
      <c r="H1039" s="28"/>
      <c r="I1039" s="28"/>
      <c r="J1039" s="28"/>
      <c r="K1039" s="28"/>
      <c r="L1039" s="28"/>
      <c r="M1039" s="22"/>
      <c r="N1039" s="22"/>
      <c r="O1039" s="22"/>
      <c r="P1039" s="22"/>
      <c r="Q1039" s="22"/>
      <c r="R1039" s="28"/>
      <c r="S1039" s="28"/>
      <c r="T1039" s="28"/>
      <c r="U1039" s="28"/>
      <c r="V1039" s="22"/>
      <c r="W1039" s="22"/>
      <c r="X1039" s="22"/>
      <c r="Y1039" s="22"/>
      <c r="Z1039" s="22"/>
      <c r="AA1039" s="22"/>
      <c r="AB1039" s="22"/>
      <c r="AC1039" s="22"/>
      <c r="AD1039" s="22"/>
    </row>
    <row r="1040" spans="1:30" ht="15.75" customHeight="1" x14ac:dyDescent="0.15">
      <c r="A1040" s="22"/>
      <c r="B1040" s="22"/>
      <c r="C1040" s="22"/>
      <c r="D1040" s="22"/>
      <c r="E1040" s="22"/>
      <c r="F1040" s="28"/>
      <c r="G1040" s="28"/>
      <c r="H1040" s="28"/>
      <c r="I1040" s="28"/>
      <c r="J1040" s="28"/>
      <c r="K1040" s="28"/>
      <c r="L1040" s="28"/>
      <c r="M1040" s="22"/>
      <c r="N1040" s="22"/>
      <c r="O1040" s="22"/>
      <c r="P1040" s="22"/>
      <c r="Q1040" s="22"/>
      <c r="R1040" s="28"/>
      <c r="S1040" s="28"/>
      <c r="T1040" s="28"/>
      <c r="U1040" s="28"/>
      <c r="V1040" s="22"/>
      <c r="W1040" s="22"/>
      <c r="X1040" s="22"/>
      <c r="Y1040" s="22"/>
      <c r="Z1040" s="22"/>
      <c r="AA1040" s="22"/>
      <c r="AB1040" s="22"/>
      <c r="AC1040" s="22"/>
      <c r="AD1040" s="22"/>
    </row>
    <row r="1041" spans="1:30" ht="15.75" customHeight="1" x14ac:dyDescent="0.15">
      <c r="A1041" s="22"/>
      <c r="B1041" s="22"/>
      <c r="C1041" s="22"/>
      <c r="D1041" s="22"/>
      <c r="E1041" s="22"/>
      <c r="F1041" s="28"/>
      <c r="G1041" s="28"/>
      <c r="H1041" s="28"/>
      <c r="I1041" s="28"/>
      <c r="J1041" s="28"/>
      <c r="K1041" s="28"/>
      <c r="L1041" s="28"/>
      <c r="M1041" s="22"/>
      <c r="N1041" s="22"/>
      <c r="O1041" s="22"/>
      <c r="P1041" s="22"/>
      <c r="Q1041" s="22"/>
      <c r="R1041" s="28"/>
      <c r="S1041" s="28"/>
      <c r="T1041" s="28"/>
      <c r="U1041" s="28"/>
      <c r="V1041" s="22"/>
      <c r="W1041" s="22"/>
      <c r="X1041" s="22"/>
      <c r="Y1041" s="22"/>
      <c r="Z1041" s="22"/>
      <c r="AA1041" s="22"/>
      <c r="AB1041" s="22"/>
      <c r="AC1041" s="22"/>
      <c r="AD1041" s="22"/>
    </row>
    <row r="1042" spans="1:30" ht="15.75" customHeight="1" x14ac:dyDescent="0.15">
      <c r="A1042" s="22"/>
      <c r="B1042" s="22"/>
      <c r="C1042" s="22"/>
      <c r="D1042" s="22"/>
      <c r="E1042" s="22"/>
      <c r="F1042" s="28"/>
      <c r="G1042" s="28"/>
      <c r="H1042" s="28"/>
      <c r="I1042" s="28"/>
      <c r="J1042" s="28"/>
      <c r="K1042" s="28"/>
      <c r="L1042" s="28"/>
      <c r="M1042" s="22"/>
      <c r="N1042" s="22"/>
      <c r="O1042" s="22"/>
      <c r="P1042" s="22"/>
      <c r="Q1042" s="22"/>
      <c r="R1042" s="28"/>
      <c r="S1042" s="28"/>
      <c r="T1042" s="28"/>
      <c r="U1042" s="28"/>
      <c r="V1042" s="22"/>
      <c r="W1042" s="22"/>
      <c r="X1042" s="22"/>
      <c r="Y1042" s="22"/>
      <c r="Z1042" s="22"/>
      <c r="AA1042" s="22"/>
      <c r="AB1042" s="22"/>
      <c r="AC1042" s="22"/>
      <c r="AD1042" s="22"/>
    </row>
    <row r="1043" spans="1:30" ht="15.75" customHeight="1" x14ac:dyDescent="0.15">
      <c r="A1043" s="22"/>
      <c r="B1043" s="22"/>
      <c r="C1043" s="22"/>
      <c r="D1043" s="22"/>
      <c r="E1043" s="22"/>
      <c r="F1043" s="28"/>
      <c r="G1043" s="28"/>
      <c r="H1043" s="28"/>
      <c r="I1043" s="28"/>
      <c r="J1043" s="28"/>
      <c r="K1043" s="28"/>
      <c r="L1043" s="28"/>
      <c r="M1043" s="22"/>
      <c r="N1043" s="22"/>
      <c r="O1043" s="22"/>
      <c r="P1043" s="22"/>
      <c r="Q1043" s="22"/>
      <c r="R1043" s="28"/>
      <c r="S1043" s="28"/>
      <c r="T1043" s="28"/>
      <c r="U1043" s="28"/>
      <c r="V1043" s="22"/>
      <c r="W1043" s="22"/>
      <c r="X1043" s="22"/>
      <c r="Y1043" s="22"/>
      <c r="Z1043" s="22"/>
      <c r="AA1043" s="22"/>
      <c r="AB1043" s="22"/>
      <c r="AC1043" s="22"/>
      <c r="AD1043" s="22"/>
    </row>
    <row r="1044" spans="1:30" ht="15.75" customHeight="1" x14ac:dyDescent="0.15">
      <c r="A1044" s="22"/>
      <c r="B1044" s="22"/>
      <c r="C1044" s="22"/>
      <c r="D1044" s="22"/>
      <c r="E1044" s="22"/>
      <c r="F1044" s="28"/>
      <c r="G1044" s="28"/>
      <c r="H1044" s="28"/>
      <c r="I1044" s="28"/>
      <c r="J1044" s="28"/>
      <c r="K1044" s="28"/>
      <c r="L1044" s="28"/>
      <c r="M1044" s="22"/>
      <c r="N1044" s="22"/>
      <c r="O1044" s="22"/>
      <c r="P1044" s="22"/>
      <c r="Q1044" s="22"/>
      <c r="R1044" s="28"/>
      <c r="S1044" s="28"/>
      <c r="T1044" s="28"/>
      <c r="U1044" s="28"/>
      <c r="V1044" s="22"/>
      <c r="W1044" s="22"/>
      <c r="X1044" s="22"/>
      <c r="Y1044" s="22"/>
      <c r="Z1044" s="22"/>
      <c r="AA1044" s="22"/>
      <c r="AB1044" s="22"/>
      <c r="AC1044" s="22"/>
      <c r="AD1044" s="22"/>
    </row>
    <row r="1045" spans="1:30" ht="15.75" customHeight="1" x14ac:dyDescent="0.15">
      <c r="A1045" s="22"/>
      <c r="B1045" s="22"/>
      <c r="C1045" s="22"/>
      <c r="D1045" s="22"/>
      <c r="E1045" s="22"/>
      <c r="F1045" s="28"/>
      <c r="G1045" s="28"/>
      <c r="H1045" s="28"/>
      <c r="I1045" s="28"/>
      <c r="J1045" s="28"/>
      <c r="K1045" s="28"/>
      <c r="L1045" s="28"/>
      <c r="M1045" s="22"/>
      <c r="N1045" s="22"/>
      <c r="O1045" s="22"/>
      <c r="P1045" s="22"/>
      <c r="Q1045" s="22"/>
      <c r="R1045" s="28"/>
      <c r="S1045" s="28"/>
      <c r="T1045" s="28"/>
      <c r="U1045" s="28"/>
      <c r="V1045" s="22"/>
      <c r="W1045" s="22"/>
      <c r="X1045" s="22"/>
      <c r="Y1045" s="22"/>
      <c r="Z1045" s="22"/>
      <c r="AA1045" s="22"/>
      <c r="AB1045" s="22"/>
      <c r="AC1045" s="22"/>
      <c r="AD1045" s="22"/>
    </row>
    <row r="1046" spans="1:30" ht="15.75" customHeight="1" x14ac:dyDescent="0.15">
      <c r="A1046" s="22"/>
      <c r="B1046" s="22"/>
      <c r="C1046" s="22"/>
      <c r="D1046" s="22"/>
      <c r="E1046" s="22"/>
      <c r="F1046" s="28"/>
      <c r="G1046" s="28"/>
      <c r="H1046" s="28"/>
      <c r="I1046" s="28"/>
      <c r="J1046" s="28"/>
      <c r="K1046" s="28"/>
      <c r="L1046" s="28"/>
      <c r="M1046" s="22"/>
      <c r="N1046" s="22"/>
      <c r="O1046" s="22"/>
      <c r="P1046" s="22"/>
      <c r="Q1046" s="22"/>
      <c r="R1046" s="28"/>
      <c r="S1046" s="28"/>
      <c r="T1046" s="28"/>
      <c r="U1046" s="28"/>
      <c r="V1046" s="22"/>
      <c r="W1046" s="22"/>
      <c r="X1046" s="22"/>
      <c r="Y1046" s="22"/>
      <c r="Z1046" s="22"/>
      <c r="AA1046" s="22"/>
      <c r="AB1046" s="22"/>
      <c r="AC1046" s="22"/>
      <c r="AD1046" s="22"/>
    </row>
    <row r="1047" spans="1:30" ht="15.75" customHeight="1" x14ac:dyDescent="0.15">
      <c r="A1047" s="22"/>
      <c r="B1047" s="22"/>
      <c r="C1047" s="22"/>
      <c r="D1047" s="22"/>
      <c r="E1047" s="22"/>
      <c r="F1047" s="28"/>
      <c r="G1047" s="28"/>
      <c r="H1047" s="28"/>
      <c r="I1047" s="28"/>
      <c r="J1047" s="28"/>
      <c r="K1047" s="28"/>
      <c r="L1047" s="28"/>
      <c r="M1047" s="22"/>
      <c r="N1047" s="22"/>
      <c r="O1047" s="22"/>
      <c r="P1047" s="22"/>
      <c r="Q1047" s="22"/>
      <c r="R1047" s="28"/>
      <c r="S1047" s="28"/>
      <c r="T1047" s="28"/>
      <c r="U1047" s="28"/>
      <c r="V1047" s="22"/>
      <c r="W1047" s="22"/>
      <c r="X1047" s="22"/>
      <c r="Y1047" s="22"/>
      <c r="Z1047" s="22"/>
      <c r="AA1047" s="22"/>
      <c r="AB1047" s="22"/>
      <c r="AC1047" s="22"/>
      <c r="AD1047" s="22"/>
    </row>
    <row r="1048" spans="1:30" ht="15.75" customHeight="1" x14ac:dyDescent="0.15">
      <c r="A1048" s="22"/>
      <c r="B1048" s="22"/>
      <c r="C1048" s="22"/>
      <c r="D1048" s="22"/>
      <c r="E1048" s="22"/>
      <c r="F1048" s="28"/>
      <c r="G1048" s="28"/>
      <c r="H1048" s="28"/>
      <c r="I1048" s="28"/>
      <c r="J1048" s="28"/>
      <c r="K1048" s="28"/>
      <c r="L1048" s="28"/>
      <c r="M1048" s="22"/>
      <c r="N1048" s="22"/>
      <c r="O1048" s="22"/>
      <c r="P1048" s="22"/>
      <c r="Q1048" s="22"/>
      <c r="R1048" s="28"/>
      <c r="S1048" s="28"/>
      <c r="T1048" s="28"/>
      <c r="U1048" s="28"/>
      <c r="V1048" s="22"/>
      <c r="W1048" s="22"/>
      <c r="X1048" s="22"/>
      <c r="Y1048" s="22"/>
      <c r="Z1048" s="22"/>
      <c r="AA1048" s="22"/>
      <c r="AB1048" s="22"/>
      <c r="AC1048" s="22"/>
      <c r="AD1048" s="22"/>
    </row>
    <row r="1049" spans="1:30" ht="15.75" customHeight="1" x14ac:dyDescent="0.15">
      <c r="A1049" s="22"/>
      <c r="B1049" s="22"/>
      <c r="C1049" s="22"/>
      <c r="D1049" s="22"/>
      <c r="E1049" s="22"/>
      <c r="F1049" s="28"/>
      <c r="G1049" s="28"/>
      <c r="H1049" s="28"/>
      <c r="I1049" s="28"/>
      <c r="J1049" s="28"/>
      <c r="K1049" s="28"/>
      <c r="L1049" s="28"/>
      <c r="M1049" s="22"/>
      <c r="N1049" s="22"/>
      <c r="O1049" s="22"/>
      <c r="P1049" s="22"/>
      <c r="Q1049" s="22"/>
      <c r="R1049" s="28"/>
      <c r="S1049" s="28"/>
      <c r="T1049" s="28"/>
      <c r="U1049" s="28"/>
      <c r="V1049" s="22"/>
      <c r="W1049" s="22"/>
      <c r="X1049" s="22"/>
      <c r="Y1049" s="22"/>
      <c r="Z1049" s="22"/>
      <c r="AA1049" s="22"/>
      <c r="AB1049" s="22"/>
      <c r="AC1049" s="22"/>
      <c r="AD1049" s="22"/>
    </row>
    <row r="1050" spans="1:30" ht="15.75" customHeight="1" x14ac:dyDescent="0.15">
      <c r="A1050" s="22"/>
      <c r="B1050" s="22"/>
      <c r="C1050" s="22"/>
      <c r="D1050" s="22"/>
      <c r="E1050" s="22"/>
      <c r="F1050" s="28"/>
      <c r="G1050" s="28"/>
      <c r="H1050" s="28"/>
      <c r="I1050" s="28"/>
      <c r="J1050" s="28"/>
      <c r="K1050" s="28"/>
      <c r="L1050" s="28"/>
      <c r="M1050" s="22"/>
      <c r="N1050" s="22"/>
      <c r="O1050" s="22"/>
      <c r="P1050" s="22"/>
      <c r="Q1050" s="22"/>
      <c r="R1050" s="28"/>
      <c r="S1050" s="28"/>
      <c r="T1050" s="28"/>
      <c r="U1050" s="28"/>
      <c r="V1050" s="22"/>
      <c r="W1050" s="22"/>
      <c r="X1050" s="22"/>
      <c r="Y1050" s="22"/>
      <c r="Z1050" s="22"/>
      <c r="AA1050" s="22"/>
      <c r="AB1050" s="22"/>
      <c r="AC1050" s="22"/>
      <c r="AD1050" s="22"/>
    </row>
    <row r="1051" spans="1:30" ht="15.75" customHeight="1" x14ac:dyDescent="0.15">
      <c r="A1051" s="22"/>
      <c r="B1051" s="22"/>
      <c r="C1051" s="22"/>
      <c r="D1051" s="22"/>
      <c r="E1051" s="22"/>
      <c r="F1051" s="28"/>
      <c r="G1051" s="28"/>
      <c r="H1051" s="28"/>
      <c r="I1051" s="28"/>
      <c r="J1051" s="28"/>
      <c r="K1051" s="28"/>
      <c r="L1051" s="28"/>
      <c r="M1051" s="22"/>
      <c r="N1051" s="22"/>
      <c r="O1051" s="22"/>
      <c r="P1051" s="22"/>
      <c r="Q1051" s="22"/>
      <c r="R1051" s="28"/>
      <c r="S1051" s="28"/>
      <c r="T1051" s="28"/>
      <c r="U1051" s="28"/>
      <c r="V1051" s="22"/>
      <c r="W1051" s="22"/>
      <c r="X1051" s="22"/>
      <c r="Y1051" s="22"/>
      <c r="Z1051" s="22"/>
      <c r="AA1051" s="22"/>
      <c r="AB1051" s="22"/>
      <c r="AC1051" s="22"/>
      <c r="AD1051" s="22"/>
    </row>
    <row r="1052" spans="1:30" ht="15.75" customHeight="1" x14ac:dyDescent="0.15">
      <c r="A1052" s="22"/>
      <c r="B1052" s="22"/>
      <c r="C1052" s="22"/>
      <c r="D1052" s="22"/>
      <c r="E1052" s="22"/>
      <c r="F1052" s="28"/>
      <c r="G1052" s="28"/>
      <c r="H1052" s="28"/>
      <c r="I1052" s="28"/>
      <c r="J1052" s="28"/>
      <c r="K1052" s="28"/>
      <c r="L1052" s="28"/>
      <c r="M1052" s="22"/>
      <c r="N1052" s="22"/>
      <c r="O1052" s="22"/>
      <c r="P1052" s="22"/>
      <c r="Q1052" s="22"/>
      <c r="R1052" s="28"/>
      <c r="S1052" s="28"/>
      <c r="T1052" s="28"/>
      <c r="U1052" s="28"/>
      <c r="V1052" s="22"/>
      <c r="W1052" s="22"/>
      <c r="X1052" s="22"/>
      <c r="Y1052" s="22"/>
      <c r="Z1052" s="22"/>
      <c r="AA1052" s="22"/>
      <c r="AB1052" s="22"/>
      <c r="AC1052" s="22"/>
      <c r="AD1052" s="22"/>
    </row>
    <row r="1053" spans="1:30" ht="15.75" customHeight="1" x14ac:dyDescent="0.15">
      <c r="A1053" s="22"/>
      <c r="B1053" s="22"/>
      <c r="C1053" s="22"/>
      <c r="D1053" s="22"/>
      <c r="E1053" s="22"/>
      <c r="F1053" s="28"/>
      <c r="G1053" s="28"/>
      <c r="H1053" s="28"/>
      <c r="I1053" s="28"/>
      <c r="J1053" s="28"/>
      <c r="K1053" s="28"/>
      <c r="L1053" s="28"/>
      <c r="M1053" s="22"/>
      <c r="N1053" s="22"/>
      <c r="O1053" s="22"/>
      <c r="P1053" s="22"/>
      <c r="Q1053" s="22"/>
      <c r="R1053" s="28"/>
      <c r="S1053" s="28"/>
      <c r="T1053" s="28"/>
      <c r="U1053" s="28"/>
      <c r="V1053" s="22"/>
      <c r="W1053" s="22"/>
      <c r="X1053" s="22"/>
      <c r="Y1053" s="22"/>
      <c r="Z1053" s="22"/>
      <c r="AA1053" s="22"/>
      <c r="AB1053" s="22"/>
      <c r="AC1053" s="22"/>
      <c r="AD1053" s="22"/>
    </row>
    <row r="1054" spans="1:30" ht="15.75" customHeight="1" x14ac:dyDescent="0.15">
      <c r="A1054" s="22"/>
      <c r="B1054" s="22"/>
      <c r="C1054" s="22"/>
      <c r="D1054" s="22"/>
      <c r="E1054" s="22"/>
      <c r="F1054" s="28"/>
      <c r="G1054" s="28"/>
      <c r="H1054" s="28"/>
      <c r="I1054" s="28"/>
      <c r="J1054" s="28"/>
      <c r="K1054" s="28"/>
      <c r="L1054" s="28"/>
      <c r="M1054" s="22"/>
      <c r="N1054" s="22"/>
      <c r="O1054" s="22"/>
      <c r="P1054" s="22"/>
      <c r="Q1054" s="22"/>
      <c r="R1054" s="28"/>
      <c r="S1054" s="28"/>
      <c r="T1054" s="28"/>
      <c r="U1054" s="28"/>
      <c r="V1054" s="22"/>
      <c r="W1054" s="22"/>
      <c r="X1054" s="22"/>
      <c r="Y1054" s="22"/>
      <c r="Z1054" s="22"/>
      <c r="AA1054" s="22"/>
      <c r="AB1054" s="22"/>
      <c r="AC1054" s="22"/>
      <c r="AD1054" s="22"/>
    </row>
    <row r="1055" spans="1:30" ht="15.75" customHeight="1" x14ac:dyDescent="0.15">
      <c r="A1055" s="22"/>
      <c r="B1055" s="22"/>
      <c r="C1055" s="22"/>
      <c r="D1055" s="22"/>
      <c r="E1055" s="22"/>
      <c r="F1055" s="28"/>
      <c r="G1055" s="28"/>
      <c r="H1055" s="28"/>
      <c r="I1055" s="28"/>
      <c r="J1055" s="28"/>
      <c r="K1055" s="28"/>
      <c r="L1055" s="28"/>
      <c r="M1055" s="22"/>
      <c r="N1055" s="22"/>
      <c r="O1055" s="22"/>
      <c r="P1055" s="22"/>
      <c r="Q1055" s="22"/>
      <c r="R1055" s="28"/>
      <c r="S1055" s="28"/>
      <c r="T1055" s="28"/>
      <c r="U1055" s="28"/>
      <c r="V1055" s="22"/>
      <c r="W1055" s="22"/>
      <c r="X1055" s="22"/>
      <c r="Y1055" s="22"/>
      <c r="Z1055" s="22"/>
      <c r="AA1055" s="22"/>
      <c r="AB1055" s="22"/>
      <c r="AC1055" s="22"/>
      <c r="AD1055" s="22"/>
    </row>
    <row r="1056" spans="1:30" ht="15.75" customHeight="1" x14ac:dyDescent="0.15">
      <c r="A1056" s="22"/>
      <c r="B1056" s="22"/>
      <c r="C1056" s="22"/>
      <c r="D1056" s="22"/>
      <c r="E1056" s="22"/>
      <c r="F1056" s="28"/>
      <c r="G1056" s="28"/>
      <c r="H1056" s="28"/>
      <c r="I1056" s="28"/>
      <c r="J1056" s="28"/>
      <c r="K1056" s="28"/>
      <c r="L1056" s="28"/>
      <c r="M1056" s="22"/>
      <c r="N1056" s="22"/>
      <c r="O1056" s="22"/>
      <c r="P1056" s="22"/>
      <c r="Q1056" s="22"/>
      <c r="R1056" s="28"/>
      <c r="S1056" s="28"/>
      <c r="T1056" s="28"/>
      <c r="U1056" s="28"/>
      <c r="V1056" s="22"/>
      <c r="W1056" s="22"/>
      <c r="X1056" s="22"/>
      <c r="Y1056" s="22"/>
      <c r="Z1056" s="22"/>
      <c r="AA1056" s="22"/>
      <c r="AB1056" s="22"/>
      <c r="AC1056" s="22"/>
      <c r="AD1056" s="22"/>
    </row>
    <row r="1057" spans="1:30" ht="15.75" customHeight="1" x14ac:dyDescent="0.15">
      <c r="A1057" s="22"/>
      <c r="B1057" s="22"/>
      <c r="C1057" s="22"/>
      <c r="D1057" s="22"/>
      <c r="E1057" s="22"/>
      <c r="F1057" s="28"/>
      <c r="G1057" s="28"/>
      <c r="H1057" s="28"/>
      <c r="I1057" s="28"/>
      <c r="J1057" s="28"/>
      <c r="K1057" s="28"/>
      <c r="L1057" s="28"/>
      <c r="M1057" s="22"/>
      <c r="N1057" s="22"/>
      <c r="O1057" s="22"/>
      <c r="P1057" s="22"/>
      <c r="Q1057" s="22"/>
      <c r="R1057" s="28"/>
      <c r="S1057" s="28"/>
      <c r="T1057" s="28"/>
      <c r="U1057" s="28"/>
      <c r="V1057" s="22"/>
      <c r="W1057" s="22"/>
      <c r="X1057" s="22"/>
      <c r="Y1057" s="22"/>
      <c r="Z1057" s="22"/>
      <c r="AA1057" s="22"/>
      <c r="AB1057" s="22"/>
      <c r="AC1057" s="22"/>
      <c r="AD1057" s="22"/>
    </row>
    <row r="1058" spans="1:30" ht="15.75" customHeight="1" x14ac:dyDescent="0.15">
      <c r="A1058" s="22"/>
      <c r="B1058" s="22"/>
      <c r="C1058" s="22"/>
      <c r="D1058" s="22"/>
      <c r="E1058" s="22"/>
      <c r="F1058" s="28"/>
      <c r="G1058" s="28"/>
      <c r="H1058" s="28"/>
      <c r="I1058" s="28"/>
      <c r="J1058" s="28"/>
      <c r="K1058" s="28"/>
      <c r="L1058" s="28"/>
      <c r="M1058" s="22"/>
      <c r="N1058" s="22"/>
      <c r="O1058" s="22"/>
      <c r="P1058" s="22"/>
      <c r="Q1058" s="22"/>
      <c r="R1058" s="28"/>
      <c r="S1058" s="28"/>
      <c r="T1058" s="28"/>
      <c r="U1058" s="28"/>
      <c r="V1058" s="22"/>
      <c r="W1058" s="22"/>
      <c r="X1058" s="22"/>
      <c r="Y1058" s="22"/>
      <c r="Z1058" s="22"/>
      <c r="AA1058" s="22"/>
      <c r="AB1058" s="22"/>
      <c r="AC1058" s="22"/>
      <c r="AD1058" s="22"/>
    </row>
    <row r="1059" spans="1:30" ht="15.75" customHeight="1" x14ac:dyDescent="0.15">
      <c r="A1059" s="22"/>
      <c r="B1059" s="22"/>
      <c r="C1059" s="22"/>
      <c r="D1059" s="22"/>
      <c r="E1059" s="22"/>
      <c r="F1059" s="28"/>
      <c r="G1059" s="28"/>
      <c r="H1059" s="28"/>
      <c r="I1059" s="28"/>
      <c r="J1059" s="28"/>
      <c r="K1059" s="28"/>
      <c r="L1059" s="28"/>
      <c r="M1059" s="22"/>
      <c r="N1059" s="22"/>
      <c r="O1059" s="22"/>
      <c r="P1059" s="22"/>
      <c r="Q1059" s="22"/>
      <c r="R1059" s="28"/>
      <c r="S1059" s="28"/>
      <c r="T1059" s="28"/>
      <c r="U1059" s="28"/>
      <c r="V1059" s="22"/>
      <c r="W1059" s="22"/>
      <c r="X1059" s="22"/>
      <c r="Y1059" s="22"/>
      <c r="Z1059" s="22"/>
      <c r="AA1059" s="22"/>
      <c r="AB1059" s="22"/>
      <c r="AC1059" s="22"/>
      <c r="AD1059" s="22"/>
    </row>
    <row r="1060" spans="1:30" ht="15.75" customHeight="1" x14ac:dyDescent="0.15">
      <c r="A1060" s="22"/>
      <c r="B1060" s="22"/>
      <c r="C1060" s="22"/>
      <c r="D1060" s="22"/>
      <c r="E1060" s="22"/>
      <c r="F1060" s="28"/>
      <c r="G1060" s="28"/>
      <c r="H1060" s="28"/>
      <c r="I1060" s="28"/>
      <c r="J1060" s="28"/>
      <c r="K1060" s="28"/>
      <c r="L1060" s="28"/>
      <c r="M1060" s="22"/>
      <c r="N1060" s="22"/>
      <c r="O1060" s="22"/>
      <c r="P1060" s="22"/>
      <c r="Q1060" s="22"/>
      <c r="R1060" s="28"/>
      <c r="S1060" s="28"/>
      <c r="T1060" s="28"/>
      <c r="U1060" s="28"/>
      <c r="V1060" s="22"/>
      <c r="W1060" s="22"/>
      <c r="X1060" s="22"/>
      <c r="Y1060" s="22"/>
      <c r="Z1060" s="22"/>
      <c r="AA1060" s="22"/>
      <c r="AB1060" s="22"/>
      <c r="AC1060" s="22"/>
      <c r="AD1060" s="22"/>
    </row>
    <row r="1061" spans="1:30" ht="15.75" customHeight="1" x14ac:dyDescent="0.15">
      <c r="A1061" s="22"/>
      <c r="B1061" s="22"/>
      <c r="C1061" s="22"/>
      <c r="D1061" s="22"/>
      <c r="E1061" s="22"/>
      <c r="F1061" s="28"/>
      <c r="G1061" s="28"/>
      <c r="H1061" s="28"/>
      <c r="I1061" s="28"/>
      <c r="J1061" s="28"/>
      <c r="K1061" s="28"/>
      <c r="L1061" s="28"/>
      <c r="M1061" s="22"/>
      <c r="N1061" s="22"/>
      <c r="O1061" s="22"/>
      <c r="P1061" s="22"/>
      <c r="Q1061" s="22"/>
      <c r="R1061" s="28"/>
      <c r="S1061" s="28"/>
      <c r="T1061" s="28"/>
      <c r="U1061" s="28"/>
      <c r="V1061" s="22"/>
      <c r="W1061" s="22"/>
      <c r="X1061" s="22"/>
      <c r="Y1061" s="22"/>
      <c r="Z1061" s="22"/>
      <c r="AA1061" s="22"/>
      <c r="AB1061" s="22"/>
      <c r="AC1061" s="22"/>
      <c r="AD1061" s="22"/>
    </row>
    <row r="1062" spans="1:30" ht="15.75" customHeight="1" x14ac:dyDescent="0.15">
      <c r="A1062" s="22"/>
      <c r="B1062" s="22"/>
      <c r="C1062" s="22"/>
      <c r="D1062" s="22"/>
      <c r="E1062" s="22"/>
      <c r="F1062" s="28"/>
      <c r="G1062" s="28"/>
      <c r="H1062" s="28"/>
      <c r="I1062" s="28"/>
      <c r="J1062" s="28"/>
      <c r="K1062" s="28"/>
      <c r="L1062" s="28"/>
      <c r="M1062" s="22"/>
      <c r="N1062" s="22"/>
      <c r="O1062" s="22"/>
      <c r="P1062" s="22"/>
      <c r="Q1062" s="22"/>
      <c r="R1062" s="28"/>
      <c r="S1062" s="28"/>
      <c r="T1062" s="28"/>
      <c r="U1062" s="28"/>
      <c r="V1062" s="22"/>
      <c r="W1062" s="22"/>
      <c r="X1062" s="22"/>
      <c r="Y1062" s="22"/>
      <c r="Z1062" s="22"/>
      <c r="AA1062" s="22"/>
      <c r="AB1062" s="22"/>
      <c r="AC1062" s="22"/>
      <c r="AD1062" s="22"/>
    </row>
    <row r="1063" spans="1:30" ht="15.75" customHeight="1" x14ac:dyDescent="0.15">
      <c r="A1063" s="22"/>
      <c r="B1063" s="22"/>
      <c r="C1063" s="22"/>
      <c r="D1063" s="22"/>
      <c r="E1063" s="22"/>
      <c r="F1063" s="28"/>
      <c r="G1063" s="28"/>
      <c r="H1063" s="28"/>
      <c r="I1063" s="28"/>
      <c r="J1063" s="28"/>
      <c r="K1063" s="28"/>
      <c r="L1063" s="28"/>
      <c r="M1063" s="22"/>
      <c r="N1063" s="22"/>
      <c r="O1063" s="22"/>
      <c r="P1063" s="22"/>
      <c r="Q1063" s="22"/>
      <c r="R1063" s="28"/>
      <c r="S1063" s="28"/>
      <c r="T1063" s="28"/>
      <c r="U1063" s="28"/>
      <c r="V1063" s="22"/>
      <c r="W1063" s="22"/>
      <c r="X1063" s="22"/>
      <c r="Y1063" s="22"/>
      <c r="Z1063" s="22"/>
      <c r="AA1063" s="22"/>
      <c r="AB1063" s="22"/>
      <c r="AC1063" s="22"/>
      <c r="AD1063" s="22"/>
    </row>
    <row r="1064" spans="1:30" ht="15.75" customHeight="1" x14ac:dyDescent="0.15">
      <c r="A1064" s="22"/>
      <c r="B1064" s="22"/>
      <c r="C1064" s="22"/>
      <c r="D1064" s="22"/>
      <c r="E1064" s="22"/>
      <c r="F1064" s="28"/>
      <c r="G1064" s="28"/>
      <c r="H1064" s="28"/>
      <c r="I1064" s="28"/>
      <c r="J1064" s="28"/>
      <c r="K1064" s="28"/>
      <c r="L1064" s="28"/>
      <c r="M1064" s="22"/>
      <c r="N1064" s="22"/>
      <c r="O1064" s="22"/>
      <c r="P1064" s="22"/>
      <c r="Q1064" s="22"/>
      <c r="R1064" s="28"/>
      <c r="S1064" s="28"/>
      <c r="T1064" s="28"/>
      <c r="U1064" s="28"/>
      <c r="V1064" s="22"/>
      <c r="W1064" s="22"/>
      <c r="X1064" s="22"/>
      <c r="Y1064" s="22"/>
      <c r="Z1064" s="22"/>
      <c r="AA1064" s="22"/>
      <c r="AB1064" s="22"/>
      <c r="AC1064" s="22"/>
      <c r="AD1064" s="22"/>
    </row>
    <row r="1065" spans="1:30" ht="15.75" customHeight="1" x14ac:dyDescent="0.15">
      <c r="A1065" s="22"/>
      <c r="B1065" s="22"/>
      <c r="C1065" s="22"/>
      <c r="D1065" s="22"/>
      <c r="E1065" s="22"/>
      <c r="F1065" s="28"/>
      <c r="G1065" s="28"/>
      <c r="H1065" s="28"/>
      <c r="I1065" s="28"/>
      <c r="J1065" s="28"/>
      <c r="K1065" s="28"/>
      <c r="L1065" s="28"/>
      <c r="M1065" s="22"/>
      <c r="N1065" s="22"/>
      <c r="O1065" s="22"/>
      <c r="P1065" s="22"/>
      <c r="Q1065" s="22"/>
      <c r="R1065" s="28"/>
      <c r="S1065" s="28"/>
      <c r="T1065" s="28"/>
      <c r="U1065" s="28"/>
      <c r="V1065" s="22"/>
      <c r="W1065" s="22"/>
      <c r="X1065" s="22"/>
      <c r="Y1065" s="22"/>
      <c r="Z1065" s="22"/>
      <c r="AA1065" s="22"/>
      <c r="AB1065" s="22"/>
      <c r="AC1065" s="22"/>
      <c r="AD1065" s="22"/>
    </row>
    <row r="1066" spans="1:30" ht="15.75" customHeight="1" x14ac:dyDescent="0.15">
      <c r="A1066" s="22"/>
      <c r="B1066" s="22"/>
      <c r="C1066" s="22"/>
      <c r="D1066" s="22"/>
      <c r="E1066" s="22"/>
      <c r="F1066" s="28"/>
      <c r="G1066" s="28"/>
      <c r="H1066" s="28"/>
      <c r="I1066" s="28"/>
      <c r="J1066" s="28"/>
      <c r="K1066" s="28"/>
      <c r="L1066" s="28"/>
      <c r="M1066" s="22"/>
      <c r="N1066" s="22"/>
      <c r="O1066" s="22"/>
      <c r="P1066" s="22"/>
      <c r="Q1066" s="22"/>
      <c r="R1066" s="28"/>
      <c r="S1066" s="28"/>
      <c r="T1066" s="28"/>
      <c r="U1066" s="28"/>
      <c r="V1066" s="22"/>
      <c r="W1066" s="22"/>
      <c r="X1066" s="22"/>
      <c r="Y1066" s="22"/>
      <c r="Z1066" s="22"/>
      <c r="AA1066" s="22"/>
      <c r="AB1066" s="22"/>
      <c r="AC1066" s="22"/>
      <c r="AD1066" s="22"/>
    </row>
    <row r="1067" spans="1:30" ht="15.75" customHeight="1" x14ac:dyDescent="0.15">
      <c r="A1067" s="22"/>
      <c r="B1067" s="22"/>
      <c r="C1067" s="22"/>
      <c r="D1067" s="22"/>
      <c r="E1067" s="22"/>
      <c r="F1067" s="28"/>
      <c r="G1067" s="28"/>
      <c r="H1067" s="28"/>
      <c r="I1067" s="28"/>
      <c r="J1067" s="28"/>
      <c r="K1067" s="28"/>
      <c r="L1067" s="28"/>
      <c r="M1067" s="22"/>
      <c r="N1067" s="22"/>
      <c r="O1067" s="22"/>
      <c r="P1067" s="22"/>
      <c r="Q1067" s="22"/>
      <c r="R1067" s="28"/>
      <c r="S1067" s="28"/>
      <c r="T1067" s="28"/>
      <c r="U1067" s="28"/>
      <c r="V1067" s="22"/>
      <c r="W1067" s="22"/>
      <c r="X1067" s="22"/>
      <c r="Y1067" s="22"/>
      <c r="Z1067" s="22"/>
      <c r="AA1067" s="22"/>
      <c r="AB1067" s="22"/>
      <c r="AC1067" s="22"/>
      <c r="AD1067" s="22"/>
    </row>
    <row r="1068" spans="1:30" ht="15.75" customHeight="1" x14ac:dyDescent="0.15">
      <c r="A1068" s="22"/>
      <c r="B1068" s="22"/>
      <c r="C1068" s="22"/>
      <c r="D1068" s="22"/>
      <c r="E1068" s="22"/>
      <c r="F1068" s="28"/>
      <c r="G1068" s="28"/>
      <c r="H1068" s="28"/>
      <c r="I1068" s="28"/>
      <c r="J1068" s="28"/>
      <c r="K1068" s="28"/>
      <c r="L1068" s="28"/>
      <c r="M1068" s="22"/>
      <c r="N1068" s="22"/>
      <c r="O1068" s="22"/>
      <c r="P1068" s="22"/>
      <c r="Q1068" s="22"/>
      <c r="R1068" s="28"/>
      <c r="S1068" s="28"/>
      <c r="T1068" s="28"/>
      <c r="U1068" s="28"/>
      <c r="V1068" s="22"/>
      <c r="W1068" s="22"/>
      <c r="X1068" s="22"/>
      <c r="Y1068" s="22"/>
      <c r="Z1068" s="22"/>
      <c r="AA1068" s="22"/>
      <c r="AB1068" s="22"/>
      <c r="AC1068" s="22"/>
      <c r="AD1068" s="22"/>
    </row>
    <row r="1069" spans="1:30" ht="15.75" customHeight="1" x14ac:dyDescent="0.15">
      <c r="A1069" s="22"/>
      <c r="B1069" s="22"/>
      <c r="C1069" s="22"/>
      <c r="D1069" s="22"/>
      <c r="E1069" s="22"/>
      <c r="F1069" s="28"/>
      <c r="G1069" s="28"/>
      <c r="H1069" s="28"/>
      <c r="I1069" s="28"/>
      <c r="J1069" s="28"/>
      <c r="K1069" s="28"/>
      <c r="L1069" s="28"/>
      <c r="M1069" s="22"/>
      <c r="N1069" s="22"/>
      <c r="O1069" s="22"/>
      <c r="P1069" s="22"/>
      <c r="Q1069" s="22"/>
      <c r="R1069" s="28"/>
      <c r="S1069" s="28"/>
      <c r="T1069" s="28"/>
      <c r="U1069" s="28"/>
      <c r="V1069" s="22"/>
      <c r="W1069" s="22"/>
      <c r="X1069" s="22"/>
      <c r="Y1069" s="22"/>
      <c r="Z1069" s="22"/>
      <c r="AA1069" s="22"/>
      <c r="AB1069" s="22"/>
      <c r="AC1069" s="22"/>
      <c r="AD1069" s="22"/>
    </row>
    <row r="1070" spans="1:30" ht="15.75" customHeight="1" x14ac:dyDescent="0.15">
      <c r="A1070" s="22"/>
      <c r="B1070" s="22"/>
      <c r="C1070" s="22"/>
      <c r="D1070" s="22"/>
      <c r="E1070" s="22"/>
      <c r="F1070" s="28"/>
      <c r="G1070" s="28"/>
      <c r="H1070" s="28"/>
      <c r="I1070" s="28"/>
      <c r="J1070" s="28"/>
      <c r="K1070" s="28"/>
      <c r="L1070" s="28"/>
      <c r="M1070" s="22"/>
      <c r="N1070" s="22"/>
      <c r="O1070" s="22"/>
      <c r="P1070" s="22"/>
      <c r="Q1070" s="22"/>
      <c r="R1070" s="28"/>
      <c r="S1070" s="28"/>
      <c r="T1070" s="28"/>
      <c r="U1070" s="28"/>
      <c r="V1070" s="22"/>
      <c r="W1070" s="22"/>
      <c r="X1070" s="22"/>
      <c r="Y1070" s="22"/>
      <c r="Z1070" s="22"/>
      <c r="AA1070" s="22"/>
      <c r="AB1070" s="22"/>
      <c r="AC1070" s="22"/>
      <c r="AD1070" s="22"/>
    </row>
    <row r="1071" spans="1:30" ht="15.75" customHeight="1" x14ac:dyDescent="0.15">
      <c r="A1071" s="22"/>
      <c r="B1071" s="22"/>
      <c r="C1071" s="22"/>
      <c r="D1071" s="22"/>
      <c r="E1071" s="22"/>
      <c r="F1071" s="28"/>
      <c r="G1071" s="28"/>
      <c r="H1071" s="28"/>
      <c r="I1071" s="28"/>
      <c r="J1071" s="28"/>
      <c r="K1071" s="28"/>
      <c r="L1071" s="28"/>
      <c r="M1071" s="22"/>
      <c r="N1071" s="22"/>
      <c r="O1071" s="22"/>
      <c r="P1071" s="22"/>
      <c r="Q1071" s="22"/>
      <c r="R1071" s="28"/>
      <c r="S1071" s="28"/>
      <c r="T1071" s="28"/>
      <c r="U1071" s="28"/>
      <c r="V1071" s="22"/>
      <c r="W1071" s="22"/>
      <c r="X1071" s="22"/>
      <c r="Y1071" s="22"/>
      <c r="Z1071" s="22"/>
      <c r="AA1071" s="22"/>
      <c r="AB1071" s="22"/>
      <c r="AC1071" s="22"/>
      <c r="AD1071" s="22"/>
    </row>
    <row r="1072" spans="1:30" ht="15.75" customHeight="1" x14ac:dyDescent="0.15">
      <c r="A1072" s="22"/>
      <c r="B1072" s="22"/>
      <c r="C1072" s="22"/>
      <c r="D1072" s="22"/>
      <c r="E1072" s="22"/>
      <c r="F1072" s="28"/>
      <c r="G1072" s="28"/>
      <c r="H1072" s="28"/>
      <c r="I1072" s="28"/>
      <c r="J1072" s="28"/>
      <c r="K1072" s="28"/>
      <c r="L1072" s="28"/>
      <c r="M1072" s="22"/>
      <c r="N1072" s="22"/>
      <c r="O1072" s="22"/>
      <c r="P1072" s="22"/>
      <c r="Q1072" s="22"/>
      <c r="R1072" s="28"/>
      <c r="S1072" s="28"/>
      <c r="T1072" s="28"/>
      <c r="U1072" s="28"/>
      <c r="V1072" s="22"/>
      <c r="W1072" s="22"/>
      <c r="X1072" s="22"/>
      <c r="Y1072" s="22"/>
      <c r="Z1072" s="22"/>
      <c r="AA1072" s="22"/>
      <c r="AB1072" s="22"/>
      <c r="AC1072" s="22"/>
      <c r="AD1072" s="22"/>
    </row>
    <row r="1073" spans="1:30" ht="15.75" customHeight="1" x14ac:dyDescent="0.15">
      <c r="A1073" s="22"/>
      <c r="B1073" s="22"/>
      <c r="C1073" s="22"/>
      <c r="D1073" s="22"/>
      <c r="E1073" s="22"/>
      <c r="F1073" s="28"/>
      <c r="G1073" s="28"/>
      <c r="H1073" s="28"/>
      <c r="I1073" s="28"/>
      <c r="J1073" s="28"/>
      <c r="K1073" s="28"/>
      <c r="L1073" s="28"/>
      <c r="M1073" s="22"/>
      <c r="N1073" s="22"/>
      <c r="O1073" s="22"/>
      <c r="P1073" s="22"/>
      <c r="Q1073" s="22"/>
      <c r="R1073" s="28"/>
      <c r="S1073" s="28"/>
      <c r="T1073" s="28"/>
      <c r="U1073" s="28"/>
      <c r="V1073" s="22"/>
      <c r="W1073" s="22"/>
      <c r="X1073" s="22"/>
      <c r="Y1073" s="22"/>
      <c r="Z1073" s="22"/>
      <c r="AA1073" s="22"/>
      <c r="AB1073" s="22"/>
      <c r="AC1073" s="22"/>
      <c r="AD1073" s="22"/>
    </row>
    <row r="1074" spans="1:30" ht="15.75" customHeight="1" x14ac:dyDescent="0.15">
      <c r="A1074" s="22"/>
      <c r="B1074" s="22"/>
      <c r="C1074" s="22"/>
      <c r="D1074" s="22"/>
      <c r="E1074" s="22"/>
      <c r="F1074" s="28"/>
      <c r="G1074" s="28"/>
      <c r="H1074" s="28"/>
      <c r="I1074" s="28"/>
      <c r="J1074" s="28"/>
      <c r="K1074" s="28"/>
      <c r="L1074" s="28"/>
      <c r="M1074" s="22"/>
      <c r="N1074" s="22"/>
      <c r="O1074" s="22"/>
      <c r="P1074" s="22"/>
      <c r="Q1074" s="22"/>
      <c r="R1074" s="28"/>
      <c r="S1074" s="28"/>
      <c r="T1074" s="28"/>
      <c r="U1074" s="28"/>
      <c r="V1074" s="22"/>
      <c r="W1074" s="22"/>
      <c r="X1074" s="22"/>
      <c r="Y1074" s="22"/>
      <c r="Z1074" s="22"/>
      <c r="AA1074" s="22"/>
      <c r="AB1074" s="22"/>
      <c r="AC1074" s="22"/>
      <c r="AD1074" s="22"/>
    </row>
    <row r="1075" spans="1:30" ht="15.75" customHeight="1" x14ac:dyDescent="0.15">
      <c r="A1075" s="22"/>
      <c r="B1075" s="22"/>
      <c r="C1075" s="22"/>
      <c r="D1075" s="22"/>
      <c r="E1075" s="22"/>
      <c r="F1075" s="28"/>
      <c r="G1075" s="28"/>
      <c r="H1075" s="28"/>
      <c r="I1075" s="28"/>
      <c r="J1075" s="28"/>
      <c r="K1075" s="28"/>
      <c r="L1075" s="28"/>
      <c r="M1075" s="22"/>
      <c r="N1075" s="22"/>
      <c r="O1075" s="22"/>
      <c r="P1075" s="22"/>
      <c r="Q1075" s="22"/>
      <c r="R1075" s="28"/>
      <c r="S1075" s="28"/>
      <c r="T1075" s="28"/>
      <c r="U1075" s="28"/>
      <c r="V1075" s="22"/>
      <c r="W1075" s="22"/>
      <c r="X1075" s="22"/>
      <c r="Y1075" s="22"/>
      <c r="Z1075" s="22"/>
      <c r="AA1075" s="22"/>
      <c r="AB1075" s="22"/>
      <c r="AC1075" s="22"/>
      <c r="AD1075" s="22"/>
    </row>
    <row r="1076" spans="1:30" ht="15.75" customHeight="1" x14ac:dyDescent="0.15">
      <c r="A1076" s="22"/>
      <c r="B1076" s="22"/>
      <c r="C1076" s="22"/>
      <c r="D1076" s="22"/>
      <c r="E1076" s="22"/>
      <c r="F1076" s="28"/>
      <c r="G1076" s="28"/>
      <c r="H1076" s="28"/>
      <c r="I1076" s="28"/>
      <c r="J1076" s="28"/>
      <c r="K1076" s="28"/>
      <c r="L1076" s="28"/>
      <c r="M1076" s="22"/>
      <c r="N1076" s="22"/>
      <c r="O1076" s="22"/>
      <c r="P1076" s="22"/>
      <c r="Q1076" s="22"/>
      <c r="R1076" s="28"/>
      <c r="S1076" s="28"/>
      <c r="T1076" s="28"/>
      <c r="U1076" s="28"/>
      <c r="V1076" s="22"/>
      <c r="W1076" s="22"/>
      <c r="X1076" s="22"/>
      <c r="Y1076" s="22"/>
      <c r="Z1076" s="22"/>
      <c r="AA1076" s="22"/>
      <c r="AB1076" s="22"/>
      <c r="AC1076" s="22"/>
      <c r="AD1076" s="22"/>
    </row>
    <row r="1077" spans="1:30" ht="15.75" customHeight="1" x14ac:dyDescent="0.15">
      <c r="A1077" s="22"/>
      <c r="B1077" s="22"/>
      <c r="C1077" s="22"/>
      <c r="D1077" s="22"/>
      <c r="E1077" s="22"/>
      <c r="F1077" s="28"/>
      <c r="G1077" s="28"/>
      <c r="H1077" s="28"/>
      <c r="I1077" s="28"/>
      <c r="J1077" s="28"/>
      <c r="K1077" s="28"/>
      <c r="L1077" s="28"/>
      <c r="M1077" s="22"/>
      <c r="N1077" s="22"/>
      <c r="O1077" s="22"/>
      <c r="P1077" s="22"/>
      <c r="Q1077" s="22"/>
      <c r="R1077" s="28"/>
      <c r="S1077" s="28"/>
      <c r="T1077" s="28"/>
      <c r="U1077" s="28"/>
      <c r="V1077" s="22"/>
      <c r="W1077" s="22"/>
      <c r="X1077" s="22"/>
      <c r="Y1077" s="22"/>
      <c r="Z1077" s="22"/>
      <c r="AA1077" s="22"/>
      <c r="AB1077" s="22"/>
      <c r="AC1077" s="22"/>
      <c r="AD1077" s="22"/>
    </row>
    <row r="1078" spans="1:30" ht="15.75" customHeight="1" x14ac:dyDescent="0.15">
      <c r="A1078" s="22"/>
      <c r="B1078" s="22"/>
      <c r="C1078" s="22"/>
      <c r="D1078" s="22"/>
      <c r="E1078" s="22"/>
      <c r="F1078" s="28"/>
      <c r="G1078" s="28"/>
      <c r="H1078" s="28"/>
      <c r="I1078" s="28"/>
      <c r="J1078" s="28"/>
      <c r="K1078" s="28"/>
      <c r="L1078" s="28"/>
      <c r="M1078" s="22"/>
      <c r="N1078" s="22"/>
      <c r="O1078" s="22"/>
      <c r="P1078" s="22"/>
      <c r="Q1078" s="22"/>
      <c r="R1078" s="28"/>
      <c r="S1078" s="28"/>
      <c r="T1078" s="28"/>
      <c r="U1078" s="28"/>
      <c r="V1078" s="22"/>
      <c r="W1078" s="22"/>
      <c r="X1078" s="22"/>
      <c r="Y1078" s="22"/>
      <c r="Z1078" s="22"/>
      <c r="AA1078" s="22"/>
      <c r="AB1078" s="22"/>
      <c r="AC1078" s="22"/>
      <c r="AD1078" s="22"/>
    </row>
    <row r="1079" spans="1:30" ht="15.75" customHeight="1" x14ac:dyDescent="0.15">
      <c r="A1079" s="22"/>
      <c r="B1079" s="22"/>
      <c r="C1079" s="22"/>
      <c r="D1079" s="22"/>
      <c r="E1079" s="22"/>
      <c r="F1079" s="28"/>
      <c r="G1079" s="28"/>
      <c r="H1079" s="28"/>
      <c r="I1079" s="28"/>
      <c r="J1079" s="28"/>
      <c r="K1079" s="28"/>
      <c r="L1079" s="28"/>
      <c r="M1079" s="22"/>
      <c r="N1079" s="22"/>
      <c r="O1079" s="22"/>
      <c r="P1079" s="22"/>
      <c r="Q1079" s="22"/>
      <c r="R1079" s="28"/>
      <c r="S1079" s="28"/>
      <c r="T1079" s="28"/>
      <c r="U1079" s="28"/>
      <c r="V1079" s="22"/>
      <c r="W1079" s="22"/>
      <c r="X1079" s="22"/>
      <c r="Y1079" s="22"/>
      <c r="Z1079" s="22"/>
      <c r="AA1079" s="22"/>
      <c r="AB1079" s="22"/>
      <c r="AC1079" s="22"/>
      <c r="AD1079" s="22"/>
    </row>
    <row r="1080" spans="1:30" ht="15.75" customHeight="1" x14ac:dyDescent="0.15">
      <c r="A1080" s="22"/>
      <c r="B1080" s="22"/>
      <c r="C1080" s="22"/>
      <c r="D1080" s="22"/>
      <c r="E1080" s="22"/>
      <c r="F1080" s="28"/>
      <c r="G1080" s="28"/>
      <c r="H1080" s="28"/>
      <c r="I1080" s="28"/>
      <c r="J1080" s="28"/>
      <c r="K1080" s="28"/>
      <c r="L1080" s="28"/>
      <c r="M1080" s="22"/>
      <c r="N1080" s="22"/>
      <c r="O1080" s="22"/>
      <c r="P1080" s="22"/>
      <c r="Q1080" s="22"/>
      <c r="R1080" s="28"/>
      <c r="S1080" s="28"/>
      <c r="T1080" s="28"/>
      <c r="U1080" s="28"/>
      <c r="V1080" s="22"/>
      <c r="W1080" s="22"/>
      <c r="X1080" s="22"/>
      <c r="Y1080" s="22"/>
      <c r="Z1080" s="22"/>
      <c r="AA1080" s="22"/>
      <c r="AB1080" s="22"/>
      <c r="AC1080" s="22"/>
      <c r="AD1080" s="22"/>
    </row>
    <row r="1081" spans="1:30" ht="15.75" customHeight="1" x14ac:dyDescent="0.15">
      <c r="A1081" s="22"/>
      <c r="B1081" s="22"/>
      <c r="C1081" s="22"/>
      <c r="D1081" s="22"/>
      <c r="E1081" s="22"/>
      <c r="F1081" s="28"/>
      <c r="G1081" s="28"/>
      <c r="H1081" s="28"/>
      <c r="I1081" s="28"/>
      <c r="J1081" s="28"/>
      <c r="K1081" s="28"/>
      <c r="L1081" s="28"/>
      <c r="M1081" s="22"/>
      <c r="N1081" s="22"/>
      <c r="O1081" s="22"/>
      <c r="P1081" s="22"/>
      <c r="Q1081" s="22"/>
      <c r="R1081" s="28"/>
      <c r="S1081" s="28"/>
      <c r="T1081" s="28"/>
      <c r="U1081" s="28"/>
      <c r="V1081" s="22"/>
      <c r="W1081" s="22"/>
      <c r="X1081" s="22"/>
      <c r="Y1081" s="22"/>
      <c r="Z1081" s="22"/>
      <c r="AA1081" s="22"/>
      <c r="AB1081" s="22"/>
      <c r="AC1081" s="22"/>
      <c r="AD1081" s="22"/>
    </row>
    <row r="1082" spans="1:30" ht="15.75" customHeight="1" x14ac:dyDescent="0.15">
      <c r="A1082" s="22"/>
      <c r="B1082" s="22"/>
      <c r="C1082" s="22"/>
      <c r="D1082" s="22"/>
      <c r="E1082" s="22"/>
      <c r="F1082" s="28"/>
      <c r="G1082" s="28"/>
      <c r="H1082" s="28"/>
      <c r="I1082" s="28"/>
      <c r="J1082" s="28"/>
      <c r="K1082" s="28"/>
      <c r="L1082" s="28"/>
      <c r="M1082" s="22"/>
      <c r="N1082" s="22"/>
      <c r="O1082" s="22"/>
      <c r="P1082" s="22"/>
      <c r="Q1082" s="22"/>
      <c r="R1082" s="28"/>
      <c r="S1082" s="28"/>
      <c r="T1082" s="28"/>
      <c r="U1082" s="28"/>
      <c r="V1082" s="22"/>
      <c r="W1082" s="22"/>
      <c r="X1082" s="22"/>
      <c r="Y1082" s="22"/>
      <c r="Z1082" s="22"/>
      <c r="AA1082" s="22"/>
      <c r="AB1082" s="22"/>
      <c r="AC1082" s="22"/>
      <c r="AD1082" s="22"/>
    </row>
    <row r="1083" spans="1:30" ht="15.75" customHeight="1" x14ac:dyDescent="0.15">
      <c r="A1083" s="22"/>
      <c r="B1083" s="22"/>
      <c r="C1083" s="22"/>
      <c r="D1083" s="22"/>
      <c r="E1083" s="22"/>
      <c r="F1083" s="28"/>
      <c r="G1083" s="28"/>
      <c r="H1083" s="28"/>
      <c r="I1083" s="28"/>
      <c r="J1083" s="28"/>
      <c r="K1083" s="28"/>
      <c r="L1083" s="28"/>
      <c r="M1083" s="22"/>
      <c r="N1083" s="22"/>
      <c r="O1083" s="22"/>
      <c r="P1083" s="22"/>
      <c r="Q1083" s="22"/>
      <c r="R1083" s="28"/>
      <c r="S1083" s="28"/>
      <c r="T1083" s="28"/>
      <c r="U1083" s="28"/>
      <c r="V1083" s="22"/>
      <c r="W1083" s="22"/>
      <c r="X1083" s="22"/>
      <c r="Y1083" s="22"/>
      <c r="Z1083" s="22"/>
      <c r="AA1083" s="22"/>
      <c r="AB1083" s="22"/>
      <c r="AC1083" s="22"/>
      <c r="AD1083" s="22"/>
    </row>
    <row r="1084" spans="1:30" ht="15.75" customHeight="1" x14ac:dyDescent="0.15">
      <c r="A1084" s="22"/>
      <c r="B1084" s="22"/>
      <c r="C1084" s="22"/>
      <c r="D1084" s="22"/>
      <c r="E1084" s="22"/>
      <c r="F1084" s="28"/>
      <c r="G1084" s="28"/>
      <c r="H1084" s="28"/>
      <c r="I1084" s="28"/>
      <c r="J1084" s="28"/>
      <c r="K1084" s="28"/>
      <c r="L1084" s="28"/>
      <c r="M1084" s="22"/>
      <c r="N1084" s="22"/>
      <c r="O1084" s="22"/>
      <c r="P1084" s="22"/>
      <c r="Q1084" s="22"/>
      <c r="R1084" s="28"/>
      <c r="S1084" s="28"/>
      <c r="T1084" s="28"/>
      <c r="U1084" s="28"/>
      <c r="V1084" s="22"/>
      <c r="W1084" s="22"/>
      <c r="X1084" s="22"/>
      <c r="Y1084" s="22"/>
      <c r="Z1084" s="22"/>
      <c r="AA1084" s="22"/>
      <c r="AB1084" s="22"/>
      <c r="AC1084" s="22"/>
      <c r="AD1084" s="22"/>
    </row>
    <row r="1085" spans="1:30" ht="15.75" customHeight="1" x14ac:dyDescent="0.15">
      <c r="A1085" s="22"/>
      <c r="B1085" s="22"/>
      <c r="C1085" s="22"/>
      <c r="D1085" s="22"/>
      <c r="E1085" s="22"/>
      <c r="F1085" s="28"/>
      <c r="G1085" s="28"/>
      <c r="H1085" s="28"/>
      <c r="I1085" s="28"/>
      <c r="J1085" s="28"/>
      <c r="K1085" s="28"/>
      <c r="L1085" s="28"/>
      <c r="M1085" s="22"/>
      <c r="N1085" s="22"/>
      <c r="O1085" s="22"/>
      <c r="P1085" s="22"/>
      <c r="Q1085" s="22"/>
      <c r="R1085" s="28"/>
      <c r="S1085" s="28"/>
      <c r="T1085" s="28"/>
      <c r="U1085" s="28"/>
      <c r="V1085" s="22"/>
      <c r="W1085" s="22"/>
      <c r="X1085" s="22"/>
      <c r="Y1085" s="22"/>
      <c r="Z1085" s="22"/>
      <c r="AA1085" s="22"/>
      <c r="AB1085" s="22"/>
      <c r="AC1085" s="22"/>
      <c r="AD1085" s="22"/>
    </row>
    <row r="1086" spans="1:30" ht="15.75" customHeight="1" x14ac:dyDescent="0.15">
      <c r="A1086" s="22"/>
      <c r="B1086" s="22"/>
      <c r="C1086" s="22"/>
      <c r="D1086" s="22"/>
      <c r="E1086" s="22"/>
      <c r="F1086" s="28"/>
      <c r="G1086" s="28"/>
      <c r="H1086" s="28"/>
      <c r="I1086" s="28"/>
      <c r="J1086" s="28"/>
      <c r="K1086" s="28"/>
      <c r="L1086" s="28"/>
      <c r="M1086" s="22"/>
      <c r="N1086" s="22"/>
      <c r="O1086" s="22"/>
      <c r="P1086" s="22"/>
      <c r="Q1086" s="22"/>
      <c r="R1086" s="28"/>
      <c r="S1086" s="28"/>
      <c r="T1086" s="28"/>
      <c r="U1086" s="28"/>
      <c r="V1086" s="22"/>
      <c r="W1086" s="22"/>
      <c r="X1086" s="22"/>
      <c r="Y1086" s="22"/>
      <c r="Z1086" s="22"/>
      <c r="AA1086" s="22"/>
      <c r="AB1086" s="22"/>
      <c r="AC1086" s="22"/>
      <c r="AD1086" s="22"/>
    </row>
    <row r="1087" spans="1:30" ht="15.75" customHeight="1" x14ac:dyDescent="0.15">
      <c r="A1087" s="22"/>
      <c r="B1087" s="22"/>
      <c r="C1087" s="22"/>
      <c r="D1087" s="22"/>
      <c r="E1087" s="22"/>
      <c r="F1087" s="28"/>
      <c r="G1087" s="28"/>
      <c r="H1087" s="28"/>
      <c r="I1087" s="28"/>
      <c r="J1087" s="28"/>
      <c r="K1087" s="28"/>
      <c r="L1087" s="28"/>
      <c r="M1087" s="22"/>
      <c r="N1087" s="22"/>
      <c r="O1087" s="22"/>
      <c r="P1087" s="22"/>
      <c r="Q1087" s="22"/>
      <c r="R1087" s="28"/>
      <c r="S1087" s="28"/>
      <c r="T1087" s="28"/>
      <c r="U1087" s="28"/>
      <c r="V1087" s="22"/>
      <c r="W1087" s="22"/>
      <c r="X1087" s="22"/>
      <c r="Y1087" s="22"/>
      <c r="Z1087" s="22"/>
      <c r="AA1087" s="22"/>
      <c r="AB1087" s="22"/>
      <c r="AC1087" s="22"/>
      <c r="AD1087" s="22"/>
    </row>
    <row r="1088" spans="1:30" ht="15.75" customHeight="1" x14ac:dyDescent="0.15">
      <c r="A1088" s="22"/>
      <c r="B1088" s="22"/>
      <c r="C1088" s="22"/>
      <c r="D1088" s="22"/>
      <c r="E1088" s="22"/>
      <c r="F1088" s="28"/>
      <c r="G1088" s="28"/>
      <c r="H1088" s="28"/>
      <c r="I1088" s="28"/>
      <c r="J1088" s="28"/>
      <c r="K1088" s="28"/>
      <c r="L1088" s="28"/>
      <c r="M1088" s="22"/>
      <c r="N1088" s="22"/>
      <c r="O1088" s="22"/>
      <c r="P1088" s="22"/>
      <c r="Q1088" s="22"/>
      <c r="R1088" s="28"/>
      <c r="S1088" s="28"/>
      <c r="T1088" s="28"/>
      <c r="U1088" s="28"/>
      <c r="V1088" s="22"/>
      <c r="W1088" s="22"/>
      <c r="X1088" s="22"/>
      <c r="Y1088" s="22"/>
      <c r="Z1088" s="22"/>
      <c r="AA1088" s="22"/>
      <c r="AB1088" s="22"/>
      <c r="AC1088" s="22"/>
      <c r="AD1088" s="22"/>
    </row>
    <row r="1089" spans="1:30" ht="15.75" customHeight="1" x14ac:dyDescent="0.15">
      <c r="A1089" s="22"/>
      <c r="B1089" s="22"/>
      <c r="C1089" s="22"/>
      <c r="D1089" s="22"/>
      <c r="E1089" s="22"/>
      <c r="F1089" s="28"/>
      <c r="G1089" s="28"/>
      <c r="H1089" s="28"/>
      <c r="I1089" s="28"/>
      <c r="J1089" s="28"/>
      <c r="K1089" s="28"/>
      <c r="L1089" s="28"/>
      <c r="M1089" s="22"/>
      <c r="N1089" s="22"/>
      <c r="O1089" s="22"/>
      <c r="P1089" s="22"/>
      <c r="Q1089" s="22"/>
      <c r="R1089" s="28"/>
      <c r="S1089" s="28"/>
      <c r="T1089" s="28"/>
      <c r="U1089" s="28"/>
      <c r="V1089" s="22"/>
      <c r="W1089" s="22"/>
      <c r="X1089" s="22"/>
      <c r="Y1089" s="22"/>
      <c r="Z1089" s="22"/>
      <c r="AA1089" s="22"/>
      <c r="AB1089" s="22"/>
      <c r="AC1089" s="22"/>
      <c r="AD1089" s="22"/>
    </row>
    <row r="1090" spans="1:30" ht="15.75" customHeight="1" x14ac:dyDescent="0.15">
      <c r="A1090" s="22"/>
      <c r="B1090" s="22"/>
      <c r="C1090" s="22"/>
      <c r="D1090" s="22"/>
      <c r="E1090" s="22"/>
      <c r="F1090" s="28"/>
      <c r="G1090" s="28"/>
      <c r="H1090" s="28"/>
      <c r="I1090" s="28"/>
      <c r="J1090" s="28"/>
      <c r="K1090" s="28"/>
      <c r="L1090" s="28"/>
      <c r="M1090" s="22"/>
      <c r="N1090" s="22"/>
      <c r="O1090" s="22"/>
      <c r="P1090" s="22"/>
      <c r="Q1090" s="22"/>
      <c r="R1090" s="28"/>
      <c r="S1090" s="28"/>
      <c r="T1090" s="28"/>
      <c r="U1090" s="28"/>
      <c r="V1090" s="22"/>
      <c r="W1090" s="22"/>
      <c r="X1090" s="22"/>
      <c r="Y1090" s="22"/>
      <c r="Z1090" s="22"/>
      <c r="AA1090" s="22"/>
      <c r="AB1090" s="22"/>
      <c r="AC1090" s="22"/>
      <c r="AD1090" s="22"/>
    </row>
    <row r="1091" spans="1:30" ht="15.75" customHeight="1" x14ac:dyDescent="0.15">
      <c r="A1091" s="22"/>
      <c r="B1091" s="22"/>
      <c r="C1091" s="22"/>
      <c r="D1091" s="22"/>
      <c r="E1091" s="22"/>
      <c r="F1091" s="28"/>
      <c r="G1091" s="28"/>
      <c r="H1091" s="28"/>
      <c r="I1091" s="28"/>
      <c r="J1091" s="28"/>
      <c r="K1091" s="28"/>
      <c r="L1091" s="28"/>
      <c r="M1091" s="22"/>
      <c r="N1091" s="22"/>
      <c r="O1091" s="22"/>
      <c r="P1091" s="22"/>
      <c r="Q1091" s="22"/>
      <c r="R1091" s="28"/>
      <c r="S1091" s="28"/>
      <c r="T1091" s="28"/>
      <c r="U1091" s="28"/>
      <c r="V1091" s="22"/>
      <c r="W1091" s="22"/>
      <c r="X1091" s="22"/>
      <c r="Y1091" s="22"/>
      <c r="Z1091" s="22"/>
      <c r="AA1091" s="22"/>
      <c r="AB1091" s="22"/>
      <c r="AC1091" s="22"/>
      <c r="AD1091" s="22"/>
    </row>
    <row r="1092" spans="1:30" ht="15.75" customHeight="1" x14ac:dyDescent="0.15">
      <c r="A1092" s="22"/>
      <c r="B1092" s="22"/>
      <c r="C1092" s="22"/>
      <c r="D1092" s="22"/>
      <c r="E1092" s="22"/>
      <c r="F1092" s="28"/>
      <c r="G1092" s="28"/>
      <c r="H1092" s="28"/>
      <c r="I1092" s="28"/>
      <c r="J1092" s="28"/>
      <c r="K1092" s="28"/>
      <c r="L1092" s="28"/>
      <c r="M1092" s="22"/>
      <c r="N1092" s="22"/>
      <c r="O1092" s="22"/>
      <c r="P1092" s="22"/>
      <c r="Q1092" s="22"/>
      <c r="R1092" s="28"/>
      <c r="S1092" s="28"/>
      <c r="T1092" s="28"/>
      <c r="U1092" s="28"/>
      <c r="V1092" s="22"/>
      <c r="W1092" s="22"/>
      <c r="X1092" s="22"/>
      <c r="Y1092" s="22"/>
      <c r="Z1092" s="22"/>
      <c r="AA1092" s="22"/>
      <c r="AB1092" s="22"/>
      <c r="AC1092" s="22"/>
      <c r="AD1092" s="22"/>
    </row>
    <row r="1093" spans="1:30" ht="15.75" customHeight="1" x14ac:dyDescent="0.15">
      <c r="A1093" s="22"/>
      <c r="B1093" s="22"/>
      <c r="C1093" s="22"/>
      <c r="D1093" s="22"/>
      <c r="E1093" s="22"/>
      <c r="F1093" s="28"/>
      <c r="G1093" s="28"/>
      <c r="H1093" s="28"/>
      <c r="I1093" s="28"/>
      <c r="J1093" s="28"/>
      <c r="K1093" s="28"/>
      <c r="L1093" s="28"/>
      <c r="M1093" s="22"/>
      <c r="N1093" s="22"/>
      <c r="O1093" s="22"/>
      <c r="P1093" s="22"/>
      <c r="Q1093" s="22"/>
      <c r="R1093" s="28"/>
      <c r="S1093" s="28"/>
      <c r="T1093" s="28"/>
      <c r="U1093" s="28"/>
      <c r="V1093" s="22"/>
      <c r="W1093" s="22"/>
      <c r="X1093" s="22"/>
      <c r="Y1093" s="22"/>
      <c r="Z1093" s="22"/>
      <c r="AA1093" s="22"/>
      <c r="AB1093" s="22"/>
      <c r="AC1093" s="22"/>
      <c r="AD1093" s="22"/>
    </row>
    <row r="1094" spans="1:30" ht="15.75" customHeight="1" x14ac:dyDescent="0.15">
      <c r="A1094" s="22"/>
      <c r="B1094" s="22"/>
      <c r="C1094" s="22"/>
      <c r="D1094" s="22"/>
      <c r="E1094" s="22"/>
      <c r="F1094" s="28"/>
      <c r="G1094" s="28"/>
      <c r="H1094" s="28"/>
      <c r="I1094" s="28"/>
      <c r="J1094" s="28"/>
      <c r="K1094" s="28"/>
      <c r="L1094" s="28"/>
      <c r="M1094" s="22"/>
      <c r="N1094" s="22"/>
      <c r="O1094" s="22"/>
      <c r="P1094" s="22"/>
      <c r="Q1094" s="22"/>
      <c r="R1094" s="28"/>
      <c r="S1094" s="28"/>
      <c r="T1094" s="28"/>
      <c r="U1094" s="28"/>
      <c r="V1094" s="22"/>
      <c r="W1094" s="22"/>
      <c r="X1094" s="22"/>
      <c r="Y1094" s="22"/>
      <c r="Z1094" s="22"/>
      <c r="AA1094" s="22"/>
      <c r="AB1094" s="22"/>
      <c r="AC1094" s="22"/>
      <c r="AD1094" s="22"/>
    </row>
    <row r="1095" spans="1:30" ht="15.75" customHeight="1" x14ac:dyDescent="0.15">
      <c r="A1095" s="22"/>
      <c r="B1095" s="22"/>
      <c r="C1095" s="22"/>
      <c r="D1095" s="22"/>
      <c r="E1095" s="22"/>
      <c r="F1095" s="28"/>
      <c r="G1095" s="28"/>
      <c r="H1095" s="28"/>
      <c r="I1095" s="28"/>
      <c r="J1095" s="28"/>
      <c r="K1095" s="28"/>
      <c r="L1095" s="28"/>
      <c r="M1095" s="22"/>
      <c r="N1095" s="22"/>
      <c r="O1095" s="22"/>
      <c r="P1095" s="22"/>
      <c r="Q1095" s="22"/>
      <c r="R1095" s="28"/>
      <c r="S1095" s="28"/>
      <c r="T1095" s="28"/>
      <c r="U1095" s="28"/>
      <c r="V1095" s="22"/>
      <c r="W1095" s="22"/>
      <c r="X1095" s="22"/>
      <c r="Y1095" s="22"/>
      <c r="Z1095" s="22"/>
      <c r="AA1095" s="22"/>
      <c r="AB1095" s="22"/>
      <c r="AC1095" s="22"/>
      <c r="AD1095" s="22"/>
    </row>
    <row r="1096" spans="1:30" ht="15.75" customHeight="1" x14ac:dyDescent="0.15">
      <c r="A1096" s="22"/>
      <c r="B1096" s="22"/>
      <c r="C1096" s="22"/>
      <c r="D1096" s="22"/>
      <c r="E1096" s="22"/>
      <c r="F1096" s="28"/>
      <c r="G1096" s="28"/>
      <c r="H1096" s="28"/>
      <c r="I1096" s="28"/>
      <c r="J1096" s="28"/>
      <c r="K1096" s="28"/>
      <c r="L1096" s="28"/>
      <c r="M1096" s="22"/>
      <c r="N1096" s="22"/>
      <c r="O1096" s="22"/>
      <c r="P1096" s="22"/>
      <c r="Q1096" s="22"/>
      <c r="R1096" s="28"/>
      <c r="S1096" s="28"/>
      <c r="T1096" s="28"/>
      <c r="U1096" s="28"/>
      <c r="V1096" s="22"/>
      <c r="W1096" s="22"/>
      <c r="X1096" s="22"/>
      <c r="Y1096" s="22"/>
      <c r="Z1096" s="22"/>
      <c r="AA1096" s="22"/>
      <c r="AB1096" s="22"/>
      <c r="AC1096" s="22"/>
      <c r="AD1096" s="22"/>
    </row>
    <row r="1097" spans="1:30" ht="15.75" customHeight="1" x14ac:dyDescent="0.15">
      <c r="A1097" s="22"/>
      <c r="B1097" s="22"/>
      <c r="C1097" s="22"/>
      <c r="D1097" s="22"/>
      <c r="E1097" s="22"/>
      <c r="F1097" s="28"/>
      <c r="G1097" s="28"/>
      <c r="H1097" s="28"/>
      <c r="I1097" s="28"/>
      <c r="J1097" s="28"/>
      <c r="K1097" s="28"/>
      <c r="L1097" s="28"/>
      <c r="M1097" s="22"/>
      <c r="N1097" s="22"/>
      <c r="O1097" s="22"/>
      <c r="P1097" s="22"/>
      <c r="Q1097" s="22"/>
      <c r="R1097" s="28"/>
      <c r="S1097" s="28"/>
      <c r="T1097" s="28"/>
      <c r="U1097" s="28"/>
      <c r="V1097" s="22"/>
      <c r="W1097" s="22"/>
      <c r="X1097" s="22"/>
      <c r="Y1097" s="22"/>
      <c r="Z1097" s="22"/>
      <c r="AA1097" s="22"/>
      <c r="AB1097" s="22"/>
      <c r="AC1097" s="22"/>
      <c r="AD1097" s="22"/>
    </row>
    <row r="1098" spans="1:30" ht="15.75" customHeight="1" x14ac:dyDescent="0.15">
      <c r="A1098" s="22"/>
      <c r="B1098" s="22"/>
      <c r="C1098" s="22"/>
      <c r="D1098" s="22"/>
      <c r="E1098" s="22"/>
      <c r="F1098" s="28"/>
      <c r="G1098" s="28"/>
      <c r="H1098" s="28"/>
      <c r="I1098" s="28"/>
      <c r="J1098" s="28"/>
      <c r="K1098" s="28"/>
      <c r="L1098" s="28"/>
      <c r="M1098" s="22"/>
      <c r="N1098" s="22"/>
      <c r="O1098" s="22"/>
      <c r="P1098" s="22"/>
      <c r="Q1098" s="22"/>
      <c r="R1098" s="28"/>
      <c r="S1098" s="28"/>
      <c r="T1098" s="28"/>
      <c r="U1098" s="28"/>
      <c r="V1098" s="22"/>
      <c r="W1098" s="22"/>
      <c r="X1098" s="22"/>
      <c r="Y1098" s="22"/>
      <c r="Z1098" s="22"/>
      <c r="AA1098" s="22"/>
      <c r="AB1098" s="22"/>
      <c r="AC1098" s="22"/>
      <c r="AD1098" s="22"/>
    </row>
    <row r="1099" spans="1:30" ht="15.75" customHeight="1" x14ac:dyDescent="0.15">
      <c r="A1099" s="22"/>
      <c r="B1099" s="22"/>
      <c r="C1099" s="22"/>
      <c r="D1099" s="22"/>
      <c r="E1099" s="22"/>
      <c r="F1099" s="28"/>
      <c r="G1099" s="28"/>
      <c r="H1099" s="28"/>
      <c r="I1099" s="28"/>
      <c r="J1099" s="28"/>
      <c r="K1099" s="28"/>
      <c r="L1099" s="28"/>
      <c r="M1099" s="22"/>
      <c r="N1099" s="22"/>
      <c r="O1099" s="22"/>
      <c r="P1099" s="22"/>
      <c r="Q1099" s="22"/>
      <c r="R1099" s="28"/>
      <c r="S1099" s="28"/>
      <c r="T1099" s="28"/>
      <c r="U1099" s="28"/>
      <c r="V1099" s="22"/>
      <c r="W1099" s="22"/>
      <c r="X1099" s="22"/>
      <c r="Y1099" s="22"/>
      <c r="Z1099" s="22"/>
      <c r="AA1099" s="22"/>
      <c r="AB1099" s="22"/>
      <c r="AC1099" s="22"/>
      <c r="AD1099" s="22"/>
    </row>
    <row r="1100" spans="1:30" ht="15.75" customHeight="1" x14ac:dyDescent="0.15">
      <c r="A1100" s="22"/>
      <c r="B1100" s="22"/>
      <c r="C1100" s="22"/>
      <c r="D1100" s="22"/>
      <c r="E1100" s="22"/>
      <c r="F1100" s="28"/>
      <c r="G1100" s="28"/>
      <c r="H1100" s="28"/>
      <c r="I1100" s="28"/>
      <c r="J1100" s="28"/>
      <c r="K1100" s="28"/>
      <c r="L1100" s="28"/>
      <c r="M1100" s="22"/>
      <c r="N1100" s="22"/>
      <c r="O1100" s="22"/>
      <c r="P1100" s="22"/>
      <c r="Q1100" s="22"/>
      <c r="R1100" s="28"/>
      <c r="S1100" s="28"/>
      <c r="T1100" s="28"/>
      <c r="U1100" s="28"/>
      <c r="V1100" s="22"/>
      <c r="W1100" s="22"/>
      <c r="X1100" s="22"/>
      <c r="Y1100" s="22"/>
      <c r="Z1100" s="22"/>
      <c r="AA1100" s="22"/>
      <c r="AB1100" s="22"/>
      <c r="AC1100" s="22"/>
      <c r="AD1100" s="22"/>
    </row>
    <row r="1101" spans="1:30" ht="15.75" customHeight="1" x14ac:dyDescent="0.15">
      <c r="A1101" s="22"/>
      <c r="B1101" s="22"/>
      <c r="C1101" s="22"/>
      <c r="D1101" s="22"/>
      <c r="E1101" s="22"/>
      <c r="F1101" s="28"/>
      <c r="G1101" s="28"/>
      <c r="H1101" s="28"/>
      <c r="I1101" s="28"/>
      <c r="J1101" s="28"/>
      <c r="K1101" s="28"/>
      <c r="L1101" s="28"/>
      <c r="M1101" s="22"/>
      <c r="N1101" s="22"/>
      <c r="O1101" s="22"/>
      <c r="P1101" s="22"/>
      <c r="Q1101" s="22"/>
      <c r="R1101" s="28"/>
      <c r="S1101" s="28"/>
      <c r="T1101" s="28"/>
      <c r="U1101" s="28"/>
      <c r="V1101" s="22"/>
      <c r="W1101" s="22"/>
      <c r="X1101" s="22"/>
      <c r="Y1101" s="22"/>
      <c r="Z1101" s="22"/>
      <c r="AA1101" s="22"/>
      <c r="AB1101" s="22"/>
      <c r="AC1101" s="22"/>
      <c r="AD1101" s="22"/>
    </row>
    <row r="1102" spans="1:30" ht="15.75" customHeight="1" x14ac:dyDescent="0.15">
      <c r="A1102" s="22"/>
      <c r="B1102" s="22"/>
      <c r="C1102" s="22"/>
      <c r="D1102" s="22"/>
      <c r="E1102" s="22"/>
      <c r="F1102" s="28"/>
      <c r="G1102" s="28"/>
      <c r="H1102" s="28"/>
      <c r="I1102" s="28"/>
      <c r="J1102" s="28"/>
      <c r="K1102" s="28"/>
      <c r="L1102" s="28"/>
      <c r="M1102" s="22"/>
      <c r="N1102" s="22"/>
      <c r="O1102" s="22"/>
      <c r="P1102" s="22"/>
      <c r="Q1102" s="22"/>
      <c r="R1102" s="28"/>
      <c r="S1102" s="28"/>
      <c r="T1102" s="28"/>
      <c r="U1102" s="28"/>
      <c r="V1102" s="22"/>
      <c r="W1102" s="22"/>
      <c r="X1102" s="22"/>
      <c r="Y1102" s="22"/>
      <c r="Z1102" s="22"/>
      <c r="AA1102" s="22"/>
      <c r="AB1102" s="22"/>
      <c r="AC1102" s="22"/>
      <c r="AD1102" s="22"/>
    </row>
    <row r="1103" spans="1:30" ht="15.75" customHeight="1" x14ac:dyDescent="0.15">
      <c r="A1103" s="22"/>
      <c r="B1103" s="22"/>
      <c r="C1103" s="22"/>
      <c r="D1103" s="22"/>
      <c r="E1103" s="22"/>
      <c r="F1103" s="28"/>
      <c r="G1103" s="28"/>
      <c r="H1103" s="28"/>
      <c r="I1103" s="28"/>
      <c r="J1103" s="28"/>
      <c r="K1103" s="28"/>
      <c r="L1103" s="28"/>
      <c r="M1103" s="22"/>
      <c r="N1103" s="22"/>
      <c r="O1103" s="22"/>
      <c r="P1103" s="22"/>
      <c r="Q1103" s="22"/>
      <c r="R1103" s="28"/>
      <c r="S1103" s="28"/>
      <c r="T1103" s="28"/>
      <c r="U1103" s="28"/>
      <c r="V1103" s="22"/>
      <c r="W1103" s="22"/>
      <c r="X1103" s="22"/>
      <c r="Y1103" s="22"/>
      <c r="Z1103" s="22"/>
      <c r="AA1103" s="22"/>
      <c r="AB1103" s="22"/>
      <c r="AC1103" s="22"/>
      <c r="AD1103" s="22"/>
    </row>
    <row r="1104" spans="1:30" ht="15.75" customHeight="1" x14ac:dyDescent="0.15">
      <c r="A1104" s="22"/>
      <c r="B1104" s="22"/>
      <c r="C1104" s="22"/>
      <c r="D1104" s="22"/>
      <c r="E1104" s="22"/>
      <c r="F1104" s="28"/>
      <c r="G1104" s="28"/>
      <c r="H1104" s="28"/>
      <c r="I1104" s="28"/>
      <c r="J1104" s="28"/>
      <c r="K1104" s="28"/>
      <c r="L1104" s="28"/>
      <c r="M1104" s="22"/>
      <c r="N1104" s="22"/>
      <c r="O1104" s="22"/>
      <c r="P1104" s="22"/>
      <c r="Q1104" s="22"/>
      <c r="R1104" s="28"/>
      <c r="S1104" s="28"/>
      <c r="T1104" s="28"/>
      <c r="U1104" s="28"/>
      <c r="V1104" s="22"/>
      <c r="W1104" s="22"/>
      <c r="X1104" s="22"/>
      <c r="Y1104" s="22"/>
      <c r="Z1104" s="22"/>
      <c r="AA1104" s="22"/>
      <c r="AB1104" s="22"/>
      <c r="AC1104" s="22"/>
      <c r="AD1104" s="22"/>
    </row>
    <row r="1105" spans="1:30" ht="15.75" customHeight="1" x14ac:dyDescent="0.15">
      <c r="A1105" s="22"/>
      <c r="B1105" s="22"/>
      <c r="C1105" s="22"/>
      <c r="D1105" s="22"/>
      <c r="E1105" s="22"/>
      <c r="F1105" s="28"/>
      <c r="G1105" s="28"/>
      <c r="H1105" s="28"/>
      <c r="I1105" s="28"/>
      <c r="J1105" s="28"/>
      <c r="K1105" s="28"/>
      <c r="L1105" s="28"/>
      <c r="M1105" s="22"/>
      <c r="N1105" s="22"/>
      <c r="O1105" s="22"/>
      <c r="P1105" s="22"/>
      <c r="Q1105" s="22"/>
      <c r="R1105" s="28"/>
      <c r="S1105" s="28"/>
      <c r="T1105" s="28"/>
      <c r="U1105" s="28"/>
      <c r="V1105" s="22"/>
      <c r="W1105" s="22"/>
      <c r="X1105" s="22"/>
      <c r="Y1105" s="22"/>
      <c r="Z1105" s="22"/>
      <c r="AA1105" s="22"/>
      <c r="AB1105" s="22"/>
      <c r="AC1105" s="22"/>
      <c r="AD1105" s="22"/>
    </row>
    <row r="1106" spans="1:30" ht="15.75" customHeight="1" x14ac:dyDescent="0.15">
      <c r="A1106" s="22"/>
      <c r="B1106" s="22"/>
      <c r="C1106" s="22"/>
      <c r="D1106" s="22"/>
      <c r="E1106" s="22"/>
      <c r="F1106" s="28"/>
      <c r="G1106" s="28"/>
      <c r="H1106" s="28"/>
      <c r="I1106" s="28"/>
      <c r="J1106" s="28"/>
      <c r="K1106" s="28"/>
      <c r="L1106" s="28"/>
      <c r="M1106" s="22"/>
      <c r="N1106" s="22"/>
      <c r="O1106" s="22"/>
      <c r="P1106" s="22"/>
      <c r="Q1106" s="22"/>
      <c r="R1106" s="28"/>
      <c r="S1106" s="28"/>
      <c r="T1106" s="28"/>
      <c r="U1106" s="28"/>
      <c r="V1106" s="22"/>
      <c r="W1106" s="22"/>
      <c r="X1106" s="22"/>
      <c r="Y1106" s="22"/>
      <c r="Z1106" s="22"/>
      <c r="AA1106" s="22"/>
      <c r="AB1106" s="22"/>
      <c r="AC1106" s="22"/>
      <c r="AD1106" s="22"/>
    </row>
    <row r="1107" spans="1:30" ht="15.75" customHeight="1" x14ac:dyDescent="0.15">
      <c r="A1107" s="22"/>
      <c r="B1107" s="22"/>
      <c r="C1107" s="22"/>
      <c r="D1107" s="22"/>
      <c r="E1107" s="22"/>
      <c r="F1107" s="28"/>
      <c r="G1107" s="28"/>
      <c r="H1107" s="28"/>
      <c r="I1107" s="28"/>
      <c r="J1107" s="28"/>
      <c r="K1107" s="28"/>
      <c r="L1107" s="28"/>
      <c r="M1107" s="22"/>
      <c r="N1107" s="22"/>
      <c r="O1107" s="22"/>
      <c r="P1107" s="22"/>
      <c r="Q1107" s="22"/>
      <c r="R1107" s="28"/>
      <c r="S1107" s="28"/>
      <c r="T1107" s="28"/>
      <c r="U1107" s="28"/>
      <c r="V1107" s="22"/>
      <c r="W1107" s="22"/>
      <c r="X1107" s="22"/>
      <c r="Y1107" s="22"/>
      <c r="Z1107" s="22"/>
      <c r="AA1107" s="22"/>
      <c r="AB1107" s="22"/>
      <c r="AC1107" s="22"/>
      <c r="AD1107" s="22"/>
    </row>
    <row r="1108" spans="1:30" ht="15.75" customHeight="1" x14ac:dyDescent="0.15">
      <c r="A1108" s="22"/>
      <c r="B1108" s="22"/>
      <c r="C1108" s="22"/>
      <c r="D1108" s="22"/>
      <c r="E1108" s="22"/>
      <c r="F1108" s="28"/>
      <c r="G1108" s="28"/>
      <c r="H1108" s="28"/>
      <c r="I1108" s="28"/>
      <c r="J1108" s="28"/>
      <c r="K1108" s="28"/>
      <c r="L1108" s="28"/>
      <c r="M1108" s="22"/>
      <c r="N1108" s="22"/>
      <c r="O1108" s="22"/>
      <c r="P1108" s="22"/>
      <c r="Q1108" s="22"/>
      <c r="R1108" s="28"/>
      <c r="S1108" s="28"/>
      <c r="T1108" s="28"/>
      <c r="U1108" s="28"/>
      <c r="V1108" s="22"/>
      <c r="W1108" s="22"/>
      <c r="X1108" s="22"/>
      <c r="Y1108" s="22"/>
      <c r="Z1108" s="22"/>
      <c r="AA1108" s="22"/>
      <c r="AB1108" s="22"/>
      <c r="AC1108" s="22"/>
      <c r="AD1108" s="22"/>
    </row>
    <row r="1109" spans="1:30" ht="15.75" customHeight="1" x14ac:dyDescent="0.15">
      <c r="A1109" s="22"/>
      <c r="B1109" s="22"/>
      <c r="C1109" s="22"/>
      <c r="D1109" s="22"/>
      <c r="E1109" s="22"/>
      <c r="F1109" s="28"/>
      <c r="G1109" s="28"/>
      <c r="H1109" s="28"/>
      <c r="I1109" s="28"/>
      <c r="J1109" s="28"/>
      <c r="K1109" s="28"/>
      <c r="L1109" s="28"/>
      <c r="M1109" s="22"/>
      <c r="N1109" s="22"/>
      <c r="O1109" s="22"/>
      <c r="P1109" s="22"/>
      <c r="Q1109" s="22"/>
      <c r="R1109" s="28"/>
      <c r="S1109" s="28"/>
      <c r="T1109" s="28"/>
      <c r="U1109" s="28"/>
      <c r="V1109" s="22"/>
      <c r="W1109" s="22"/>
      <c r="X1109" s="22"/>
      <c r="Y1109" s="22"/>
      <c r="Z1109" s="22"/>
      <c r="AA1109" s="22"/>
      <c r="AB1109" s="22"/>
      <c r="AC1109" s="22"/>
      <c r="AD1109" s="22"/>
    </row>
    <row r="1110" spans="1:30" ht="15.75" customHeight="1" x14ac:dyDescent="0.15">
      <c r="A1110" s="22"/>
      <c r="B1110" s="22"/>
      <c r="C1110" s="22"/>
      <c r="D1110" s="22"/>
      <c r="E1110" s="22"/>
      <c r="F1110" s="28"/>
      <c r="G1110" s="28"/>
      <c r="H1110" s="28"/>
      <c r="I1110" s="28"/>
      <c r="J1110" s="28"/>
      <c r="K1110" s="28"/>
      <c r="L1110" s="28"/>
      <c r="M1110" s="22"/>
      <c r="N1110" s="22"/>
      <c r="O1110" s="22"/>
      <c r="P1110" s="22"/>
      <c r="Q1110" s="22"/>
      <c r="R1110" s="28"/>
      <c r="S1110" s="28"/>
      <c r="T1110" s="28"/>
      <c r="U1110" s="28"/>
      <c r="V1110" s="22"/>
      <c r="W1110" s="22"/>
      <c r="X1110" s="22"/>
      <c r="Y1110" s="22"/>
      <c r="Z1110" s="22"/>
      <c r="AA1110" s="22"/>
      <c r="AB1110" s="22"/>
      <c r="AC1110" s="22"/>
      <c r="AD1110" s="22"/>
    </row>
    <row r="1111" spans="1:30" ht="15.75" customHeight="1" x14ac:dyDescent="0.15">
      <c r="A1111" s="22"/>
      <c r="B1111" s="22"/>
      <c r="C1111" s="22"/>
      <c r="D1111" s="22"/>
      <c r="E1111" s="22"/>
      <c r="F1111" s="28"/>
      <c r="G1111" s="28"/>
      <c r="H1111" s="28"/>
      <c r="I1111" s="28"/>
      <c r="J1111" s="28"/>
      <c r="K1111" s="28"/>
      <c r="L1111" s="28"/>
      <c r="M1111" s="22"/>
      <c r="N1111" s="22"/>
      <c r="O1111" s="22"/>
      <c r="P1111" s="22"/>
      <c r="Q1111" s="22"/>
      <c r="R1111" s="28"/>
      <c r="S1111" s="28"/>
      <c r="T1111" s="28"/>
      <c r="U1111" s="28"/>
      <c r="V1111" s="22"/>
      <c r="W1111" s="22"/>
      <c r="X1111" s="22"/>
      <c r="Y1111" s="22"/>
      <c r="Z1111" s="22"/>
      <c r="AA1111" s="22"/>
      <c r="AB1111" s="22"/>
      <c r="AC1111" s="22"/>
      <c r="AD1111" s="22"/>
    </row>
    <row r="1112" spans="1:30" ht="15.75" customHeight="1" x14ac:dyDescent="0.15">
      <c r="A1112" s="22"/>
      <c r="B1112" s="22"/>
      <c r="C1112" s="22"/>
      <c r="D1112" s="22"/>
      <c r="E1112" s="22"/>
      <c r="F1112" s="28"/>
      <c r="G1112" s="28"/>
      <c r="H1112" s="28"/>
      <c r="I1112" s="28"/>
      <c r="J1112" s="28"/>
      <c r="K1112" s="28"/>
      <c r="L1112" s="28"/>
      <c r="M1112" s="22"/>
      <c r="N1112" s="22"/>
      <c r="O1112" s="22"/>
      <c r="P1112" s="22"/>
      <c r="Q1112" s="22"/>
      <c r="R1112" s="28"/>
      <c r="S1112" s="28"/>
      <c r="T1112" s="28"/>
      <c r="U1112" s="28"/>
      <c r="V1112" s="22"/>
      <c r="W1112" s="22"/>
      <c r="X1112" s="22"/>
      <c r="Y1112" s="22"/>
      <c r="Z1112" s="22"/>
      <c r="AA1112" s="22"/>
      <c r="AB1112" s="22"/>
      <c r="AC1112" s="22"/>
      <c r="AD1112" s="22"/>
    </row>
    <row r="1113" spans="1:30" ht="15.75" customHeight="1" x14ac:dyDescent="0.15">
      <c r="A1113" s="22"/>
      <c r="B1113" s="22"/>
      <c r="C1113" s="22"/>
      <c r="D1113" s="22"/>
      <c r="E1113" s="22"/>
      <c r="F1113" s="28"/>
      <c r="G1113" s="28"/>
      <c r="H1113" s="28"/>
      <c r="I1113" s="28"/>
      <c r="J1113" s="28"/>
      <c r="K1113" s="28"/>
      <c r="L1113" s="28"/>
      <c r="M1113" s="22"/>
      <c r="N1113" s="22"/>
      <c r="O1113" s="22"/>
      <c r="P1113" s="22"/>
      <c r="Q1113" s="22"/>
      <c r="R1113" s="28"/>
      <c r="S1113" s="28"/>
      <c r="T1113" s="28"/>
      <c r="U1113" s="28"/>
      <c r="V1113" s="22"/>
      <c r="W1113" s="22"/>
      <c r="X1113" s="22"/>
      <c r="Y1113" s="22"/>
      <c r="Z1113" s="22"/>
      <c r="AA1113" s="22"/>
      <c r="AB1113" s="22"/>
      <c r="AC1113" s="22"/>
      <c r="AD1113" s="22"/>
    </row>
    <row r="1114" spans="1:30" ht="15.75" customHeight="1" x14ac:dyDescent="0.15">
      <c r="A1114" s="22"/>
      <c r="B1114" s="22"/>
      <c r="C1114" s="22"/>
      <c r="D1114" s="22"/>
      <c r="E1114" s="22"/>
      <c r="F1114" s="28"/>
      <c r="G1114" s="28"/>
      <c r="H1114" s="28"/>
      <c r="I1114" s="28"/>
      <c r="J1114" s="28"/>
      <c r="K1114" s="28"/>
      <c r="L1114" s="28"/>
      <c r="M1114" s="22"/>
      <c r="N1114" s="22"/>
      <c r="O1114" s="22"/>
      <c r="P1114" s="22"/>
      <c r="Q1114" s="22"/>
      <c r="R1114" s="28"/>
      <c r="S1114" s="28"/>
      <c r="T1114" s="28"/>
      <c r="U1114" s="28"/>
      <c r="V1114" s="22"/>
      <c r="W1114" s="22"/>
      <c r="X1114" s="22"/>
      <c r="Y1114" s="22"/>
      <c r="Z1114" s="22"/>
      <c r="AA1114" s="22"/>
      <c r="AB1114" s="22"/>
      <c r="AC1114" s="22"/>
      <c r="AD1114" s="22"/>
    </row>
    <row r="1115" spans="1:30" ht="15.75" customHeight="1" x14ac:dyDescent="0.15">
      <c r="A1115" s="22"/>
      <c r="B1115" s="22"/>
      <c r="C1115" s="22"/>
      <c r="D1115" s="22"/>
      <c r="E1115" s="22"/>
      <c r="F1115" s="28"/>
      <c r="G1115" s="28"/>
      <c r="H1115" s="28"/>
      <c r="I1115" s="28"/>
      <c r="J1115" s="28"/>
      <c r="K1115" s="28"/>
      <c r="L1115" s="28"/>
      <c r="M1115" s="22"/>
      <c r="N1115" s="22"/>
      <c r="O1115" s="22"/>
      <c r="P1115" s="22"/>
      <c r="Q1115" s="22"/>
      <c r="R1115" s="28"/>
      <c r="S1115" s="28"/>
      <c r="T1115" s="28"/>
      <c r="U1115" s="28"/>
      <c r="V1115" s="22"/>
      <c r="W1115" s="22"/>
      <c r="X1115" s="22"/>
      <c r="Y1115" s="22"/>
      <c r="Z1115" s="22"/>
      <c r="AA1115" s="22"/>
      <c r="AB1115" s="22"/>
      <c r="AC1115" s="22"/>
      <c r="AD1115" s="22"/>
    </row>
    <row r="1116" spans="1:30" ht="15.75" customHeight="1" x14ac:dyDescent="0.15">
      <c r="A1116" s="22"/>
      <c r="B1116" s="22"/>
      <c r="C1116" s="22"/>
      <c r="D1116" s="22"/>
      <c r="E1116" s="22"/>
      <c r="F1116" s="28"/>
      <c r="G1116" s="28"/>
      <c r="H1116" s="28"/>
      <c r="I1116" s="28"/>
      <c r="J1116" s="28"/>
      <c r="K1116" s="28"/>
      <c r="L1116" s="28"/>
      <c r="M1116" s="22"/>
      <c r="N1116" s="22"/>
      <c r="O1116" s="22"/>
      <c r="P1116" s="22"/>
      <c r="Q1116" s="22"/>
      <c r="R1116" s="28"/>
      <c r="S1116" s="28"/>
      <c r="T1116" s="28"/>
      <c r="U1116" s="28"/>
      <c r="V1116" s="22"/>
      <c r="W1116" s="22"/>
      <c r="X1116" s="22"/>
      <c r="Y1116" s="22"/>
      <c r="Z1116" s="22"/>
      <c r="AA1116" s="22"/>
      <c r="AB1116" s="22"/>
      <c r="AC1116" s="22"/>
      <c r="AD1116" s="22"/>
    </row>
    <row r="1117" spans="1:30" ht="15.75" customHeight="1" x14ac:dyDescent="0.15">
      <c r="A1117" s="22"/>
      <c r="B1117" s="22"/>
      <c r="C1117" s="22"/>
      <c r="D1117" s="22"/>
      <c r="E1117" s="22"/>
      <c r="F1117" s="28"/>
      <c r="G1117" s="28"/>
      <c r="H1117" s="28"/>
      <c r="I1117" s="28"/>
      <c r="J1117" s="28"/>
      <c r="K1117" s="28"/>
      <c r="L1117" s="28"/>
      <c r="M1117" s="22"/>
      <c r="N1117" s="22"/>
      <c r="O1117" s="22"/>
      <c r="P1117" s="22"/>
      <c r="Q1117" s="22"/>
      <c r="R1117" s="28"/>
      <c r="S1117" s="28"/>
      <c r="T1117" s="28"/>
      <c r="U1117" s="28"/>
      <c r="V1117" s="22"/>
      <c r="W1117" s="22"/>
      <c r="X1117" s="22"/>
      <c r="Y1117" s="22"/>
      <c r="Z1117" s="22"/>
      <c r="AA1117" s="22"/>
      <c r="AB1117" s="22"/>
      <c r="AC1117" s="22"/>
      <c r="AD1117" s="22"/>
    </row>
    <row r="1118" spans="1:30" ht="15.75" customHeight="1" x14ac:dyDescent="0.15">
      <c r="A1118" s="22"/>
      <c r="B1118" s="22"/>
      <c r="C1118" s="22"/>
      <c r="D1118" s="22"/>
      <c r="E1118" s="22"/>
      <c r="F1118" s="28"/>
      <c r="G1118" s="28"/>
      <c r="H1118" s="28"/>
      <c r="I1118" s="28"/>
      <c r="J1118" s="28"/>
      <c r="K1118" s="28"/>
      <c r="L1118" s="28"/>
      <c r="M1118" s="22"/>
      <c r="N1118" s="22"/>
      <c r="O1118" s="22"/>
      <c r="P1118" s="22"/>
      <c r="Q1118" s="22"/>
      <c r="R1118" s="28"/>
      <c r="S1118" s="28"/>
      <c r="T1118" s="28"/>
      <c r="U1118" s="28"/>
      <c r="V1118" s="22"/>
      <c r="W1118" s="22"/>
      <c r="X1118" s="22"/>
      <c r="Y1118" s="22"/>
      <c r="Z1118" s="22"/>
      <c r="AA1118" s="22"/>
      <c r="AB1118" s="22"/>
      <c r="AC1118" s="22"/>
      <c r="AD1118" s="22"/>
    </row>
    <row r="1119" spans="1:30" ht="15.75" customHeight="1" x14ac:dyDescent="0.15">
      <c r="A1119" s="22"/>
      <c r="B1119" s="22"/>
      <c r="C1119" s="22"/>
      <c r="D1119" s="22"/>
      <c r="E1119" s="22"/>
      <c r="F1119" s="28"/>
      <c r="G1119" s="28"/>
      <c r="H1119" s="28"/>
      <c r="I1119" s="28"/>
      <c r="J1119" s="28"/>
      <c r="K1119" s="28"/>
      <c r="L1119" s="28"/>
      <c r="M1119" s="22"/>
      <c r="N1119" s="22"/>
      <c r="O1119" s="22"/>
      <c r="P1119" s="22"/>
      <c r="Q1119" s="22"/>
      <c r="R1119" s="28"/>
      <c r="S1119" s="28"/>
      <c r="T1119" s="28"/>
      <c r="U1119" s="28"/>
      <c r="V1119" s="22"/>
      <c r="W1119" s="22"/>
      <c r="X1119" s="22"/>
      <c r="Y1119" s="22"/>
      <c r="Z1119" s="22"/>
      <c r="AA1119" s="22"/>
      <c r="AB1119" s="22"/>
      <c r="AC1119" s="22"/>
      <c r="AD1119" s="22"/>
    </row>
    <row r="1120" spans="1:30" ht="15.75" customHeight="1" x14ac:dyDescent="0.15">
      <c r="A1120" s="22"/>
      <c r="B1120" s="22"/>
      <c r="C1120" s="22"/>
      <c r="D1120" s="22"/>
      <c r="E1120" s="22"/>
      <c r="F1120" s="28"/>
      <c r="G1120" s="28"/>
      <c r="H1120" s="28"/>
      <c r="I1120" s="28"/>
      <c r="J1120" s="28"/>
      <c r="K1120" s="28"/>
      <c r="L1120" s="28"/>
      <c r="M1120" s="22"/>
      <c r="N1120" s="22"/>
      <c r="O1120" s="22"/>
      <c r="P1120" s="22"/>
      <c r="Q1120" s="22"/>
      <c r="R1120" s="28"/>
      <c r="S1120" s="28"/>
      <c r="T1120" s="28"/>
      <c r="U1120" s="28"/>
      <c r="V1120" s="22"/>
      <c r="W1120" s="22"/>
      <c r="X1120" s="22"/>
      <c r="Y1120" s="22"/>
      <c r="Z1120" s="22"/>
      <c r="AA1120" s="22"/>
      <c r="AB1120" s="22"/>
      <c r="AC1120" s="22"/>
      <c r="AD1120" s="22"/>
    </row>
    <row r="1121" spans="1:30" ht="15.75" customHeight="1" x14ac:dyDescent="0.15">
      <c r="A1121" s="22"/>
      <c r="B1121" s="22"/>
      <c r="C1121" s="22"/>
      <c r="D1121" s="22"/>
      <c r="E1121" s="22"/>
      <c r="F1121" s="28"/>
      <c r="G1121" s="28"/>
      <c r="H1121" s="28"/>
      <c r="I1121" s="28"/>
      <c r="J1121" s="28"/>
      <c r="K1121" s="28"/>
      <c r="L1121" s="28"/>
      <c r="M1121" s="22"/>
      <c r="N1121" s="22"/>
      <c r="O1121" s="22"/>
      <c r="P1121" s="22"/>
      <c r="Q1121" s="22"/>
      <c r="R1121" s="28"/>
      <c r="S1121" s="28"/>
      <c r="T1121" s="28"/>
      <c r="U1121" s="28"/>
      <c r="V1121" s="22"/>
      <c r="W1121" s="22"/>
      <c r="X1121" s="22"/>
      <c r="Y1121" s="22"/>
      <c r="Z1121" s="22"/>
      <c r="AA1121" s="22"/>
      <c r="AB1121" s="22"/>
      <c r="AC1121" s="22"/>
      <c r="AD1121" s="22"/>
    </row>
    <row r="1122" spans="1:30" ht="15.75" customHeight="1" x14ac:dyDescent="0.15">
      <c r="A1122" s="22"/>
      <c r="B1122" s="22"/>
      <c r="C1122" s="22"/>
      <c r="D1122" s="22"/>
      <c r="E1122" s="22"/>
      <c r="F1122" s="28"/>
      <c r="G1122" s="28"/>
      <c r="H1122" s="28"/>
      <c r="I1122" s="28"/>
      <c r="J1122" s="28"/>
      <c r="K1122" s="28"/>
      <c r="L1122" s="28"/>
      <c r="M1122" s="22"/>
      <c r="N1122" s="22"/>
      <c r="O1122" s="22"/>
      <c r="P1122" s="22"/>
      <c r="Q1122" s="22"/>
      <c r="R1122" s="28"/>
      <c r="S1122" s="28"/>
      <c r="T1122" s="28"/>
      <c r="U1122" s="28"/>
      <c r="V1122" s="22"/>
      <c r="W1122" s="22"/>
      <c r="X1122" s="22"/>
      <c r="Y1122" s="22"/>
      <c r="Z1122" s="22"/>
      <c r="AA1122" s="22"/>
      <c r="AB1122" s="22"/>
      <c r="AC1122" s="22"/>
      <c r="AD1122" s="22"/>
    </row>
    <row r="1123" spans="1:30" ht="15.75" customHeight="1" x14ac:dyDescent="0.15">
      <c r="A1123" s="22"/>
      <c r="B1123" s="22"/>
      <c r="C1123" s="22"/>
      <c r="D1123" s="22"/>
      <c r="E1123" s="22"/>
      <c r="F1123" s="28"/>
      <c r="G1123" s="28"/>
      <c r="H1123" s="28"/>
      <c r="I1123" s="28"/>
      <c r="J1123" s="28"/>
      <c r="K1123" s="28"/>
      <c r="L1123" s="28"/>
      <c r="M1123" s="22"/>
      <c r="N1123" s="22"/>
      <c r="O1123" s="22"/>
      <c r="P1123" s="22"/>
      <c r="Q1123" s="22"/>
      <c r="R1123" s="28"/>
      <c r="S1123" s="28"/>
      <c r="T1123" s="28"/>
      <c r="U1123" s="28"/>
      <c r="V1123" s="22"/>
      <c r="W1123" s="22"/>
      <c r="X1123" s="22"/>
      <c r="Y1123" s="22"/>
      <c r="Z1123" s="22"/>
      <c r="AA1123" s="22"/>
      <c r="AB1123" s="22"/>
      <c r="AC1123" s="22"/>
      <c r="AD1123" s="22"/>
    </row>
    <row r="1124" spans="1:30" ht="15.75" customHeight="1" x14ac:dyDescent="0.15">
      <c r="A1124" s="22"/>
      <c r="B1124" s="22"/>
      <c r="C1124" s="22"/>
      <c r="D1124" s="22"/>
      <c r="E1124" s="22"/>
      <c r="F1124" s="28"/>
      <c r="G1124" s="28"/>
      <c r="H1124" s="28"/>
      <c r="I1124" s="28"/>
      <c r="J1124" s="28"/>
      <c r="K1124" s="28"/>
      <c r="L1124" s="28"/>
      <c r="M1124" s="22"/>
      <c r="N1124" s="22"/>
      <c r="O1124" s="22"/>
      <c r="P1124" s="22"/>
      <c r="Q1124" s="22"/>
      <c r="R1124" s="28"/>
      <c r="S1124" s="28"/>
      <c r="T1124" s="28"/>
      <c r="U1124" s="28"/>
      <c r="V1124" s="22"/>
      <c r="W1124" s="22"/>
      <c r="X1124" s="22"/>
      <c r="Y1124" s="22"/>
      <c r="Z1124" s="22"/>
      <c r="AA1124" s="22"/>
      <c r="AB1124" s="22"/>
      <c r="AC1124" s="22"/>
      <c r="AD1124" s="22"/>
    </row>
    <row r="1125" spans="1:30" ht="15.75" customHeight="1" x14ac:dyDescent="0.15">
      <c r="A1125" s="22"/>
      <c r="B1125" s="22"/>
      <c r="C1125" s="22"/>
      <c r="D1125" s="22"/>
      <c r="E1125" s="22"/>
      <c r="F1125" s="28"/>
      <c r="G1125" s="28"/>
      <c r="H1125" s="28"/>
      <c r="I1125" s="28"/>
      <c r="J1125" s="28"/>
      <c r="K1125" s="28"/>
      <c r="L1125" s="28"/>
      <c r="M1125" s="22"/>
      <c r="N1125" s="22"/>
      <c r="O1125" s="22"/>
      <c r="P1125" s="22"/>
      <c r="Q1125" s="22"/>
      <c r="R1125" s="28"/>
      <c r="S1125" s="28"/>
      <c r="T1125" s="28"/>
      <c r="U1125" s="28"/>
      <c r="V1125" s="22"/>
      <c r="W1125" s="22"/>
      <c r="X1125" s="22"/>
      <c r="Y1125" s="22"/>
      <c r="Z1125" s="22"/>
      <c r="AA1125" s="22"/>
      <c r="AB1125" s="22"/>
      <c r="AC1125" s="22"/>
      <c r="AD1125" s="22"/>
    </row>
    <row r="1126" spans="1:30" ht="15.75" customHeight="1" x14ac:dyDescent="0.15">
      <c r="A1126" s="22"/>
      <c r="B1126" s="22"/>
      <c r="C1126" s="22"/>
      <c r="D1126" s="22"/>
      <c r="E1126" s="22"/>
      <c r="F1126" s="28"/>
      <c r="G1126" s="28"/>
      <c r="H1126" s="28"/>
      <c r="I1126" s="28"/>
      <c r="J1126" s="28"/>
      <c r="K1126" s="28"/>
      <c r="L1126" s="28"/>
      <c r="M1126" s="22"/>
      <c r="N1126" s="22"/>
      <c r="O1126" s="22"/>
      <c r="P1126" s="22"/>
      <c r="Q1126" s="22"/>
      <c r="R1126" s="28"/>
      <c r="S1126" s="28"/>
      <c r="T1126" s="28"/>
      <c r="U1126" s="28"/>
      <c r="V1126" s="22"/>
      <c r="W1126" s="22"/>
      <c r="X1126" s="22"/>
      <c r="Y1126" s="22"/>
      <c r="Z1126" s="22"/>
      <c r="AA1126" s="22"/>
      <c r="AB1126" s="22"/>
      <c r="AC1126" s="22"/>
      <c r="AD1126" s="22"/>
    </row>
    <row r="1127" spans="1:30" ht="15.75" customHeight="1" x14ac:dyDescent="0.15">
      <c r="A1127" s="22"/>
      <c r="B1127" s="22"/>
      <c r="C1127" s="22"/>
      <c r="D1127" s="22"/>
      <c r="E1127" s="22"/>
      <c r="F1127" s="28"/>
      <c r="G1127" s="28"/>
      <c r="H1127" s="28"/>
      <c r="I1127" s="28"/>
      <c r="J1127" s="28"/>
      <c r="K1127" s="28"/>
      <c r="L1127" s="28"/>
      <c r="M1127" s="22"/>
      <c r="N1127" s="22"/>
      <c r="O1127" s="22"/>
      <c r="P1127" s="22"/>
      <c r="Q1127" s="22"/>
      <c r="R1127" s="28"/>
      <c r="S1127" s="28"/>
      <c r="T1127" s="28"/>
      <c r="U1127" s="28"/>
      <c r="V1127" s="22"/>
      <c r="W1127" s="22"/>
      <c r="X1127" s="22"/>
      <c r="Y1127" s="22"/>
      <c r="Z1127" s="22"/>
      <c r="AA1127" s="22"/>
      <c r="AB1127" s="22"/>
      <c r="AC1127" s="22"/>
      <c r="AD1127" s="22"/>
    </row>
    <row r="1128" spans="1:30" ht="15.75" customHeight="1" x14ac:dyDescent="0.15">
      <c r="A1128" s="22"/>
      <c r="B1128" s="22"/>
      <c r="C1128" s="22"/>
      <c r="D1128" s="22"/>
      <c r="E1128" s="22"/>
      <c r="F1128" s="28"/>
      <c r="G1128" s="28"/>
      <c r="H1128" s="28"/>
      <c r="I1128" s="28"/>
      <c r="J1128" s="28"/>
      <c r="K1128" s="28"/>
      <c r="L1128" s="28"/>
      <c r="M1128" s="22"/>
      <c r="N1128" s="22"/>
      <c r="O1128" s="22"/>
      <c r="P1128" s="22"/>
      <c r="Q1128" s="22"/>
      <c r="R1128" s="28"/>
      <c r="S1128" s="28"/>
      <c r="T1128" s="28"/>
      <c r="U1128" s="28"/>
      <c r="V1128" s="22"/>
      <c r="W1128" s="22"/>
      <c r="X1128" s="22"/>
      <c r="Y1128" s="22"/>
      <c r="Z1128" s="22"/>
      <c r="AA1128" s="22"/>
      <c r="AB1128" s="22"/>
      <c r="AC1128" s="22"/>
      <c r="AD1128" s="22"/>
    </row>
    <row r="1129" spans="1:30" ht="15.75" customHeight="1" x14ac:dyDescent="0.15">
      <c r="A1129" s="22"/>
      <c r="B1129" s="22"/>
      <c r="C1129" s="22"/>
      <c r="D1129" s="22"/>
      <c r="E1129" s="22"/>
      <c r="F1129" s="28"/>
      <c r="G1129" s="28"/>
      <c r="H1129" s="28"/>
      <c r="I1129" s="28"/>
      <c r="J1129" s="28"/>
      <c r="K1129" s="28"/>
      <c r="L1129" s="28"/>
      <c r="M1129" s="22"/>
      <c r="N1129" s="22"/>
      <c r="O1129" s="22"/>
      <c r="P1129" s="22"/>
      <c r="Q1129" s="22"/>
      <c r="R1129" s="28"/>
      <c r="S1129" s="28"/>
      <c r="T1129" s="28"/>
      <c r="U1129" s="28"/>
      <c r="V1129" s="22"/>
      <c r="W1129" s="22"/>
      <c r="X1129" s="22"/>
      <c r="Y1129" s="22"/>
      <c r="Z1129" s="22"/>
      <c r="AA1129" s="22"/>
      <c r="AB1129" s="22"/>
      <c r="AC1129" s="22"/>
      <c r="AD1129" s="22"/>
    </row>
    <row r="1130" spans="1:30" ht="15.75" customHeight="1" x14ac:dyDescent="0.15">
      <c r="A1130" s="22"/>
      <c r="B1130" s="22"/>
      <c r="C1130" s="22"/>
      <c r="D1130" s="22"/>
      <c r="E1130" s="22"/>
      <c r="F1130" s="28"/>
      <c r="G1130" s="28"/>
      <c r="H1130" s="28"/>
      <c r="I1130" s="28"/>
      <c r="J1130" s="28"/>
      <c r="K1130" s="28"/>
      <c r="L1130" s="28"/>
      <c r="M1130" s="22"/>
      <c r="N1130" s="22"/>
      <c r="O1130" s="22"/>
      <c r="P1130" s="22"/>
      <c r="Q1130" s="22"/>
      <c r="R1130" s="28"/>
      <c r="S1130" s="28"/>
      <c r="T1130" s="28"/>
      <c r="U1130" s="28"/>
      <c r="V1130" s="22"/>
      <c r="W1130" s="22"/>
      <c r="X1130" s="22"/>
      <c r="Y1130" s="22"/>
      <c r="Z1130" s="22"/>
      <c r="AA1130" s="22"/>
      <c r="AB1130" s="22"/>
      <c r="AC1130" s="22"/>
      <c r="AD1130" s="22"/>
    </row>
    <row r="1131" spans="1:30" ht="15.75" customHeight="1" x14ac:dyDescent="0.15">
      <c r="A1131" s="22"/>
      <c r="B1131" s="22"/>
      <c r="C1131" s="22"/>
      <c r="D1131" s="22"/>
      <c r="E1131" s="22"/>
      <c r="F1131" s="28"/>
      <c r="G1131" s="28"/>
      <c r="H1131" s="28"/>
      <c r="I1131" s="28"/>
      <c r="J1131" s="28"/>
      <c r="K1131" s="28"/>
      <c r="L1131" s="28"/>
      <c r="M1131" s="22"/>
      <c r="N1131" s="22"/>
      <c r="O1131" s="22"/>
      <c r="P1131" s="22"/>
      <c r="Q1131" s="22"/>
      <c r="R1131" s="28"/>
      <c r="S1131" s="28"/>
      <c r="T1131" s="28"/>
      <c r="U1131" s="28"/>
      <c r="V1131" s="22"/>
      <c r="W1131" s="22"/>
      <c r="X1131" s="22"/>
      <c r="Y1131" s="22"/>
      <c r="Z1131" s="22"/>
      <c r="AA1131" s="22"/>
      <c r="AB1131" s="22"/>
      <c r="AC1131" s="22"/>
      <c r="AD1131" s="22"/>
    </row>
    <row r="1132" spans="1:30" ht="15.75" customHeight="1" x14ac:dyDescent="0.15">
      <c r="A1132" s="22"/>
      <c r="B1132" s="22"/>
      <c r="C1132" s="22"/>
      <c r="D1132" s="22"/>
      <c r="E1132" s="22"/>
      <c r="F1132" s="28"/>
      <c r="G1132" s="28"/>
      <c r="H1132" s="28"/>
      <c r="I1132" s="28"/>
      <c r="J1132" s="28"/>
      <c r="K1132" s="28"/>
      <c r="L1132" s="28"/>
      <c r="M1132" s="22"/>
      <c r="N1132" s="22"/>
      <c r="O1132" s="22"/>
      <c r="P1132" s="22"/>
      <c r="Q1132" s="22"/>
      <c r="R1132" s="28"/>
      <c r="S1132" s="28"/>
      <c r="T1132" s="28"/>
      <c r="U1132" s="28"/>
      <c r="V1132" s="22"/>
      <c r="W1132" s="22"/>
      <c r="X1132" s="22"/>
      <c r="Y1132" s="22"/>
      <c r="Z1132" s="22"/>
      <c r="AA1132" s="22"/>
      <c r="AB1132" s="22"/>
      <c r="AC1132" s="22"/>
      <c r="AD1132" s="22"/>
    </row>
    <row r="1133" spans="1:30" ht="15.75" customHeight="1" x14ac:dyDescent="0.15">
      <c r="A1133" s="22"/>
      <c r="B1133" s="22"/>
      <c r="C1133" s="22"/>
      <c r="D1133" s="22"/>
      <c r="E1133" s="22"/>
      <c r="F1133" s="28"/>
      <c r="G1133" s="28"/>
      <c r="H1133" s="28"/>
      <c r="I1133" s="28"/>
      <c r="J1133" s="28"/>
      <c r="K1133" s="28"/>
      <c r="L1133" s="28"/>
      <c r="M1133" s="22"/>
      <c r="N1133" s="22"/>
      <c r="O1133" s="22"/>
      <c r="P1133" s="22"/>
      <c r="Q1133" s="22"/>
      <c r="R1133" s="28"/>
      <c r="S1133" s="28"/>
      <c r="T1133" s="28"/>
      <c r="U1133" s="28"/>
      <c r="V1133" s="22"/>
      <c r="W1133" s="22"/>
      <c r="X1133" s="22"/>
      <c r="Y1133" s="22"/>
      <c r="Z1133" s="22"/>
      <c r="AA1133" s="22"/>
      <c r="AB1133" s="22"/>
      <c r="AC1133" s="22"/>
      <c r="AD1133" s="22"/>
    </row>
    <row r="1134" spans="1:30" ht="15.75" customHeight="1" x14ac:dyDescent="0.15">
      <c r="A1134" s="22"/>
      <c r="B1134" s="22"/>
      <c r="C1134" s="22"/>
      <c r="D1134" s="22"/>
      <c r="E1134" s="22"/>
      <c r="F1134" s="28"/>
      <c r="G1134" s="28"/>
      <c r="H1134" s="28"/>
      <c r="I1134" s="28"/>
      <c r="J1134" s="28"/>
      <c r="K1134" s="28"/>
      <c r="L1134" s="28"/>
      <c r="M1134" s="22"/>
      <c r="N1134" s="22"/>
      <c r="O1134" s="22"/>
      <c r="P1134" s="22"/>
      <c r="Q1134" s="22"/>
      <c r="R1134" s="28"/>
      <c r="S1134" s="28"/>
      <c r="T1134" s="28"/>
      <c r="U1134" s="28"/>
      <c r="V1134" s="22"/>
      <c r="W1134" s="22"/>
      <c r="X1134" s="22"/>
      <c r="Y1134" s="22"/>
      <c r="Z1134" s="22"/>
      <c r="AA1134" s="22"/>
      <c r="AB1134" s="22"/>
      <c r="AC1134" s="22"/>
      <c r="AD1134" s="22"/>
    </row>
    <row r="1135" spans="1:30" ht="15.75" customHeight="1" x14ac:dyDescent="0.15">
      <c r="A1135" s="22"/>
      <c r="B1135" s="22"/>
      <c r="C1135" s="22"/>
      <c r="D1135" s="22"/>
      <c r="E1135" s="22"/>
      <c r="F1135" s="28"/>
      <c r="G1135" s="28"/>
      <c r="H1135" s="28"/>
      <c r="I1135" s="28"/>
      <c r="J1135" s="28"/>
      <c r="K1135" s="28"/>
      <c r="L1135" s="28"/>
      <c r="M1135" s="22"/>
      <c r="N1135" s="22"/>
      <c r="O1135" s="22"/>
      <c r="P1135" s="22"/>
      <c r="Q1135" s="22"/>
      <c r="R1135" s="28"/>
      <c r="S1135" s="28"/>
      <c r="T1135" s="28"/>
      <c r="U1135" s="28"/>
      <c r="V1135" s="22"/>
      <c r="W1135" s="22"/>
      <c r="X1135" s="22"/>
      <c r="Y1135" s="22"/>
      <c r="Z1135" s="22"/>
      <c r="AA1135" s="22"/>
      <c r="AB1135" s="22"/>
      <c r="AC1135" s="22"/>
      <c r="AD1135" s="22"/>
    </row>
    <row r="1136" spans="1:30" ht="15.75" customHeight="1" x14ac:dyDescent="0.15">
      <c r="A1136" s="22"/>
      <c r="B1136" s="22"/>
      <c r="C1136" s="22"/>
      <c r="D1136" s="22"/>
      <c r="E1136" s="22"/>
      <c r="F1136" s="28"/>
      <c r="G1136" s="28"/>
      <c r="H1136" s="28"/>
      <c r="I1136" s="28"/>
      <c r="J1136" s="28"/>
      <c r="K1136" s="28"/>
      <c r="L1136" s="28"/>
      <c r="M1136" s="22"/>
      <c r="N1136" s="22"/>
      <c r="O1136" s="22"/>
      <c r="P1136" s="22"/>
      <c r="Q1136" s="22"/>
      <c r="R1136" s="28"/>
      <c r="S1136" s="28"/>
      <c r="T1136" s="28"/>
      <c r="U1136" s="28"/>
      <c r="V1136" s="22"/>
      <c r="W1136" s="22"/>
      <c r="X1136" s="22"/>
      <c r="Y1136" s="22"/>
      <c r="Z1136" s="22"/>
      <c r="AA1136" s="22"/>
      <c r="AB1136" s="22"/>
      <c r="AC1136" s="22"/>
      <c r="AD1136" s="22"/>
    </row>
    <row r="1137" spans="1:30" ht="15.75" customHeight="1" x14ac:dyDescent="0.15">
      <c r="A1137" s="22"/>
      <c r="B1137" s="22"/>
      <c r="C1137" s="22"/>
      <c r="D1137" s="22"/>
      <c r="E1137" s="22"/>
      <c r="F1137" s="28"/>
      <c r="G1137" s="28"/>
      <c r="H1137" s="28"/>
      <c r="I1137" s="28"/>
      <c r="J1137" s="28"/>
      <c r="K1137" s="28"/>
      <c r="L1137" s="28"/>
      <c r="M1137" s="22"/>
      <c r="N1137" s="22"/>
      <c r="O1137" s="22"/>
      <c r="P1137" s="22"/>
      <c r="Q1137" s="22"/>
      <c r="R1137" s="28"/>
      <c r="S1137" s="28"/>
      <c r="T1137" s="28"/>
      <c r="U1137" s="28"/>
      <c r="V1137" s="22"/>
      <c r="W1137" s="22"/>
      <c r="X1137" s="22"/>
      <c r="Y1137" s="22"/>
      <c r="Z1137" s="22"/>
      <c r="AA1137" s="22"/>
      <c r="AB1137" s="22"/>
      <c r="AC1137" s="22"/>
      <c r="AD1137" s="22"/>
    </row>
    <row r="1138" spans="1:30" ht="15.75" customHeight="1" x14ac:dyDescent="0.15">
      <c r="A1138" s="22"/>
      <c r="B1138" s="22"/>
      <c r="C1138" s="22"/>
      <c r="D1138" s="22"/>
      <c r="E1138" s="22"/>
      <c r="F1138" s="28"/>
      <c r="G1138" s="28"/>
      <c r="H1138" s="28"/>
      <c r="I1138" s="28"/>
      <c r="J1138" s="28"/>
      <c r="K1138" s="28"/>
      <c r="L1138" s="28"/>
      <c r="M1138" s="22"/>
      <c r="N1138" s="22"/>
      <c r="O1138" s="22"/>
      <c r="P1138" s="22"/>
      <c r="Q1138" s="22"/>
      <c r="R1138" s="28"/>
      <c r="S1138" s="28"/>
      <c r="T1138" s="28"/>
      <c r="U1138" s="28"/>
      <c r="V1138" s="22"/>
      <c r="W1138" s="22"/>
      <c r="X1138" s="22"/>
      <c r="Y1138" s="22"/>
      <c r="Z1138" s="22"/>
      <c r="AA1138" s="22"/>
      <c r="AB1138" s="22"/>
      <c r="AC1138" s="22"/>
      <c r="AD1138" s="22"/>
    </row>
    <row r="1139" spans="1:30" ht="15.75" customHeight="1" x14ac:dyDescent="0.15">
      <c r="A1139" s="22"/>
      <c r="B1139" s="22"/>
      <c r="C1139" s="22"/>
      <c r="D1139" s="22"/>
      <c r="E1139" s="22"/>
      <c r="F1139" s="28"/>
      <c r="G1139" s="28"/>
      <c r="H1139" s="28"/>
      <c r="I1139" s="28"/>
      <c r="J1139" s="28"/>
      <c r="K1139" s="28"/>
      <c r="L1139" s="28"/>
      <c r="M1139" s="22"/>
      <c r="N1139" s="22"/>
      <c r="O1139" s="22"/>
      <c r="P1139" s="22"/>
      <c r="Q1139" s="22"/>
      <c r="R1139" s="28"/>
      <c r="S1139" s="28"/>
      <c r="T1139" s="28"/>
      <c r="U1139" s="28"/>
      <c r="V1139" s="22"/>
      <c r="W1139" s="22"/>
      <c r="X1139" s="22"/>
      <c r="Y1139" s="22"/>
      <c r="Z1139" s="22"/>
      <c r="AA1139" s="22"/>
      <c r="AB1139" s="22"/>
      <c r="AC1139" s="22"/>
      <c r="AD1139" s="22"/>
    </row>
    <row r="1140" spans="1:30" ht="15.75" customHeight="1" x14ac:dyDescent="0.15">
      <c r="A1140" s="22"/>
      <c r="B1140" s="22"/>
      <c r="C1140" s="22"/>
      <c r="D1140" s="22"/>
      <c r="E1140" s="22"/>
      <c r="F1140" s="28"/>
      <c r="G1140" s="28"/>
      <c r="H1140" s="28"/>
      <c r="I1140" s="28"/>
      <c r="J1140" s="28"/>
      <c r="K1140" s="28"/>
      <c r="L1140" s="28"/>
      <c r="M1140" s="22"/>
      <c r="N1140" s="22"/>
      <c r="O1140" s="22"/>
      <c r="P1140" s="22"/>
      <c r="Q1140" s="22"/>
      <c r="R1140" s="28"/>
      <c r="S1140" s="28"/>
      <c r="T1140" s="28"/>
      <c r="U1140" s="28"/>
      <c r="V1140" s="22"/>
      <c r="W1140" s="22"/>
      <c r="X1140" s="22"/>
      <c r="Y1140" s="22"/>
      <c r="Z1140" s="22"/>
      <c r="AA1140" s="22"/>
      <c r="AB1140" s="22"/>
      <c r="AC1140" s="22"/>
      <c r="AD1140" s="22"/>
    </row>
    <row r="1141" spans="1:30" ht="15.75" customHeight="1" x14ac:dyDescent="0.15">
      <c r="A1141" s="22"/>
      <c r="B1141" s="22"/>
      <c r="C1141" s="22"/>
      <c r="D1141" s="22"/>
      <c r="E1141" s="22"/>
      <c r="F1141" s="28"/>
      <c r="G1141" s="28"/>
      <c r="H1141" s="28"/>
      <c r="I1141" s="28"/>
      <c r="J1141" s="28"/>
      <c r="K1141" s="28"/>
      <c r="L1141" s="28"/>
      <c r="M1141" s="22"/>
      <c r="N1141" s="22"/>
      <c r="O1141" s="22"/>
      <c r="P1141" s="22"/>
      <c r="Q1141" s="22"/>
      <c r="R1141" s="28"/>
      <c r="S1141" s="28"/>
      <c r="T1141" s="28"/>
      <c r="U1141" s="28"/>
      <c r="V1141" s="22"/>
      <c r="W1141" s="22"/>
      <c r="X1141" s="22"/>
      <c r="Y1141" s="22"/>
      <c r="Z1141" s="22"/>
      <c r="AA1141" s="22"/>
      <c r="AB1141" s="22"/>
      <c r="AC1141" s="22"/>
      <c r="AD1141" s="22"/>
    </row>
    <row r="1142" spans="1:30" ht="15.75" customHeight="1" x14ac:dyDescent="0.15">
      <c r="A1142" s="22"/>
      <c r="B1142" s="22"/>
      <c r="C1142" s="22"/>
      <c r="D1142" s="22"/>
      <c r="E1142" s="22"/>
      <c r="F1142" s="28"/>
      <c r="G1142" s="28"/>
      <c r="H1142" s="28"/>
      <c r="I1142" s="28"/>
      <c r="J1142" s="28"/>
      <c r="K1142" s="28"/>
      <c r="L1142" s="28"/>
      <c r="M1142" s="22"/>
      <c r="N1142" s="22"/>
      <c r="O1142" s="22"/>
      <c r="P1142" s="22"/>
      <c r="Q1142" s="22"/>
      <c r="R1142" s="28"/>
      <c r="S1142" s="28"/>
      <c r="T1142" s="28"/>
      <c r="U1142" s="28"/>
      <c r="V1142" s="22"/>
      <c r="W1142" s="22"/>
      <c r="X1142" s="22"/>
      <c r="Y1142" s="22"/>
      <c r="Z1142" s="22"/>
      <c r="AA1142" s="22"/>
      <c r="AB1142" s="22"/>
      <c r="AC1142" s="22"/>
      <c r="AD1142" s="22"/>
    </row>
    <row r="1143" spans="1:30" ht="15.75" customHeight="1" x14ac:dyDescent="0.15">
      <c r="A1143" s="22"/>
      <c r="B1143" s="22"/>
      <c r="C1143" s="22"/>
      <c r="D1143" s="22"/>
      <c r="E1143" s="22"/>
      <c r="F1143" s="28"/>
      <c r="G1143" s="28"/>
      <c r="H1143" s="28"/>
      <c r="I1143" s="28"/>
      <c r="J1143" s="28"/>
      <c r="K1143" s="28"/>
      <c r="L1143" s="28"/>
      <c r="M1143" s="22"/>
      <c r="N1143" s="22"/>
      <c r="O1143" s="22"/>
      <c r="P1143" s="22"/>
      <c r="Q1143" s="22"/>
      <c r="R1143" s="28"/>
      <c r="S1143" s="28"/>
      <c r="T1143" s="28"/>
      <c r="U1143" s="28"/>
      <c r="V1143" s="22"/>
      <c r="W1143" s="22"/>
      <c r="X1143" s="22"/>
      <c r="Y1143" s="22"/>
      <c r="Z1143" s="22"/>
      <c r="AA1143" s="22"/>
      <c r="AB1143" s="22"/>
      <c r="AC1143" s="22"/>
      <c r="AD1143" s="22"/>
    </row>
    <row r="1144" spans="1:30" ht="15.75" customHeight="1" x14ac:dyDescent="0.15">
      <c r="A1144" s="22"/>
      <c r="B1144" s="22"/>
      <c r="C1144" s="22"/>
      <c r="D1144" s="22"/>
      <c r="E1144" s="22"/>
      <c r="F1144" s="28"/>
      <c r="G1144" s="28"/>
      <c r="H1144" s="28"/>
      <c r="I1144" s="28"/>
      <c r="J1144" s="28"/>
      <c r="K1144" s="28"/>
      <c r="L1144" s="28"/>
      <c r="M1144" s="22"/>
      <c r="N1144" s="22"/>
      <c r="O1144" s="22"/>
      <c r="P1144" s="22"/>
      <c r="Q1144" s="22"/>
      <c r="R1144" s="28"/>
      <c r="S1144" s="28"/>
      <c r="T1144" s="28"/>
      <c r="U1144" s="28"/>
      <c r="V1144" s="22"/>
      <c r="W1144" s="22"/>
      <c r="X1144" s="22"/>
      <c r="Y1144" s="22"/>
      <c r="Z1144" s="22"/>
      <c r="AA1144" s="22"/>
      <c r="AB1144" s="22"/>
      <c r="AC1144" s="22"/>
      <c r="AD1144" s="22"/>
    </row>
    <row r="1145" spans="1:30" ht="15.75" customHeight="1" x14ac:dyDescent="0.15">
      <c r="A1145" s="22"/>
      <c r="B1145" s="22"/>
      <c r="C1145" s="22"/>
      <c r="D1145" s="22"/>
      <c r="E1145" s="22"/>
      <c r="F1145" s="28"/>
      <c r="G1145" s="28"/>
      <c r="H1145" s="28"/>
      <c r="I1145" s="28"/>
      <c r="J1145" s="28"/>
      <c r="K1145" s="28"/>
      <c r="L1145" s="28"/>
      <c r="M1145" s="22"/>
      <c r="N1145" s="22"/>
      <c r="O1145" s="22"/>
      <c r="P1145" s="22"/>
      <c r="Q1145" s="22"/>
      <c r="R1145" s="28"/>
      <c r="S1145" s="28"/>
      <c r="T1145" s="28"/>
      <c r="U1145" s="28"/>
      <c r="V1145" s="22"/>
      <c r="W1145" s="22"/>
      <c r="X1145" s="22"/>
      <c r="Y1145" s="22"/>
      <c r="Z1145" s="22"/>
      <c r="AA1145" s="22"/>
      <c r="AB1145" s="22"/>
      <c r="AC1145" s="22"/>
      <c r="AD1145" s="22"/>
    </row>
    <row r="1146" spans="1:30" ht="15.75" customHeight="1" x14ac:dyDescent="0.15">
      <c r="A1146" s="22"/>
      <c r="B1146" s="22"/>
      <c r="C1146" s="22"/>
      <c r="D1146" s="22"/>
      <c r="E1146" s="22"/>
      <c r="F1146" s="28"/>
      <c r="G1146" s="28"/>
      <c r="H1146" s="28"/>
      <c r="I1146" s="28"/>
      <c r="J1146" s="28"/>
      <c r="K1146" s="28"/>
      <c r="L1146" s="28"/>
      <c r="M1146" s="22"/>
      <c r="N1146" s="22"/>
      <c r="O1146" s="22"/>
      <c r="P1146" s="22"/>
      <c r="Q1146" s="22"/>
      <c r="R1146" s="28"/>
      <c r="S1146" s="28"/>
      <c r="T1146" s="28"/>
      <c r="U1146" s="28"/>
      <c r="V1146" s="22"/>
      <c r="W1146" s="22"/>
      <c r="X1146" s="22"/>
      <c r="Y1146" s="22"/>
      <c r="Z1146" s="22"/>
      <c r="AA1146" s="22"/>
      <c r="AB1146" s="22"/>
      <c r="AC1146" s="22"/>
      <c r="AD1146" s="22"/>
    </row>
    <row r="1147" spans="1:30" ht="15.75" customHeight="1" x14ac:dyDescent="0.15">
      <c r="A1147" s="22"/>
      <c r="B1147" s="22"/>
      <c r="C1147" s="22"/>
      <c r="D1147" s="22"/>
      <c r="E1147" s="22"/>
      <c r="F1147" s="28"/>
      <c r="G1147" s="28"/>
      <c r="H1147" s="28"/>
      <c r="I1147" s="28"/>
      <c r="J1147" s="28"/>
      <c r="K1147" s="28"/>
      <c r="L1147" s="28"/>
      <c r="M1147" s="22"/>
      <c r="N1147" s="22"/>
      <c r="O1147" s="22"/>
      <c r="P1147" s="22"/>
      <c r="Q1147" s="22"/>
      <c r="R1147" s="28"/>
      <c r="S1147" s="28"/>
      <c r="T1147" s="28"/>
      <c r="U1147" s="28"/>
      <c r="V1147" s="22"/>
      <c r="W1147" s="22"/>
      <c r="X1147" s="22"/>
      <c r="Y1147" s="22"/>
      <c r="Z1147" s="22"/>
      <c r="AA1147" s="22"/>
      <c r="AB1147" s="22"/>
      <c r="AC1147" s="22"/>
      <c r="AD1147" s="22"/>
    </row>
    <row r="1148" spans="1:30" ht="15.75" customHeight="1" x14ac:dyDescent="0.15">
      <c r="A1148" s="22"/>
      <c r="B1148" s="22"/>
      <c r="C1148" s="22"/>
      <c r="D1148" s="22"/>
      <c r="E1148" s="22"/>
      <c r="F1148" s="28"/>
      <c r="G1148" s="28"/>
      <c r="H1148" s="28"/>
      <c r="I1148" s="28"/>
      <c r="J1148" s="28"/>
      <c r="K1148" s="28"/>
      <c r="L1148" s="28"/>
      <c r="M1148" s="22"/>
      <c r="N1148" s="22"/>
      <c r="O1148" s="22"/>
      <c r="P1148" s="22"/>
      <c r="Q1148" s="22"/>
      <c r="R1148" s="28"/>
      <c r="S1148" s="28"/>
      <c r="T1148" s="28"/>
      <c r="U1148" s="28"/>
      <c r="V1148" s="22"/>
      <c r="W1148" s="22"/>
      <c r="X1148" s="22"/>
      <c r="Y1148" s="22"/>
      <c r="Z1148" s="22"/>
      <c r="AA1148" s="22"/>
      <c r="AB1148" s="22"/>
      <c r="AC1148" s="22"/>
      <c r="AD1148" s="22"/>
    </row>
    <row r="1149" spans="1:30" ht="15.75" customHeight="1" x14ac:dyDescent="0.15">
      <c r="A1149" s="22"/>
      <c r="B1149" s="22"/>
      <c r="C1149" s="22"/>
      <c r="D1149" s="22"/>
      <c r="E1149" s="22"/>
      <c r="F1149" s="28"/>
      <c r="G1149" s="28"/>
      <c r="H1149" s="28"/>
      <c r="I1149" s="28"/>
      <c r="J1149" s="28"/>
      <c r="K1149" s="28"/>
      <c r="L1149" s="28"/>
      <c r="M1149" s="22"/>
      <c r="N1149" s="22"/>
      <c r="O1149" s="22"/>
      <c r="P1149" s="22"/>
      <c r="Q1149" s="22"/>
      <c r="R1149" s="28"/>
      <c r="S1149" s="28"/>
      <c r="T1149" s="28"/>
      <c r="U1149" s="28"/>
      <c r="V1149" s="22"/>
      <c r="W1149" s="22"/>
      <c r="X1149" s="22"/>
      <c r="Y1149" s="22"/>
      <c r="Z1149" s="22"/>
      <c r="AA1149" s="22"/>
      <c r="AB1149" s="22"/>
      <c r="AC1149" s="22"/>
      <c r="AD1149" s="22"/>
    </row>
    <row r="1150" spans="1:30" ht="15.75" customHeight="1" x14ac:dyDescent="0.15">
      <c r="A1150" s="22"/>
      <c r="B1150" s="22"/>
      <c r="C1150" s="22"/>
      <c r="D1150" s="22"/>
      <c r="E1150" s="22"/>
      <c r="F1150" s="28"/>
      <c r="G1150" s="28"/>
      <c r="H1150" s="28"/>
      <c r="I1150" s="28"/>
      <c r="J1150" s="28"/>
      <c r="K1150" s="28"/>
      <c r="L1150" s="28"/>
      <c r="M1150" s="22"/>
      <c r="N1150" s="22"/>
      <c r="O1150" s="22"/>
      <c r="P1150" s="22"/>
      <c r="Q1150" s="22"/>
      <c r="R1150" s="28"/>
      <c r="S1150" s="28"/>
      <c r="T1150" s="28"/>
      <c r="U1150" s="28"/>
      <c r="V1150" s="22"/>
      <c r="W1150" s="22"/>
      <c r="X1150" s="22"/>
      <c r="Y1150" s="22"/>
      <c r="Z1150" s="22"/>
      <c r="AA1150" s="22"/>
      <c r="AB1150" s="22"/>
      <c r="AC1150" s="22"/>
      <c r="AD1150" s="22"/>
    </row>
    <row r="1151" spans="1:30" ht="15.75" customHeight="1" x14ac:dyDescent="0.15">
      <c r="A1151" s="22"/>
      <c r="B1151" s="22"/>
      <c r="C1151" s="22"/>
      <c r="D1151" s="22"/>
      <c r="E1151" s="22"/>
      <c r="F1151" s="28"/>
      <c r="G1151" s="28"/>
      <c r="H1151" s="28"/>
      <c r="I1151" s="28"/>
      <c r="J1151" s="28"/>
      <c r="K1151" s="28"/>
      <c r="L1151" s="28"/>
      <c r="M1151" s="22"/>
      <c r="N1151" s="22"/>
      <c r="O1151" s="22"/>
      <c r="P1151" s="22"/>
      <c r="Q1151" s="22"/>
      <c r="R1151" s="28"/>
      <c r="S1151" s="28"/>
      <c r="T1151" s="28"/>
      <c r="U1151" s="28"/>
      <c r="V1151" s="22"/>
      <c r="W1151" s="22"/>
      <c r="X1151" s="22"/>
      <c r="Y1151" s="22"/>
      <c r="Z1151" s="22"/>
      <c r="AA1151" s="22"/>
      <c r="AB1151" s="22"/>
      <c r="AC1151" s="22"/>
      <c r="AD1151" s="22"/>
    </row>
    <row r="1152" spans="1:30" ht="15.75" customHeight="1" x14ac:dyDescent="0.15">
      <c r="A1152" s="22"/>
      <c r="B1152" s="22"/>
      <c r="C1152" s="22"/>
      <c r="D1152" s="22"/>
      <c r="E1152" s="22"/>
      <c r="F1152" s="28"/>
      <c r="G1152" s="28"/>
      <c r="H1152" s="28"/>
      <c r="I1152" s="28"/>
      <c r="J1152" s="28"/>
      <c r="K1152" s="28"/>
      <c r="L1152" s="28"/>
      <c r="M1152" s="22"/>
      <c r="N1152" s="22"/>
      <c r="O1152" s="22"/>
      <c r="P1152" s="22"/>
      <c r="Q1152" s="22"/>
      <c r="R1152" s="28"/>
      <c r="S1152" s="28"/>
      <c r="T1152" s="28"/>
      <c r="U1152" s="28"/>
      <c r="V1152" s="22"/>
      <c r="W1152" s="22"/>
      <c r="X1152" s="22"/>
      <c r="Y1152" s="22"/>
      <c r="Z1152" s="22"/>
      <c r="AA1152" s="22"/>
      <c r="AB1152" s="22"/>
      <c r="AC1152" s="22"/>
      <c r="AD1152" s="22"/>
    </row>
    <row r="1153" spans="1:30" ht="15.75" customHeight="1" x14ac:dyDescent="0.15">
      <c r="A1153" s="22"/>
      <c r="B1153" s="22"/>
      <c r="C1153" s="22"/>
      <c r="D1153" s="22"/>
      <c r="E1153" s="22"/>
      <c r="F1153" s="28"/>
      <c r="G1153" s="28"/>
      <c r="H1153" s="28"/>
      <c r="I1153" s="28"/>
      <c r="J1153" s="28"/>
      <c r="K1153" s="28"/>
      <c r="L1153" s="28"/>
      <c r="M1153" s="22"/>
      <c r="N1153" s="22"/>
      <c r="O1153" s="22"/>
      <c r="P1153" s="22"/>
      <c r="Q1153" s="22"/>
      <c r="R1153" s="28"/>
      <c r="S1153" s="28"/>
      <c r="T1153" s="28"/>
      <c r="U1153" s="28"/>
      <c r="V1153" s="22"/>
      <c r="W1153" s="22"/>
      <c r="X1153" s="22"/>
      <c r="Y1153" s="22"/>
      <c r="Z1153" s="22"/>
      <c r="AA1153" s="22"/>
      <c r="AB1153" s="22"/>
      <c r="AC1153" s="22"/>
      <c r="AD1153" s="22"/>
    </row>
    <row r="1154" spans="1:30" ht="15.75" customHeight="1" x14ac:dyDescent="0.15">
      <c r="A1154" s="22"/>
      <c r="B1154" s="22"/>
      <c r="C1154" s="22"/>
      <c r="D1154" s="22"/>
      <c r="E1154" s="22"/>
      <c r="F1154" s="28"/>
      <c r="G1154" s="28"/>
      <c r="H1154" s="28"/>
      <c r="I1154" s="28"/>
      <c r="J1154" s="28"/>
      <c r="K1154" s="28"/>
      <c r="L1154" s="28"/>
      <c r="M1154" s="22"/>
      <c r="N1154" s="22"/>
      <c r="O1154" s="22"/>
      <c r="P1154" s="22"/>
      <c r="Q1154" s="22"/>
      <c r="R1154" s="28"/>
      <c r="S1154" s="28"/>
      <c r="T1154" s="28"/>
      <c r="U1154" s="28"/>
      <c r="V1154" s="22"/>
      <c r="W1154" s="22"/>
      <c r="X1154" s="22"/>
      <c r="Y1154" s="22"/>
      <c r="Z1154" s="22"/>
      <c r="AA1154" s="22"/>
      <c r="AB1154" s="22"/>
      <c r="AC1154" s="22"/>
      <c r="AD1154" s="22"/>
    </row>
    <row r="1155" spans="1:30" ht="15.75" customHeight="1" x14ac:dyDescent="0.15">
      <c r="A1155" s="22"/>
      <c r="B1155" s="22"/>
      <c r="C1155" s="22"/>
      <c r="D1155" s="22"/>
      <c r="E1155" s="22"/>
      <c r="F1155" s="28"/>
      <c r="G1155" s="28"/>
      <c r="H1155" s="28"/>
      <c r="I1155" s="28"/>
      <c r="J1155" s="28"/>
      <c r="K1155" s="28"/>
      <c r="L1155" s="28"/>
      <c r="M1155" s="22"/>
      <c r="N1155" s="22"/>
      <c r="O1155" s="22"/>
      <c r="P1155" s="22"/>
      <c r="Q1155" s="22"/>
      <c r="R1155" s="28"/>
      <c r="S1155" s="28"/>
      <c r="T1155" s="28"/>
      <c r="U1155" s="28"/>
      <c r="V1155" s="22"/>
      <c r="W1155" s="22"/>
      <c r="X1155" s="22"/>
      <c r="Y1155" s="22"/>
      <c r="Z1155" s="22"/>
      <c r="AA1155" s="22"/>
      <c r="AB1155" s="22"/>
      <c r="AC1155" s="22"/>
      <c r="AD1155" s="22"/>
    </row>
    <row r="1156" spans="1:30" ht="15.75" customHeight="1" x14ac:dyDescent="0.15">
      <c r="A1156" s="22"/>
      <c r="B1156" s="22"/>
      <c r="C1156" s="22"/>
      <c r="D1156" s="22"/>
      <c r="E1156" s="22"/>
      <c r="F1156" s="28"/>
      <c r="G1156" s="28"/>
      <c r="H1156" s="28"/>
      <c r="I1156" s="28"/>
      <c r="J1156" s="28"/>
      <c r="K1156" s="28"/>
      <c r="L1156" s="28"/>
      <c r="M1156" s="22"/>
      <c r="N1156" s="22"/>
      <c r="O1156" s="22"/>
      <c r="P1156" s="22"/>
      <c r="Q1156" s="22"/>
      <c r="R1156" s="28"/>
      <c r="S1156" s="28"/>
      <c r="T1156" s="28"/>
      <c r="U1156" s="28"/>
      <c r="V1156" s="22"/>
      <c r="W1156" s="22"/>
      <c r="X1156" s="22"/>
      <c r="Y1156" s="22"/>
      <c r="Z1156" s="22"/>
      <c r="AA1156" s="22"/>
      <c r="AB1156" s="22"/>
      <c r="AC1156" s="22"/>
      <c r="AD1156" s="22"/>
    </row>
    <row r="1157" spans="1:30" ht="15.75" customHeight="1" x14ac:dyDescent="0.15">
      <c r="A1157" s="22"/>
      <c r="B1157" s="22"/>
      <c r="C1157" s="22"/>
      <c r="D1157" s="22"/>
      <c r="E1157" s="22"/>
      <c r="F1157" s="28"/>
      <c r="G1157" s="28"/>
      <c r="H1157" s="28"/>
      <c r="I1157" s="28"/>
      <c r="J1157" s="28"/>
      <c r="K1157" s="28"/>
      <c r="L1157" s="28"/>
      <c r="M1157" s="22"/>
      <c r="N1157" s="22"/>
      <c r="O1157" s="22"/>
      <c r="P1157" s="22"/>
      <c r="Q1157" s="22"/>
      <c r="R1157" s="28"/>
      <c r="S1157" s="28"/>
      <c r="T1157" s="28"/>
      <c r="U1157" s="28"/>
      <c r="V1157" s="22"/>
      <c r="W1157" s="22"/>
      <c r="X1157" s="22"/>
      <c r="Y1157" s="22"/>
      <c r="Z1157" s="22"/>
      <c r="AA1157" s="22"/>
      <c r="AB1157" s="22"/>
      <c r="AC1157" s="22"/>
      <c r="AD1157" s="22"/>
    </row>
    <row r="1158" spans="1:30" ht="15.75" customHeight="1" x14ac:dyDescent="0.15">
      <c r="A1158" s="22"/>
      <c r="B1158" s="22"/>
      <c r="C1158" s="22"/>
      <c r="D1158" s="22"/>
      <c r="E1158" s="22"/>
      <c r="F1158" s="28"/>
      <c r="G1158" s="28"/>
      <c r="H1158" s="28"/>
      <c r="I1158" s="28"/>
      <c r="J1158" s="28"/>
      <c r="K1158" s="28"/>
      <c r="L1158" s="28"/>
      <c r="M1158" s="22"/>
      <c r="N1158" s="22"/>
      <c r="O1158" s="22"/>
      <c r="P1158" s="22"/>
      <c r="Q1158" s="22"/>
      <c r="R1158" s="28"/>
      <c r="S1158" s="28"/>
      <c r="T1158" s="28"/>
      <c r="U1158" s="28"/>
      <c r="V1158" s="22"/>
      <c r="W1158" s="22"/>
      <c r="X1158" s="22"/>
      <c r="Y1158" s="22"/>
      <c r="Z1158" s="22"/>
      <c r="AA1158" s="22"/>
      <c r="AB1158" s="22"/>
      <c r="AC1158" s="22"/>
      <c r="AD1158" s="22"/>
    </row>
    <row r="1159" spans="1:30" ht="15.75" customHeight="1" x14ac:dyDescent="0.15">
      <c r="A1159" s="22"/>
      <c r="B1159" s="22"/>
      <c r="C1159" s="22"/>
      <c r="D1159" s="22"/>
      <c r="E1159" s="22"/>
      <c r="F1159" s="28"/>
      <c r="G1159" s="28"/>
      <c r="H1159" s="28"/>
      <c r="I1159" s="28"/>
      <c r="J1159" s="28"/>
      <c r="K1159" s="28"/>
      <c r="L1159" s="28"/>
      <c r="M1159" s="22"/>
      <c r="N1159" s="22"/>
      <c r="O1159" s="22"/>
      <c r="P1159" s="22"/>
      <c r="Q1159" s="22"/>
      <c r="R1159" s="28"/>
      <c r="S1159" s="28"/>
      <c r="T1159" s="28"/>
      <c r="U1159" s="28"/>
      <c r="V1159" s="22"/>
      <c r="W1159" s="22"/>
      <c r="X1159" s="22"/>
      <c r="Y1159" s="22"/>
      <c r="Z1159" s="22"/>
      <c r="AA1159" s="22"/>
      <c r="AB1159" s="22"/>
      <c r="AC1159" s="22"/>
      <c r="AD1159" s="22"/>
    </row>
    <row r="1160" spans="1:30" ht="15.75" customHeight="1" x14ac:dyDescent="0.15">
      <c r="A1160" s="22"/>
      <c r="B1160" s="22"/>
      <c r="C1160" s="22"/>
      <c r="D1160" s="22"/>
      <c r="E1160" s="22"/>
      <c r="F1160" s="28"/>
      <c r="G1160" s="28"/>
      <c r="H1160" s="28"/>
      <c r="I1160" s="28"/>
      <c r="J1160" s="28"/>
      <c r="K1160" s="28"/>
      <c r="L1160" s="28"/>
      <c r="M1160" s="22"/>
      <c r="N1160" s="22"/>
      <c r="O1160" s="22"/>
      <c r="P1160" s="22"/>
      <c r="Q1160" s="22"/>
      <c r="R1160" s="28"/>
      <c r="S1160" s="28"/>
      <c r="T1160" s="28"/>
      <c r="U1160" s="28"/>
      <c r="V1160" s="22"/>
      <c r="W1160" s="22"/>
      <c r="X1160" s="22"/>
      <c r="Y1160" s="22"/>
      <c r="Z1160" s="22"/>
      <c r="AA1160" s="22"/>
      <c r="AB1160" s="22"/>
      <c r="AC1160" s="22"/>
      <c r="AD1160" s="22"/>
    </row>
    <row r="1161" spans="1:30" ht="15.75" customHeight="1" x14ac:dyDescent="0.15">
      <c r="A1161" s="22"/>
      <c r="B1161" s="22"/>
      <c r="C1161" s="22"/>
      <c r="D1161" s="22"/>
      <c r="E1161" s="22"/>
      <c r="F1161" s="28"/>
      <c r="G1161" s="28"/>
      <c r="H1161" s="28"/>
      <c r="I1161" s="28"/>
      <c r="J1161" s="28"/>
      <c r="K1161" s="28"/>
      <c r="L1161" s="28"/>
      <c r="M1161" s="22"/>
      <c r="N1161" s="22"/>
      <c r="O1161" s="22"/>
      <c r="P1161" s="22"/>
      <c r="Q1161" s="22"/>
      <c r="R1161" s="28"/>
      <c r="S1161" s="28"/>
      <c r="T1161" s="28"/>
      <c r="U1161" s="28"/>
      <c r="V1161" s="22"/>
      <c r="W1161" s="22"/>
      <c r="X1161" s="22"/>
      <c r="Y1161" s="22"/>
      <c r="Z1161" s="22"/>
      <c r="AA1161" s="22"/>
      <c r="AB1161" s="22"/>
      <c r="AC1161" s="22"/>
      <c r="AD1161" s="22"/>
    </row>
    <row r="1162" spans="1:30" ht="15.75" customHeight="1" x14ac:dyDescent="0.15">
      <c r="A1162" s="22"/>
      <c r="B1162" s="22"/>
      <c r="C1162" s="22"/>
      <c r="D1162" s="22"/>
      <c r="E1162" s="22"/>
      <c r="F1162" s="28"/>
      <c r="G1162" s="28"/>
      <c r="H1162" s="28"/>
      <c r="I1162" s="28"/>
      <c r="J1162" s="28"/>
      <c r="K1162" s="28"/>
      <c r="L1162" s="28"/>
      <c r="M1162" s="22"/>
      <c r="N1162" s="22"/>
      <c r="O1162" s="22"/>
      <c r="P1162" s="22"/>
      <c r="Q1162" s="22"/>
      <c r="R1162" s="28"/>
      <c r="S1162" s="28"/>
      <c r="T1162" s="28"/>
      <c r="U1162" s="28"/>
      <c r="V1162" s="22"/>
      <c r="W1162" s="22"/>
      <c r="X1162" s="22"/>
      <c r="Y1162" s="22"/>
      <c r="Z1162" s="22"/>
      <c r="AA1162" s="22"/>
      <c r="AB1162" s="22"/>
      <c r="AC1162" s="22"/>
      <c r="AD1162" s="22"/>
    </row>
    <row r="1163" spans="1:30" ht="15.75" customHeight="1" x14ac:dyDescent="0.15">
      <c r="A1163" s="22"/>
      <c r="B1163" s="22"/>
      <c r="C1163" s="22"/>
      <c r="D1163" s="22"/>
      <c r="E1163" s="22"/>
      <c r="F1163" s="28"/>
      <c r="G1163" s="28"/>
      <c r="H1163" s="28"/>
      <c r="I1163" s="28"/>
      <c r="J1163" s="28"/>
      <c r="K1163" s="28"/>
      <c r="L1163" s="28"/>
      <c r="M1163" s="22"/>
      <c r="N1163" s="22"/>
      <c r="O1163" s="22"/>
      <c r="P1163" s="22"/>
      <c r="Q1163" s="22"/>
      <c r="R1163" s="28"/>
      <c r="S1163" s="28"/>
      <c r="T1163" s="28"/>
      <c r="U1163" s="28"/>
      <c r="V1163" s="22"/>
      <c r="W1163" s="22"/>
      <c r="X1163" s="22"/>
      <c r="Y1163" s="22"/>
      <c r="Z1163" s="22"/>
      <c r="AA1163" s="22"/>
      <c r="AB1163" s="22"/>
      <c r="AC1163" s="22"/>
      <c r="AD1163" s="22"/>
    </row>
    <row r="1164" spans="1:30" ht="15.75" customHeight="1" x14ac:dyDescent="0.15">
      <c r="A1164" s="22"/>
      <c r="B1164" s="22"/>
      <c r="C1164" s="22"/>
      <c r="D1164" s="22"/>
      <c r="E1164" s="22"/>
      <c r="F1164" s="28"/>
      <c r="G1164" s="28"/>
      <c r="H1164" s="28"/>
      <c r="I1164" s="28"/>
      <c r="J1164" s="28"/>
      <c r="K1164" s="28"/>
      <c r="L1164" s="28"/>
      <c r="M1164" s="22"/>
      <c r="N1164" s="22"/>
      <c r="O1164" s="22"/>
      <c r="P1164" s="22"/>
      <c r="Q1164" s="22"/>
      <c r="R1164" s="28"/>
      <c r="S1164" s="28"/>
      <c r="T1164" s="28"/>
      <c r="U1164" s="28"/>
      <c r="V1164" s="22"/>
      <c r="W1164" s="22"/>
      <c r="X1164" s="22"/>
      <c r="Y1164" s="22"/>
      <c r="Z1164" s="22"/>
      <c r="AA1164" s="22"/>
      <c r="AB1164" s="22"/>
      <c r="AC1164" s="22"/>
      <c r="AD1164" s="22"/>
    </row>
    <row r="1165" spans="1:30" ht="15.75" customHeight="1" x14ac:dyDescent="0.15">
      <c r="A1165" s="22"/>
      <c r="B1165" s="22"/>
      <c r="C1165" s="22"/>
      <c r="D1165" s="22"/>
      <c r="E1165" s="22"/>
      <c r="F1165" s="28"/>
      <c r="G1165" s="28"/>
      <c r="H1165" s="28"/>
      <c r="I1165" s="28"/>
      <c r="J1165" s="28"/>
      <c r="K1165" s="28"/>
      <c r="L1165" s="28"/>
      <c r="M1165" s="22"/>
      <c r="N1165" s="22"/>
      <c r="O1165" s="22"/>
      <c r="P1165" s="22"/>
      <c r="Q1165" s="22"/>
      <c r="R1165" s="28"/>
      <c r="S1165" s="28"/>
      <c r="T1165" s="28"/>
      <c r="U1165" s="28"/>
      <c r="V1165" s="22"/>
      <c r="W1165" s="22"/>
      <c r="X1165" s="22"/>
      <c r="Y1165" s="22"/>
      <c r="Z1165" s="22"/>
      <c r="AA1165" s="22"/>
      <c r="AB1165" s="22"/>
      <c r="AC1165" s="22"/>
      <c r="AD1165" s="22"/>
    </row>
    <row r="1166" spans="1:30" ht="15.75" customHeight="1" x14ac:dyDescent="0.15">
      <c r="A1166" s="22"/>
      <c r="B1166" s="22"/>
      <c r="C1166" s="22"/>
      <c r="D1166" s="22"/>
      <c r="E1166" s="22"/>
      <c r="F1166" s="28"/>
      <c r="G1166" s="28"/>
      <c r="H1166" s="28"/>
      <c r="I1166" s="28"/>
      <c r="J1166" s="28"/>
      <c r="K1166" s="28"/>
      <c r="L1166" s="28"/>
      <c r="M1166" s="22"/>
      <c r="N1166" s="22"/>
      <c r="O1166" s="22"/>
      <c r="P1166" s="22"/>
      <c r="Q1166" s="22"/>
      <c r="R1166" s="28"/>
      <c r="S1166" s="28"/>
      <c r="T1166" s="28"/>
      <c r="U1166" s="28"/>
      <c r="V1166" s="22"/>
      <c r="W1166" s="22"/>
      <c r="X1166" s="22"/>
      <c r="Y1166" s="22"/>
      <c r="Z1166" s="22"/>
      <c r="AA1166" s="22"/>
      <c r="AB1166" s="22"/>
      <c r="AC1166" s="22"/>
      <c r="AD1166" s="22"/>
    </row>
    <row r="1167" spans="1:30" ht="15.75" customHeight="1" x14ac:dyDescent="0.15">
      <c r="A1167" s="22"/>
      <c r="B1167" s="22"/>
      <c r="C1167" s="22"/>
      <c r="D1167" s="22"/>
      <c r="E1167" s="22"/>
      <c r="F1167" s="28"/>
      <c r="G1167" s="28"/>
      <c r="H1167" s="28"/>
      <c r="I1167" s="28"/>
      <c r="J1167" s="28"/>
      <c r="K1167" s="28"/>
      <c r="L1167" s="28"/>
      <c r="M1167" s="22"/>
      <c r="N1167" s="22"/>
      <c r="O1167" s="22"/>
      <c r="P1167" s="22"/>
      <c r="Q1167" s="22"/>
      <c r="R1167" s="28"/>
      <c r="S1167" s="28"/>
      <c r="T1167" s="28"/>
      <c r="U1167" s="28"/>
      <c r="V1167" s="22"/>
      <c r="W1167" s="22"/>
      <c r="X1167" s="22"/>
      <c r="Y1167" s="22"/>
      <c r="Z1167" s="22"/>
      <c r="AA1167" s="22"/>
      <c r="AB1167" s="22"/>
      <c r="AC1167" s="22"/>
      <c r="AD1167" s="22"/>
    </row>
    <row r="1168" spans="1:30" ht="15.75" customHeight="1" x14ac:dyDescent="0.15">
      <c r="A1168" s="22"/>
      <c r="B1168" s="22"/>
      <c r="C1168" s="22"/>
      <c r="D1168" s="22"/>
      <c r="E1168" s="22"/>
      <c r="F1168" s="28"/>
      <c r="G1168" s="28"/>
      <c r="H1168" s="28"/>
      <c r="I1168" s="28"/>
      <c r="J1168" s="28"/>
      <c r="K1168" s="28"/>
      <c r="L1168" s="28"/>
      <c r="M1168" s="22"/>
      <c r="N1168" s="22"/>
      <c r="O1168" s="22"/>
      <c r="P1168" s="22"/>
      <c r="Q1168" s="22"/>
      <c r="R1168" s="28"/>
      <c r="S1168" s="28"/>
      <c r="T1168" s="28"/>
      <c r="U1168" s="28"/>
      <c r="V1168" s="22"/>
      <c r="W1168" s="22"/>
      <c r="X1168" s="22"/>
      <c r="Y1168" s="22"/>
      <c r="Z1168" s="22"/>
      <c r="AA1168" s="22"/>
      <c r="AB1168" s="22"/>
      <c r="AC1168" s="22"/>
      <c r="AD1168" s="22"/>
    </row>
    <row r="1169" spans="1:30" ht="15.75" customHeight="1" x14ac:dyDescent="0.15">
      <c r="A1169" s="22"/>
      <c r="B1169" s="22"/>
      <c r="C1169" s="22"/>
      <c r="D1169" s="22"/>
      <c r="E1169" s="22"/>
      <c r="F1169" s="28"/>
      <c r="G1169" s="28"/>
      <c r="H1169" s="28"/>
      <c r="I1169" s="28"/>
      <c r="J1169" s="28"/>
      <c r="K1169" s="28"/>
      <c r="L1169" s="28"/>
      <c r="M1169" s="22"/>
      <c r="N1169" s="22"/>
      <c r="O1169" s="22"/>
      <c r="P1169" s="22"/>
      <c r="Q1169" s="22"/>
      <c r="R1169" s="28"/>
      <c r="S1169" s="28"/>
      <c r="T1169" s="28"/>
      <c r="U1169" s="28"/>
      <c r="V1169" s="22"/>
      <c r="W1169" s="22"/>
      <c r="X1169" s="22"/>
      <c r="Y1169" s="22"/>
      <c r="Z1169" s="22"/>
      <c r="AA1169" s="22"/>
      <c r="AB1169" s="22"/>
      <c r="AC1169" s="22"/>
      <c r="AD1169" s="22"/>
    </row>
    <row r="1170" spans="1:30" ht="15.75" customHeight="1" x14ac:dyDescent="0.15">
      <c r="A1170" s="22"/>
      <c r="B1170" s="22"/>
      <c r="C1170" s="22"/>
      <c r="D1170" s="22"/>
      <c r="E1170" s="22"/>
      <c r="F1170" s="28"/>
      <c r="G1170" s="28"/>
      <c r="H1170" s="28"/>
      <c r="I1170" s="28"/>
      <c r="J1170" s="28"/>
      <c r="K1170" s="28"/>
      <c r="L1170" s="28"/>
      <c r="M1170" s="22"/>
      <c r="N1170" s="22"/>
      <c r="O1170" s="22"/>
      <c r="P1170" s="22"/>
      <c r="Q1170" s="22"/>
      <c r="R1170" s="28"/>
      <c r="S1170" s="28"/>
      <c r="T1170" s="28"/>
      <c r="U1170" s="28"/>
      <c r="V1170" s="22"/>
      <c r="W1170" s="22"/>
      <c r="X1170" s="22"/>
      <c r="Y1170" s="22"/>
      <c r="Z1170" s="22"/>
      <c r="AA1170" s="22"/>
      <c r="AB1170" s="22"/>
      <c r="AC1170" s="22"/>
      <c r="AD1170" s="22"/>
    </row>
    <row r="1171" spans="1:30" ht="15.75" customHeight="1" x14ac:dyDescent="0.15">
      <c r="A1171" s="22"/>
      <c r="B1171" s="22"/>
      <c r="C1171" s="22"/>
      <c r="D1171" s="22"/>
      <c r="E1171" s="22"/>
      <c r="F1171" s="28"/>
      <c r="G1171" s="28"/>
      <c r="H1171" s="28"/>
      <c r="I1171" s="28"/>
      <c r="J1171" s="28"/>
      <c r="K1171" s="28"/>
      <c r="L1171" s="28"/>
      <c r="M1171" s="22"/>
      <c r="N1171" s="22"/>
      <c r="O1171" s="22"/>
      <c r="P1171" s="22"/>
      <c r="Q1171" s="22"/>
      <c r="R1171" s="28"/>
      <c r="S1171" s="28"/>
      <c r="T1171" s="28"/>
      <c r="U1171" s="28"/>
      <c r="V1171" s="22"/>
      <c r="W1171" s="22"/>
      <c r="X1171" s="22"/>
      <c r="Y1171" s="22"/>
      <c r="Z1171" s="22"/>
      <c r="AA1171" s="22"/>
      <c r="AB1171" s="22"/>
      <c r="AC1171" s="22"/>
      <c r="AD1171" s="22"/>
    </row>
    <row r="1172" spans="1:30" ht="15.75" customHeight="1" x14ac:dyDescent="0.15">
      <c r="A1172" s="22"/>
      <c r="B1172" s="22"/>
      <c r="C1172" s="22"/>
      <c r="D1172" s="22"/>
      <c r="E1172" s="22"/>
      <c r="F1172" s="28"/>
      <c r="G1172" s="28"/>
      <c r="H1172" s="28"/>
      <c r="I1172" s="28"/>
      <c r="J1172" s="28"/>
      <c r="K1172" s="28"/>
      <c r="L1172" s="28"/>
      <c r="M1172" s="22"/>
      <c r="N1172" s="22"/>
      <c r="O1172" s="22"/>
      <c r="P1172" s="22"/>
      <c r="Q1172" s="22"/>
      <c r="R1172" s="28"/>
      <c r="S1172" s="28"/>
      <c r="T1172" s="28"/>
      <c r="U1172" s="28"/>
      <c r="V1172" s="22"/>
      <c r="W1172" s="22"/>
      <c r="X1172" s="22"/>
      <c r="Y1172" s="22"/>
      <c r="Z1172" s="22"/>
      <c r="AA1172" s="22"/>
      <c r="AB1172" s="22"/>
      <c r="AC1172" s="22"/>
      <c r="AD1172" s="22"/>
    </row>
    <row r="1173" spans="1:30" ht="15.75" customHeight="1" x14ac:dyDescent="0.15">
      <c r="A1173" s="22"/>
      <c r="B1173" s="22"/>
      <c r="C1173" s="22"/>
      <c r="D1173" s="22"/>
      <c r="E1173" s="22"/>
      <c r="F1173" s="28"/>
      <c r="G1173" s="28"/>
      <c r="H1173" s="28"/>
      <c r="I1173" s="28"/>
      <c r="J1173" s="28"/>
      <c r="K1173" s="28"/>
      <c r="L1173" s="28"/>
      <c r="M1173" s="22"/>
      <c r="N1173" s="22"/>
      <c r="O1173" s="22"/>
      <c r="P1173" s="22"/>
      <c r="Q1173" s="22"/>
      <c r="R1173" s="28"/>
      <c r="S1173" s="28"/>
      <c r="T1173" s="28"/>
      <c r="U1173" s="28"/>
      <c r="V1173" s="22"/>
      <c r="W1173" s="22"/>
      <c r="X1173" s="22"/>
      <c r="Y1173" s="22"/>
      <c r="Z1173" s="22"/>
      <c r="AA1173" s="22"/>
      <c r="AB1173" s="22"/>
      <c r="AC1173" s="22"/>
      <c r="AD1173" s="22"/>
    </row>
    <row r="1174" spans="1:30" ht="15.75" customHeight="1" x14ac:dyDescent="0.15">
      <c r="A1174" s="22"/>
      <c r="B1174" s="22"/>
      <c r="C1174" s="22"/>
      <c r="D1174" s="22"/>
      <c r="E1174" s="22"/>
      <c r="F1174" s="28"/>
      <c r="G1174" s="28"/>
      <c r="H1174" s="28"/>
      <c r="I1174" s="28"/>
      <c r="J1174" s="28"/>
      <c r="K1174" s="28"/>
      <c r="L1174" s="28"/>
      <c r="M1174" s="22"/>
      <c r="N1174" s="22"/>
      <c r="O1174" s="22"/>
      <c r="P1174" s="22"/>
      <c r="Q1174" s="22"/>
      <c r="R1174" s="28"/>
      <c r="S1174" s="28"/>
      <c r="T1174" s="28"/>
      <c r="U1174" s="28"/>
      <c r="V1174" s="22"/>
      <c r="W1174" s="22"/>
      <c r="X1174" s="22"/>
      <c r="Y1174" s="22"/>
      <c r="Z1174" s="22"/>
      <c r="AA1174" s="22"/>
      <c r="AB1174" s="22"/>
      <c r="AC1174" s="22"/>
      <c r="AD1174" s="22"/>
    </row>
    <row r="1175" spans="1:30" ht="15.75" customHeight="1" x14ac:dyDescent="0.15">
      <c r="A1175" s="22"/>
      <c r="B1175" s="22"/>
      <c r="C1175" s="22"/>
      <c r="D1175" s="22"/>
      <c r="E1175" s="22"/>
      <c r="F1175" s="28"/>
      <c r="G1175" s="28"/>
      <c r="H1175" s="28"/>
      <c r="I1175" s="28"/>
      <c r="J1175" s="28"/>
      <c r="K1175" s="28"/>
      <c r="L1175" s="28"/>
      <c r="M1175" s="22"/>
      <c r="N1175" s="22"/>
      <c r="O1175" s="22"/>
      <c r="P1175" s="22"/>
      <c r="Q1175" s="22"/>
      <c r="R1175" s="28"/>
      <c r="S1175" s="28"/>
      <c r="T1175" s="28"/>
      <c r="U1175" s="28"/>
      <c r="V1175" s="22"/>
      <c r="W1175" s="22"/>
      <c r="X1175" s="22"/>
      <c r="Y1175" s="22"/>
      <c r="Z1175" s="22"/>
      <c r="AA1175" s="22"/>
      <c r="AB1175" s="22"/>
      <c r="AC1175" s="22"/>
      <c r="AD1175" s="22"/>
    </row>
    <row r="1176" spans="1:30" ht="15.75" customHeight="1" x14ac:dyDescent="0.15">
      <c r="A1176" s="22"/>
      <c r="B1176" s="22"/>
      <c r="C1176" s="22"/>
      <c r="D1176" s="22"/>
      <c r="E1176" s="22"/>
      <c r="F1176" s="28"/>
      <c r="G1176" s="28"/>
      <c r="H1176" s="28"/>
      <c r="I1176" s="28"/>
      <c r="J1176" s="28"/>
      <c r="K1176" s="28"/>
      <c r="L1176" s="28"/>
      <c r="M1176" s="22"/>
      <c r="N1176" s="22"/>
      <c r="O1176" s="22"/>
      <c r="P1176" s="22"/>
      <c r="Q1176" s="22"/>
      <c r="R1176" s="28"/>
      <c r="S1176" s="28"/>
      <c r="T1176" s="28"/>
      <c r="U1176" s="28"/>
      <c r="V1176" s="22"/>
      <c r="W1176" s="22"/>
      <c r="X1176" s="22"/>
      <c r="Y1176" s="22"/>
      <c r="Z1176" s="22"/>
      <c r="AA1176" s="22"/>
      <c r="AB1176" s="22"/>
      <c r="AC1176" s="22"/>
      <c r="AD1176" s="22"/>
    </row>
    <row r="1177" spans="1:30" ht="15.75" customHeight="1" x14ac:dyDescent="0.15">
      <c r="A1177" s="22"/>
      <c r="B1177" s="22"/>
      <c r="C1177" s="22"/>
      <c r="D1177" s="22"/>
      <c r="E1177" s="22"/>
      <c r="F1177" s="28"/>
      <c r="G1177" s="28"/>
      <c r="H1177" s="28"/>
      <c r="I1177" s="28"/>
      <c r="J1177" s="28"/>
      <c r="K1177" s="28"/>
      <c r="L1177" s="28"/>
      <c r="M1177" s="22"/>
      <c r="N1177" s="22"/>
      <c r="O1177" s="22"/>
      <c r="P1177" s="22"/>
      <c r="Q1177" s="22"/>
      <c r="R1177" s="28"/>
      <c r="S1177" s="28"/>
      <c r="T1177" s="28"/>
      <c r="U1177" s="28"/>
      <c r="V1177" s="22"/>
      <c r="W1177" s="22"/>
      <c r="X1177" s="22"/>
      <c r="Y1177" s="22"/>
      <c r="Z1177" s="22"/>
      <c r="AA1177" s="22"/>
      <c r="AB1177" s="22"/>
      <c r="AC1177" s="22"/>
      <c r="AD1177" s="22"/>
    </row>
    <row r="1178" spans="1:30" ht="15.75" customHeight="1" x14ac:dyDescent="0.15">
      <c r="A1178" s="22"/>
      <c r="B1178" s="22"/>
      <c r="C1178" s="22"/>
      <c r="D1178" s="22"/>
      <c r="E1178" s="22"/>
      <c r="F1178" s="28"/>
      <c r="G1178" s="28"/>
      <c r="H1178" s="28"/>
      <c r="I1178" s="28"/>
      <c r="J1178" s="28"/>
      <c r="K1178" s="28"/>
      <c r="L1178" s="28"/>
      <c r="M1178" s="22"/>
      <c r="N1178" s="22"/>
      <c r="O1178" s="22"/>
      <c r="P1178" s="22"/>
      <c r="Q1178" s="22"/>
      <c r="R1178" s="28"/>
      <c r="S1178" s="28"/>
      <c r="T1178" s="28"/>
      <c r="U1178" s="28"/>
      <c r="V1178" s="22"/>
      <c r="W1178" s="22"/>
      <c r="X1178" s="22"/>
      <c r="Y1178" s="22"/>
      <c r="Z1178" s="22"/>
      <c r="AA1178" s="22"/>
      <c r="AB1178" s="22"/>
      <c r="AC1178" s="22"/>
      <c r="AD1178" s="22"/>
    </row>
    <row r="1179" spans="1:30" ht="15.75" customHeight="1" x14ac:dyDescent="0.15">
      <c r="A1179" s="22"/>
      <c r="B1179" s="22"/>
      <c r="C1179" s="22"/>
      <c r="D1179" s="22"/>
      <c r="E1179" s="22"/>
      <c r="F1179" s="28"/>
      <c r="G1179" s="28"/>
      <c r="H1179" s="28"/>
      <c r="I1179" s="28"/>
      <c r="J1179" s="28"/>
      <c r="K1179" s="28"/>
      <c r="L1179" s="28"/>
      <c r="M1179" s="22"/>
      <c r="N1179" s="22"/>
      <c r="O1179" s="22"/>
      <c r="P1179" s="22"/>
      <c r="Q1179" s="22"/>
      <c r="R1179" s="28"/>
      <c r="S1179" s="28"/>
      <c r="T1179" s="28"/>
      <c r="U1179" s="28"/>
      <c r="V1179" s="22"/>
      <c r="W1179" s="22"/>
      <c r="X1179" s="22"/>
      <c r="Y1179" s="22"/>
      <c r="Z1179" s="22"/>
      <c r="AA1179" s="22"/>
      <c r="AB1179" s="22"/>
      <c r="AC1179" s="22"/>
      <c r="AD1179" s="22"/>
    </row>
    <row r="1180" spans="1:30" ht="15.75" customHeight="1" x14ac:dyDescent="0.15">
      <c r="A1180" s="22"/>
      <c r="B1180" s="22"/>
      <c r="C1180" s="22"/>
      <c r="D1180" s="22"/>
      <c r="E1180" s="22"/>
      <c r="F1180" s="28"/>
      <c r="G1180" s="28"/>
      <c r="H1180" s="28"/>
      <c r="I1180" s="28"/>
      <c r="J1180" s="28"/>
      <c r="K1180" s="28"/>
      <c r="L1180" s="28"/>
      <c r="M1180" s="22"/>
      <c r="N1180" s="22"/>
      <c r="O1180" s="22"/>
      <c r="P1180" s="22"/>
      <c r="Q1180" s="22"/>
      <c r="R1180" s="28"/>
      <c r="S1180" s="28"/>
      <c r="T1180" s="28"/>
      <c r="U1180" s="28"/>
      <c r="V1180" s="22"/>
      <c r="W1180" s="22"/>
      <c r="X1180" s="22"/>
      <c r="Y1180" s="22"/>
      <c r="Z1180" s="22"/>
      <c r="AA1180" s="22"/>
      <c r="AB1180" s="22"/>
      <c r="AC1180" s="22"/>
      <c r="AD1180" s="22"/>
    </row>
    <row r="1181" spans="1:30" ht="15.75" customHeight="1" x14ac:dyDescent="0.15">
      <c r="A1181" s="22"/>
      <c r="B1181" s="22"/>
      <c r="C1181" s="22"/>
      <c r="D1181" s="22"/>
      <c r="E1181" s="22"/>
      <c r="F1181" s="28"/>
      <c r="G1181" s="28"/>
      <c r="H1181" s="28"/>
      <c r="I1181" s="28"/>
      <c r="J1181" s="28"/>
      <c r="K1181" s="28"/>
      <c r="L1181" s="28"/>
      <c r="M1181" s="22"/>
      <c r="N1181" s="22"/>
      <c r="O1181" s="22"/>
      <c r="P1181" s="22"/>
      <c r="Q1181" s="22"/>
      <c r="R1181" s="28"/>
      <c r="S1181" s="28"/>
      <c r="T1181" s="28"/>
      <c r="U1181" s="28"/>
      <c r="V1181" s="22"/>
      <c r="W1181" s="22"/>
      <c r="X1181" s="22"/>
      <c r="Y1181" s="22"/>
      <c r="Z1181" s="22"/>
      <c r="AA1181" s="22"/>
      <c r="AB1181" s="22"/>
      <c r="AC1181" s="22"/>
      <c r="AD1181" s="22"/>
    </row>
    <row r="1182" spans="1:30" ht="15.75" customHeight="1" x14ac:dyDescent="0.15">
      <c r="A1182" s="22"/>
      <c r="B1182" s="22"/>
      <c r="C1182" s="22"/>
      <c r="D1182" s="22"/>
      <c r="E1182" s="22"/>
      <c r="F1182" s="28"/>
      <c r="G1182" s="28"/>
      <c r="H1182" s="28"/>
      <c r="I1182" s="28"/>
      <c r="J1182" s="28"/>
      <c r="K1182" s="28"/>
      <c r="L1182" s="28"/>
      <c r="M1182" s="22"/>
      <c r="N1182" s="22"/>
      <c r="O1182" s="22"/>
      <c r="P1182" s="22"/>
      <c r="Q1182" s="22"/>
      <c r="R1182" s="28"/>
      <c r="S1182" s="28"/>
      <c r="T1182" s="28"/>
      <c r="U1182" s="28"/>
      <c r="V1182" s="22"/>
      <c r="W1182" s="22"/>
      <c r="X1182" s="22"/>
      <c r="Y1182" s="22"/>
      <c r="Z1182" s="22"/>
      <c r="AA1182" s="22"/>
      <c r="AB1182" s="22"/>
      <c r="AC1182" s="22"/>
      <c r="AD1182" s="22"/>
    </row>
    <row r="1183" spans="1:30" ht="15.75" customHeight="1" x14ac:dyDescent="0.15">
      <c r="A1183" s="22"/>
      <c r="B1183" s="22"/>
      <c r="C1183" s="22"/>
      <c r="D1183" s="22"/>
      <c r="E1183" s="22"/>
      <c r="F1183" s="28"/>
      <c r="G1183" s="28"/>
      <c r="H1183" s="28"/>
      <c r="I1183" s="28"/>
      <c r="J1183" s="28"/>
      <c r="K1183" s="28"/>
      <c r="L1183" s="28"/>
      <c r="M1183" s="22"/>
      <c r="N1183" s="22"/>
      <c r="O1183" s="22"/>
      <c r="P1183" s="22"/>
      <c r="Q1183" s="22"/>
      <c r="R1183" s="28"/>
      <c r="S1183" s="28"/>
      <c r="T1183" s="28"/>
      <c r="U1183" s="28"/>
      <c r="V1183" s="22"/>
      <c r="W1183" s="22"/>
      <c r="X1183" s="22"/>
      <c r="Y1183" s="22"/>
      <c r="Z1183" s="22"/>
      <c r="AA1183" s="22"/>
      <c r="AB1183" s="22"/>
      <c r="AC1183" s="22"/>
      <c r="AD1183" s="22"/>
    </row>
    <row r="1184" spans="1:30" ht="15.75" customHeight="1" x14ac:dyDescent="0.15">
      <c r="A1184" s="22"/>
      <c r="B1184" s="22"/>
      <c r="C1184" s="22"/>
      <c r="D1184" s="22"/>
      <c r="E1184" s="22"/>
      <c r="F1184" s="28"/>
      <c r="G1184" s="28"/>
      <c r="H1184" s="28"/>
      <c r="I1184" s="28"/>
      <c r="J1184" s="28"/>
      <c r="K1184" s="28"/>
      <c r="L1184" s="28"/>
      <c r="M1184" s="22"/>
      <c r="N1184" s="22"/>
      <c r="O1184" s="22"/>
      <c r="P1184" s="22"/>
      <c r="Q1184" s="22"/>
      <c r="R1184" s="28"/>
      <c r="S1184" s="28"/>
      <c r="T1184" s="28"/>
      <c r="U1184" s="28"/>
      <c r="V1184" s="22"/>
      <c r="W1184" s="22"/>
      <c r="X1184" s="22"/>
      <c r="Y1184" s="22"/>
      <c r="Z1184" s="22"/>
      <c r="AA1184" s="22"/>
      <c r="AB1184" s="22"/>
      <c r="AC1184" s="22"/>
      <c r="AD1184" s="22"/>
    </row>
    <row r="1185" spans="1:30" ht="15.75" customHeight="1" x14ac:dyDescent="0.15">
      <c r="A1185" s="22"/>
      <c r="B1185" s="22"/>
      <c r="C1185" s="22"/>
      <c r="D1185" s="22"/>
      <c r="E1185" s="22"/>
      <c r="F1185" s="28"/>
      <c r="G1185" s="28"/>
      <c r="H1185" s="28"/>
      <c r="I1185" s="28"/>
      <c r="J1185" s="28"/>
      <c r="K1185" s="28"/>
      <c r="L1185" s="28"/>
      <c r="M1185" s="22"/>
      <c r="N1185" s="22"/>
      <c r="O1185" s="22"/>
      <c r="P1185" s="22"/>
      <c r="Q1185" s="22"/>
      <c r="R1185" s="28"/>
      <c r="S1185" s="28"/>
      <c r="T1185" s="28"/>
      <c r="U1185" s="28"/>
      <c r="V1185" s="22"/>
      <c r="W1185" s="22"/>
      <c r="X1185" s="22"/>
      <c r="Y1185" s="22"/>
      <c r="Z1185" s="22"/>
      <c r="AA1185" s="22"/>
      <c r="AB1185" s="22"/>
      <c r="AC1185" s="22"/>
      <c r="AD1185" s="22"/>
    </row>
    <row r="1186" spans="1:30" ht="15.75" customHeight="1" x14ac:dyDescent="0.15">
      <c r="A1186" s="22"/>
      <c r="B1186" s="22"/>
      <c r="C1186" s="22"/>
      <c r="D1186" s="22"/>
      <c r="E1186" s="22"/>
      <c r="F1186" s="28"/>
      <c r="G1186" s="28"/>
      <c r="H1186" s="28"/>
      <c r="I1186" s="28"/>
      <c r="J1186" s="28"/>
      <c r="K1186" s="28"/>
      <c r="L1186" s="28"/>
      <c r="M1186" s="22"/>
      <c r="N1186" s="22"/>
      <c r="O1186" s="22"/>
      <c r="P1186" s="22"/>
      <c r="Q1186" s="22"/>
      <c r="R1186" s="28"/>
      <c r="S1186" s="28"/>
      <c r="T1186" s="28"/>
      <c r="U1186" s="28"/>
      <c r="V1186" s="22"/>
      <c r="W1186" s="22"/>
      <c r="X1186" s="22"/>
      <c r="Y1186" s="22"/>
      <c r="Z1186" s="22"/>
      <c r="AA1186" s="22"/>
      <c r="AB1186" s="22"/>
      <c r="AC1186" s="22"/>
      <c r="AD1186" s="22"/>
    </row>
    <row r="1187" spans="1:30" ht="15.75" customHeight="1" x14ac:dyDescent="0.15">
      <c r="A1187" s="22"/>
      <c r="B1187" s="22"/>
      <c r="C1187" s="22"/>
      <c r="D1187" s="22"/>
      <c r="E1187" s="22"/>
      <c r="F1187" s="28"/>
      <c r="G1187" s="28"/>
      <c r="H1187" s="28"/>
      <c r="I1187" s="28"/>
      <c r="J1187" s="28"/>
      <c r="K1187" s="28"/>
      <c r="L1187" s="28"/>
      <c r="M1187" s="22"/>
      <c r="N1187" s="22"/>
      <c r="O1187" s="22"/>
      <c r="P1187" s="22"/>
      <c r="Q1187" s="22"/>
      <c r="R1187" s="28"/>
      <c r="S1187" s="28"/>
      <c r="T1187" s="28"/>
      <c r="U1187" s="28"/>
      <c r="V1187" s="22"/>
      <c r="W1187" s="22"/>
      <c r="X1187" s="22"/>
      <c r="Y1187" s="22"/>
      <c r="Z1187" s="22"/>
      <c r="AA1187" s="22"/>
      <c r="AB1187" s="22"/>
      <c r="AC1187" s="22"/>
      <c r="AD1187" s="22"/>
    </row>
    <row r="1188" spans="1:30" ht="15.75" customHeight="1" x14ac:dyDescent="0.15">
      <c r="A1188" s="22"/>
      <c r="B1188" s="22"/>
      <c r="C1188" s="22"/>
      <c r="D1188" s="22"/>
      <c r="E1188" s="22"/>
      <c r="F1188" s="28"/>
      <c r="G1188" s="28"/>
      <c r="H1188" s="28"/>
      <c r="I1188" s="28"/>
      <c r="J1188" s="28"/>
      <c r="K1188" s="28"/>
      <c r="L1188" s="28"/>
      <c r="M1188" s="22"/>
      <c r="N1188" s="22"/>
      <c r="O1188" s="22"/>
      <c r="P1188" s="22"/>
      <c r="Q1188" s="22"/>
      <c r="R1188" s="28"/>
      <c r="S1188" s="28"/>
      <c r="T1188" s="28"/>
      <c r="U1188" s="28"/>
      <c r="V1188" s="22"/>
      <c r="W1188" s="22"/>
      <c r="X1188" s="22"/>
      <c r="Y1188" s="22"/>
      <c r="Z1188" s="22"/>
      <c r="AA1188" s="22"/>
      <c r="AB1188" s="22"/>
      <c r="AC1188" s="22"/>
      <c r="AD1188" s="22"/>
    </row>
    <row r="1189" spans="1:30" ht="15.75" customHeight="1" x14ac:dyDescent="0.15">
      <c r="A1189" s="22"/>
      <c r="B1189" s="22"/>
      <c r="C1189" s="22"/>
      <c r="D1189" s="22"/>
      <c r="E1189" s="22"/>
      <c r="F1189" s="28"/>
      <c r="G1189" s="28"/>
      <c r="H1189" s="28"/>
      <c r="I1189" s="28"/>
      <c r="J1189" s="28"/>
      <c r="K1189" s="28"/>
      <c r="L1189" s="28"/>
      <c r="M1189" s="22"/>
      <c r="N1189" s="22"/>
      <c r="O1189" s="22"/>
      <c r="P1189" s="22"/>
      <c r="Q1189" s="22"/>
      <c r="R1189" s="28"/>
      <c r="S1189" s="28"/>
      <c r="T1189" s="28"/>
      <c r="U1189" s="28"/>
      <c r="V1189" s="22"/>
      <c r="W1189" s="22"/>
      <c r="X1189" s="22"/>
      <c r="Y1189" s="22"/>
      <c r="Z1189" s="22"/>
      <c r="AA1189" s="22"/>
      <c r="AB1189" s="22"/>
      <c r="AC1189" s="22"/>
      <c r="AD1189" s="22"/>
    </row>
    <row r="1190" spans="1:30" ht="15.75" customHeight="1" x14ac:dyDescent="0.15">
      <c r="A1190" s="22"/>
      <c r="B1190" s="22"/>
      <c r="C1190" s="22"/>
      <c r="D1190" s="22"/>
      <c r="E1190" s="22"/>
      <c r="F1190" s="28"/>
      <c r="G1190" s="28"/>
      <c r="H1190" s="28"/>
      <c r="I1190" s="28"/>
      <c r="J1190" s="28"/>
      <c r="K1190" s="28"/>
      <c r="L1190" s="28"/>
      <c r="M1190" s="22"/>
      <c r="N1190" s="22"/>
      <c r="O1190" s="22"/>
      <c r="P1190" s="22"/>
      <c r="Q1190" s="22"/>
      <c r="R1190" s="28"/>
      <c r="S1190" s="28"/>
      <c r="T1190" s="28"/>
      <c r="U1190" s="28"/>
      <c r="V1190" s="22"/>
      <c r="W1190" s="22"/>
      <c r="X1190" s="22"/>
      <c r="Y1190" s="22"/>
      <c r="Z1190" s="22"/>
      <c r="AA1190" s="22"/>
      <c r="AB1190" s="22"/>
      <c r="AC1190" s="22"/>
      <c r="AD1190" s="22"/>
    </row>
    <row r="1191" spans="1:30" ht="15.75" customHeight="1" x14ac:dyDescent="0.15">
      <c r="A1191" s="22"/>
      <c r="B1191" s="22"/>
      <c r="C1191" s="22"/>
      <c r="D1191" s="22"/>
      <c r="E1191" s="22"/>
      <c r="F1191" s="28"/>
      <c r="G1191" s="28"/>
      <c r="H1191" s="28"/>
      <c r="I1191" s="28"/>
      <c r="J1191" s="28"/>
      <c r="K1191" s="28"/>
      <c r="L1191" s="28"/>
      <c r="M1191" s="22"/>
      <c r="N1191" s="22"/>
      <c r="O1191" s="22"/>
      <c r="P1191" s="22"/>
      <c r="Q1191" s="22"/>
      <c r="R1191" s="28"/>
      <c r="S1191" s="28"/>
      <c r="T1191" s="28"/>
      <c r="U1191" s="28"/>
      <c r="V1191" s="22"/>
      <c r="W1191" s="22"/>
      <c r="X1191" s="22"/>
      <c r="Y1191" s="22"/>
      <c r="Z1191" s="22"/>
      <c r="AA1191" s="22"/>
      <c r="AB1191" s="22"/>
      <c r="AC1191" s="22"/>
      <c r="AD1191" s="22"/>
    </row>
    <row r="1192" spans="1:30" ht="15.75" customHeight="1" x14ac:dyDescent="0.15">
      <c r="A1192" s="22"/>
      <c r="B1192" s="22"/>
      <c r="C1192" s="22"/>
      <c r="D1192" s="22"/>
      <c r="E1192" s="22"/>
      <c r="F1192" s="28"/>
      <c r="G1192" s="28"/>
      <c r="H1192" s="28"/>
      <c r="I1192" s="28"/>
      <c r="J1192" s="28"/>
      <c r="K1192" s="28"/>
      <c r="L1192" s="28"/>
      <c r="M1192" s="22"/>
      <c r="N1192" s="22"/>
      <c r="O1192" s="22"/>
      <c r="P1192" s="22"/>
      <c r="Q1192" s="22"/>
      <c r="R1192" s="28"/>
      <c r="S1192" s="28"/>
      <c r="T1192" s="28"/>
      <c r="U1192" s="28"/>
      <c r="V1192" s="22"/>
      <c r="W1192" s="22"/>
      <c r="X1192" s="22"/>
      <c r="Y1192" s="22"/>
      <c r="Z1192" s="22"/>
      <c r="AA1192" s="22"/>
      <c r="AB1192" s="22"/>
      <c r="AC1192" s="22"/>
      <c r="AD1192" s="22"/>
    </row>
    <row r="1193" spans="1:30" ht="15.75" customHeight="1" x14ac:dyDescent="0.15">
      <c r="A1193" s="22"/>
      <c r="B1193" s="22"/>
      <c r="C1193" s="22"/>
      <c r="D1193" s="22"/>
      <c r="E1193" s="22"/>
      <c r="F1193" s="28"/>
      <c r="G1193" s="28"/>
      <c r="H1193" s="28"/>
      <c r="I1193" s="28"/>
      <c r="J1193" s="28"/>
      <c r="K1193" s="28"/>
      <c r="L1193" s="28"/>
      <c r="M1193" s="22"/>
      <c r="N1193" s="22"/>
      <c r="O1193" s="22"/>
      <c r="P1193" s="22"/>
      <c r="Q1193" s="22"/>
      <c r="R1193" s="28"/>
      <c r="S1193" s="28"/>
      <c r="T1193" s="28"/>
      <c r="U1193" s="28"/>
      <c r="V1193" s="22"/>
      <c r="W1193" s="22"/>
      <c r="X1193" s="22"/>
      <c r="Y1193" s="22"/>
      <c r="Z1193" s="22"/>
      <c r="AA1193" s="22"/>
      <c r="AB1193" s="22"/>
      <c r="AC1193" s="22"/>
      <c r="AD1193" s="22"/>
    </row>
    <row r="1194" spans="1:30" ht="15.75" customHeight="1" x14ac:dyDescent="0.15">
      <c r="A1194" s="22"/>
      <c r="B1194" s="22"/>
      <c r="C1194" s="22"/>
      <c r="D1194" s="22"/>
      <c r="E1194" s="22"/>
      <c r="F1194" s="28"/>
      <c r="G1194" s="28"/>
      <c r="H1194" s="28"/>
      <c r="I1194" s="28"/>
      <c r="J1194" s="28"/>
      <c r="K1194" s="28"/>
      <c r="L1194" s="28"/>
      <c r="M1194" s="22"/>
      <c r="N1194" s="22"/>
      <c r="O1194" s="22"/>
      <c r="P1194" s="22"/>
      <c r="Q1194" s="22"/>
      <c r="R1194" s="28"/>
      <c r="S1194" s="28"/>
      <c r="T1194" s="28"/>
      <c r="U1194" s="28"/>
      <c r="V1194" s="22"/>
      <c r="W1194" s="22"/>
      <c r="X1194" s="22"/>
      <c r="Y1194" s="22"/>
      <c r="Z1194" s="22"/>
      <c r="AA1194" s="22"/>
      <c r="AB1194" s="22"/>
      <c r="AC1194" s="22"/>
      <c r="AD1194" s="22"/>
    </row>
    <row r="1195" spans="1:30" ht="15.75" customHeight="1" x14ac:dyDescent="0.15">
      <c r="A1195" s="22"/>
      <c r="B1195" s="22"/>
      <c r="C1195" s="22"/>
      <c r="D1195" s="22"/>
      <c r="E1195" s="22"/>
      <c r="F1195" s="28"/>
      <c r="G1195" s="28"/>
      <c r="H1195" s="28"/>
      <c r="I1195" s="28"/>
      <c r="J1195" s="28"/>
      <c r="K1195" s="28"/>
      <c r="L1195" s="28"/>
      <c r="M1195" s="22"/>
      <c r="N1195" s="22"/>
      <c r="O1195" s="22"/>
      <c r="P1195" s="22"/>
      <c r="Q1195" s="22"/>
      <c r="R1195" s="28"/>
      <c r="S1195" s="28"/>
      <c r="T1195" s="28"/>
      <c r="U1195" s="28"/>
      <c r="V1195" s="22"/>
      <c r="W1195" s="22"/>
      <c r="X1195" s="22"/>
      <c r="Y1195" s="22"/>
      <c r="Z1195" s="22"/>
      <c r="AA1195" s="22"/>
      <c r="AB1195" s="22"/>
      <c r="AC1195" s="22"/>
      <c r="AD1195" s="22"/>
    </row>
    <row r="1196" spans="1:30" ht="15.75" customHeight="1" x14ac:dyDescent="0.15">
      <c r="A1196" s="22"/>
      <c r="B1196" s="22"/>
      <c r="C1196" s="22"/>
      <c r="D1196" s="22"/>
      <c r="E1196" s="22"/>
      <c r="F1196" s="28"/>
      <c r="G1196" s="28"/>
      <c r="H1196" s="28"/>
      <c r="I1196" s="28"/>
      <c r="J1196" s="28"/>
      <c r="K1196" s="28"/>
      <c r="L1196" s="28"/>
      <c r="M1196" s="22"/>
      <c r="N1196" s="22"/>
      <c r="O1196" s="22"/>
      <c r="P1196" s="22"/>
      <c r="Q1196" s="22"/>
      <c r="R1196" s="28"/>
      <c r="S1196" s="28"/>
      <c r="T1196" s="28"/>
      <c r="U1196" s="28"/>
      <c r="V1196" s="22"/>
      <c r="W1196" s="22"/>
      <c r="X1196" s="22"/>
      <c r="Y1196" s="22"/>
      <c r="Z1196" s="22"/>
      <c r="AA1196" s="22"/>
      <c r="AB1196" s="22"/>
      <c r="AC1196" s="22"/>
      <c r="AD1196" s="22"/>
    </row>
    <row r="1197" spans="1:30" ht="15.75" customHeight="1" x14ac:dyDescent="0.15">
      <c r="A1197" s="22"/>
      <c r="B1197" s="22"/>
      <c r="C1197" s="22"/>
      <c r="D1197" s="22"/>
      <c r="E1197" s="22"/>
      <c r="F1197" s="28"/>
      <c r="G1197" s="28"/>
      <c r="H1197" s="28"/>
      <c r="I1197" s="28"/>
      <c r="J1197" s="28"/>
      <c r="K1197" s="28"/>
      <c r="L1197" s="28"/>
      <c r="M1197" s="22"/>
      <c r="N1197" s="22"/>
      <c r="O1197" s="22"/>
      <c r="P1197" s="22"/>
      <c r="Q1197" s="22"/>
      <c r="R1197" s="28"/>
      <c r="S1197" s="28"/>
      <c r="T1197" s="28"/>
      <c r="U1197" s="28"/>
      <c r="V1197" s="22"/>
      <c r="W1197" s="22"/>
      <c r="X1197" s="22"/>
      <c r="Y1197" s="22"/>
      <c r="Z1197" s="22"/>
      <c r="AA1197" s="22"/>
      <c r="AB1197" s="22"/>
      <c r="AC1197" s="22"/>
      <c r="AD1197" s="22"/>
    </row>
    <row r="1198" spans="1:30" ht="15.75" customHeight="1" x14ac:dyDescent="0.15">
      <c r="A1198" s="22"/>
      <c r="B1198" s="22"/>
      <c r="C1198" s="22"/>
      <c r="D1198" s="22"/>
      <c r="E1198" s="22"/>
      <c r="F1198" s="28"/>
      <c r="G1198" s="28"/>
      <c r="H1198" s="28"/>
      <c r="I1198" s="28"/>
      <c r="J1198" s="28"/>
      <c r="K1198" s="28"/>
      <c r="L1198" s="28"/>
      <c r="M1198" s="22"/>
      <c r="N1198" s="22"/>
      <c r="O1198" s="22"/>
      <c r="P1198" s="22"/>
      <c r="Q1198" s="22"/>
      <c r="R1198" s="28"/>
      <c r="S1198" s="28"/>
      <c r="T1198" s="28"/>
      <c r="U1198" s="28"/>
      <c r="V1198" s="22"/>
      <c r="W1198" s="22"/>
      <c r="X1198" s="22"/>
      <c r="Y1198" s="22"/>
      <c r="Z1198" s="22"/>
      <c r="AA1198" s="22"/>
      <c r="AB1198" s="22"/>
      <c r="AC1198" s="22"/>
      <c r="AD1198" s="22"/>
    </row>
    <row r="1199" spans="1:30" ht="15.75" customHeight="1" x14ac:dyDescent="0.15">
      <c r="A1199" s="22"/>
      <c r="B1199" s="22"/>
      <c r="C1199" s="22"/>
      <c r="D1199" s="22"/>
      <c r="E1199" s="22"/>
      <c r="F1199" s="28"/>
      <c r="G1199" s="28"/>
      <c r="H1199" s="28"/>
      <c r="I1199" s="28"/>
      <c r="J1199" s="28"/>
      <c r="K1199" s="28"/>
      <c r="L1199" s="28"/>
      <c r="M1199" s="22"/>
      <c r="N1199" s="22"/>
      <c r="O1199" s="22"/>
      <c r="P1199" s="22"/>
      <c r="Q1199" s="22"/>
      <c r="R1199" s="28"/>
      <c r="S1199" s="28"/>
      <c r="T1199" s="28"/>
      <c r="U1199" s="28"/>
      <c r="V1199" s="22"/>
      <c r="W1199" s="22"/>
      <c r="X1199" s="22"/>
      <c r="Y1199" s="22"/>
      <c r="Z1199" s="22"/>
      <c r="AA1199" s="22"/>
      <c r="AB1199" s="22"/>
      <c r="AC1199" s="22"/>
      <c r="AD1199" s="22"/>
    </row>
    <row r="1200" spans="1:30" ht="15.75" customHeight="1" x14ac:dyDescent="0.15">
      <c r="A1200" s="22"/>
      <c r="B1200" s="22"/>
      <c r="C1200" s="22"/>
      <c r="D1200" s="22"/>
      <c r="E1200" s="22"/>
      <c r="F1200" s="28"/>
      <c r="G1200" s="28"/>
      <c r="H1200" s="28"/>
      <c r="I1200" s="28"/>
      <c r="J1200" s="28"/>
      <c r="K1200" s="28"/>
      <c r="L1200" s="28"/>
      <c r="M1200" s="22"/>
      <c r="N1200" s="22"/>
      <c r="O1200" s="22"/>
      <c r="P1200" s="22"/>
      <c r="Q1200" s="22"/>
      <c r="R1200" s="28"/>
      <c r="S1200" s="28"/>
      <c r="T1200" s="28"/>
      <c r="U1200" s="28"/>
      <c r="V1200" s="22"/>
      <c r="W1200" s="22"/>
      <c r="X1200" s="22"/>
      <c r="Y1200" s="22"/>
      <c r="Z1200" s="22"/>
      <c r="AA1200" s="22"/>
      <c r="AB1200" s="22"/>
      <c r="AC1200" s="22"/>
      <c r="AD1200" s="22"/>
    </row>
    <row r="1201" spans="1:30" ht="15.75" customHeight="1" x14ac:dyDescent="0.15">
      <c r="A1201" s="22"/>
      <c r="B1201" s="22"/>
      <c r="C1201" s="22"/>
      <c r="D1201" s="22"/>
      <c r="E1201" s="22"/>
      <c r="F1201" s="28"/>
      <c r="G1201" s="28"/>
      <c r="H1201" s="28"/>
      <c r="I1201" s="28"/>
      <c r="J1201" s="28"/>
      <c r="K1201" s="28"/>
      <c r="L1201" s="28"/>
      <c r="M1201" s="22"/>
      <c r="N1201" s="22"/>
      <c r="O1201" s="22"/>
      <c r="P1201" s="22"/>
      <c r="Q1201" s="22"/>
      <c r="R1201" s="28"/>
      <c r="S1201" s="28"/>
      <c r="T1201" s="28"/>
      <c r="U1201" s="28"/>
      <c r="V1201" s="22"/>
      <c r="W1201" s="22"/>
      <c r="X1201" s="22"/>
      <c r="Y1201" s="22"/>
      <c r="Z1201" s="22"/>
      <c r="AA1201" s="22"/>
      <c r="AB1201" s="22"/>
      <c r="AC1201" s="22"/>
      <c r="AD1201" s="22"/>
    </row>
    <row r="1202" spans="1:30" ht="15.75" customHeight="1" x14ac:dyDescent="0.15">
      <c r="A1202" s="22"/>
      <c r="B1202" s="22"/>
      <c r="C1202" s="22"/>
      <c r="D1202" s="22"/>
      <c r="E1202" s="22"/>
      <c r="F1202" s="28"/>
      <c r="G1202" s="28"/>
      <c r="H1202" s="28"/>
      <c r="I1202" s="28"/>
      <c r="J1202" s="28"/>
      <c r="K1202" s="28"/>
      <c r="L1202" s="28"/>
      <c r="M1202" s="22"/>
      <c r="N1202" s="22"/>
      <c r="O1202" s="22"/>
      <c r="P1202" s="22"/>
      <c r="Q1202" s="22"/>
      <c r="R1202" s="28"/>
      <c r="S1202" s="28"/>
      <c r="T1202" s="28"/>
      <c r="U1202" s="28"/>
      <c r="V1202" s="22"/>
      <c r="W1202" s="22"/>
      <c r="X1202" s="22"/>
      <c r="Y1202" s="22"/>
      <c r="Z1202" s="22"/>
      <c r="AA1202" s="22"/>
      <c r="AB1202" s="22"/>
      <c r="AC1202" s="22"/>
      <c r="AD1202" s="22"/>
    </row>
    <row r="1203" spans="1:30" ht="15.75" customHeight="1" x14ac:dyDescent="0.15">
      <c r="A1203" s="22"/>
      <c r="B1203" s="22"/>
      <c r="C1203" s="22"/>
      <c r="D1203" s="22"/>
      <c r="E1203" s="22"/>
      <c r="F1203" s="28"/>
      <c r="G1203" s="28"/>
      <c r="H1203" s="28"/>
      <c r="I1203" s="28"/>
      <c r="J1203" s="28"/>
      <c r="K1203" s="28"/>
      <c r="L1203" s="28"/>
      <c r="M1203" s="22"/>
      <c r="N1203" s="22"/>
      <c r="O1203" s="22"/>
      <c r="P1203" s="22"/>
      <c r="Q1203" s="22"/>
      <c r="R1203" s="28"/>
      <c r="S1203" s="28"/>
      <c r="T1203" s="28"/>
      <c r="U1203" s="28"/>
      <c r="V1203" s="22"/>
      <c r="W1203" s="22"/>
      <c r="X1203" s="22"/>
      <c r="Y1203" s="22"/>
      <c r="Z1203" s="22"/>
      <c r="AA1203" s="22"/>
      <c r="AB1203" s="22"/>
      <c r="AC1203" s="22"/>
      <c r="AD1203" s="22"/>
    </row>
    <row r="1204" spans="1:30" ht="15.75" customHeight="1" x14ac:dyDescent="0.15">
      <c r="A1204" s="22"/>
      <c r="B1204" s="22"/>
      <c r="C1204" s="22"/>
      <c r="D1204" s="22"/>
      <c r="E1204" s="22"/>
      <c r="F1204" s="28"/>
      <c r="G1204" s="28"/>
      <c r="H1204" s="28"/>
      <c r="I1204" s="28"/>
      <c r="J1204" s="28"/>
      <c r="K1204" s="28"/>
      <c r="L1204" s="28"/>
      <c r="M1204" s="22"/>
      <c r="N1204" s="22"/>
      <c r="O1204" s="22"/>
      <c r="P1204" s="22"/>
      <c r="Q1204" s="22"/>
      <c r="R1204" s="28"/>
      <c r="S1204" s="28"/>
      <c r="T1204" s="28"/>
      <c r="U1204" s="28"/>
      <c r="V1204" s="22"/>
      <c r="W1204" s="22"/>
      <c r="X1204" s="22"/>
      <c r="Y1204" s="22"/>
      <c r="Z1204" s="22"/>
      <c r="AA1204" s="22"/>
      <c r="AB1204" s="22"/>
      <c r="AC1204" s="22"/>
      <c r="AD1204" s="22"/>
    </row>
    <row r="1205" spans="1:30" ht="15.75" customHeight="1" x14ac:dyDescent="0.15">
      <c r="A1205" s="22"/>
      <c r="B1205" s="22"/>
      <c r="C1205" s="22"/>
      <c r="D1205" s="22"/>
      <c r="E1205" s="22"/>
      <c r="F1205" s="28"/>
      <c r="G1205" s="28"/>
      <c r="H1205" s="28"/>
      <c r="I1205" s="28"/>
      <c r="J1205" s="28"/>
      <c r="K1205" s="28"/>
      <c r="L1205" s="28"/>
      <c r="M1205" s="22"/>
      <c r="N1205" s="22"/>
      <c r="O1205" s="22"/>
      <c r="P1205" s="22"/>
      <c r="Q1205" s="22"/>
      <c r="R1205" s="28"/>
      <c r="S1205" s="28"/>
      <c r="T1205" s="28"/>
      <c r="U1205" s="28"/>
      <c r="V1205" s="22"/>
      <c r="W1205" s="22"/>
      <c r="X1205" s="22"/>
      <c r="Y1205" s="22"/>
      <c r="Z1205" s="22"/>
      <c r="AA1205" s="22"/>
      <c r="AB1205" s="22"/>
      <c r="AC1205" s="22"/>
      <c r="AD1205" s="22"/>
    </row>
    <row r="1206" spans="1:30" ht="15.75" customHeight="1" x14ac:dyDescent="0.15">
      <c r="A1206" s="22"/>
      <c r="B1206" s="22"/>
      <c r="C1206" s="22"/>
      <c r="D1206" s="22"/>
      <c r="E1206" s="22"/>
      <c r="F1206" s="28"/>
      <c r="G1206" s="28"/>
      <c r="H1206" s="28"/>
      <c r="I1206" s="28"/>
      <c r="J1206" s="28"/>
      <c r="K1206" s="28"/>
      <c r="L1206" s="28"/>
      <c r="M1206" s="22"/>
      <c r="N1206" s="22"/>
      <c r="O1206" s="22"/>
      <c r="P1206" s="22"/>
      <c r="Q1206" s="22"/>
      <c r="R1206" s="28"/>
      <c r="S1206" s="28"/>
      <c r="T1206" s="28"/>
      <c r="U1206" s="28"/>
      <c r="V1206" s="22"/>
      <c r="W1206" s="22"/>
      <c r="X1206" s="22"/>
      <c r="Y1206" s="22"/>
      <c r="Z1206" s="22"/>
      <c r="AA1206" s="22"/>
      <c r="AB1206" s="22"/>
      <c r="AC1206" s="22"/>
      <c r="AD1206" s="22"/>
    </row>
    <row r="1207" spans="1:30" ht="15.75" customHeight="1" x14ac:dyDescent="0.15">
      <c r="A1207" s="22"/>
      <c r="B1207" s="22"/>
      <c r="C1207" s="22"/>
      <c r="D1207" s="22"/>
      <c r="E1207" s="22"/>
      <c r="F1207" s="28"/>
      <c r="G1207" s="28"/>
      <c r="H1207" s="28"/>
      <c r="I1207" s="28"/>
      <c r="J1207" s="28"/>
      <c r="K1207" s="28"/>
      <c r="L1207" s="28"/>
      <c r="M1207" s="22"/>
      <c r="N1207" s="22"/>
      <c r="O1207" s="22"/>
      <c r="P1207" s="22"/>
      <c r="Q1207" s="22"/>
      <c r="R1207" s="28"/>
      <c r="S1207" s="28"/>
      <c r="T1207" s="28"/>
      <c r="U1207" s="28"/>
      <c r="V1207" s="22"/>
      <c r="W1207" s="22"/>
      <c r="X1207" s="22"/>
      <c r="Y1207" s="22"/>
      <c r="Z1207" s="22"/>
      <c r="AA1207" s="22"/>
      <c r="AB1207" s="22"/>
      <c r="AC1207" s="22"/>
      <c r="AD1207" s="22"/>
    </row>
    <row r="1208" spans="1:30" ht="15.75" customHeight="1" x14ac:dyDescent="0.15">
      <c r="A1208" s="22"/>
      <c r="B1208" s="22"/>
      <c r="C1208" s="22"/>
      <c r="D1208" s="22"/>
      <c r="E1208" s="22"/>
      <c r="F1208" s="28"/>
      <c r="G1208" s="28"/>
      <c r="H1208" s="28"/>
      <c r="I1208" s="28"/>
      <c r="J1208" s="28"/>
      <c r="K1208" s="28"/>
      <c r="L1208" s="28"/>
      <c r="M1208" s="22"/>
      <c r="N1208" s="22"/>
      <c r="O1208" s="22"/>
      <c r="P1208" s="22"/>
      <c r="Q1208" s="22"/>
      <c r="R1208" s="28"/>
      <c r="S1208" s="28"/>
      <c r="T1208" s="28"/>
      <c r="U1208" s="28"/>
      <c r="V1208" s="22"/>
      <c r="W1208" s="22"/>
      <c r="X1208" s="22"/>
      <c r="Y1208" s="22"/>
      <c r="Z1208" s="22"/>
      <c r="AA1208" s="22"/>
      <c r="AB1208" s="22"/>
      <c r="AC1208" s="22"/>
      <c r="AD1208" s="22"/>
    </row>
    <row r="1209" spans="1:30" ht="15.75" customHeight="1" x14ac:dyDescent="0.15">
      <c r="A1209" s="22"/>
      <c r="B1209" s="22"/>
      <c r="C1209" s="22"/>
      <c r="D1209" s="22"/>
      <c r="E1209" s="22"/>
      <c r="F1209" s="28"/>
      <c r="G1209" s="28"/>
      <c r="H1209" s="28"/>
      <c r="I1209" s="28"/>
      <c r="J1209" s="28"/>
      <c r="K1209" s="28"/>
      <c r="L1209" s="28"/>
      <c r="M1209" s="22"/>
      <c r="N1209" s="22"/>
      <c r="O1209" s="22"/>
      <c r="P1209" s="22"/>
      <c r="Q1209" s="22"/>
      <c r="R1209" s="28"/>
      <c r="S1209" s="28"/>
      <c r="T1209" s="28"/>
      <c r="U1209" s="28"/>
      <c r="V1209" s="22"/>
      <c r="W1209" s="22"/>
      <c r="X1209" s="22"/>
      <c r="Y1209" s="22"/>
      <c r="Z1209" s="22"/>
      <c r="AA1209" s="22"/>
      <c r="AB1209" s="22"/>
      <c r="AC1209" s="22"/>
      <c r="AD1209" s="22"/>
    </row>
    <row r="1210" spans="1:30" ht="15.75" customHeight="1" x14ac:dyDescent="0.15">
      <c r="A1210" s="22"/>
      <c r="B1210" s="22"/>
      <c r="C1210" s="22"/>
      <c r="D1210" s="22"/>
      <c r="E1210" s="22"/>
      <c r="F1210" s="28"/>
      <c r="G1210" s="28"/>
      <c r="H1210" s="28"/>
      <c r="I1210" s="28"/>
      <c r="J1210" s="28"/>
      <c r="K1210" s="28"/>
      <c r="L1210" s="28"/>
      <c r="M1210" s="22"/>
      <c r="N1210" s="22"/>
      <c r="O1210" s="22"/>
      <c r="P1210" s="22"/>
      <c r="Q1210" s="22"/>
      <c r="R1210" s="28"/>
      <c r="S1210" s="28"/>
      <c r="T1210" s="28"/>
      <c r="U1210" s="28"/>
      <c r="V1210" s="22"/>
      <c r="W1210" s="22"/>
      <c r="X1210" s="22"/>
      <c r="Y1210" s="22"/>
      <c r="Z1210" s="22"/>
      <c r="AA1210" s="22"/>
      <c r="AB1210" s="22"/>
      <c r="AC1210" s="22"/>
      <c r="AD1210" s="22"/>
    </row>
    <row r="1211" spans="1:30" ht="15.75" customHeight="1" x14ac:dyDescent="0.15">
      <c r="A1211" s="22"/>
      <c r="B1211" s="22"/>
      <c r="C1211" s="22"/>
      <c r="D1211" s="22"/>
      <c r="E1211" s="22"/>
      <c r="F1211" s="28"/>
      <c r="G1211" s="28"/>
      <c r="H1211" s="28"/>
      <c r="I1211" s="28"/>
      <c r="J1211" s="28"/>
      <c r="K1211" s="28"/>
      <c r="L1211" s="28"/>
      <c r="M1211" s="22"/>
      <c r="N1211" s="22"/>
      <c r="O1211" s="22"/>
      <c r="P1211" s="22"/>
      <c r="Q1211" s="22"/>
      <c r="R1211" s="28"/>
      <c r="S1211" s="28"/>
      <c r="T1211" s="28"/>
      <c r="U1211" s="28"/>
      <c r="V1211" s="22"/>
      <c r="W1211" s="22"/>
      <c r="X1211" s="22"/>
      <c r="Y1211" s="22"/>
      <c r="Z1211" s="22"/>
      <c r="AA1211" s="22"/>
      <c r="AB1211" s="22"/>
      <c r="AC1211" s="22"/>
      <c r="AD1211" s="22"/>
    </row>
    <row r="1212" spans="1:30" ht="15.75" customHeight="1" x14ac:dyDescent="0.15">
      <c r="A1212" s="22"/>
      <c r="B1212" s="22"/>
      <c r="C1212" s="22"/>
      <c r="D1212" s="22"/>
      <c r="E1212" s="22"/>
      <c r="F1212" s="28"/>
      <c r="G1212" s="28"/>
      <c r="H1212" s="28"/>
      <c r="I1212" s="28"/>
      <c r="J1212" s="28"/>
      <c r="K1212" s="28"/>
      <c r="L1212" s="28"/>
      <c r="M1212" s="22"/>
      <c r="N1212" s="22"/>
      <c r="O1212" s="22"/>
      <c r="P1212" s="22"/>
      <c r="Q1212" s="22"/>
      <c r="R1212" s="28"/>
      <c r="S1212" s="28"/>
      <c r="T1212" s="28"/>
      <c r="U1212" s="28"/>
      <c r="V1212" s="22"/>
      <c r="W1212" s="22"/>
      <c r="X1212" s="22"/>
      <c r="Y1212" s="22"/>
      <c r="Z1212" s="22"/>
      <c r="AA1212" s="22"/>
      <c r="AB1212" s="22"/>
      <c r="AC1212" s="22"/>
      <c r="AD1212" s="22"/>
    </row>
    <row r="1213" spans="1:30" ht="15.75" customHeight="1" x14ac:dyDescent="0.15">
      <c r="A1213" s="22"/>
      <c r="B1213" s="22"/>
      <c r="C1213" s="22"/>
      <c r="D1213" s="22"/>
      <c r="E1213" s="22"/>
      <c r="F1213" s="28"/>
      <c r="G1213" s="28"/>
      <c r="H1213" s="28"/>
      <c r="I1213" s="28"/>
      <c r="J1213" s="28"/>
      <c r="K1213" s="28"/>
      <c r="L1213" s="28"/>
      <c r="M1213" s="22"/>
      <c r="N1213" s="22"/>
      <c r="O1213" s="22"/>
      <c r="P1213" s="22"/>
      <c r="Q1213" s="22"/>
      <c r="R1213" s="28"/>
      <c r="S1213" s="28"/>
      <c r="T1213" s="28"/>
      <c r="U1213" s="28"/>
      <c r="V1213" s="22"/>
      <c r="W1213" s="22"/>
      <c r="X1213" s="22"/>
      <c r="Y1213" s="22"/>
      <c r="Z1213" s="22"/>
      <c r="AA1213" s="22"/>
      <c r="AB1213" s="22"/>
      <c r="AC1213" s="22"/>
      <c r="AD1213" s="22"/>
    </row>
    <row r="1214" spans="1:30" ht="15.75" customHeight="1" x14ac:dyDescent="0.15">
      <c r="A1214" s="22"/>
      <c r="B1214" s="22"/>
      <c r="C1214" s="22"/>
      <c r="D1214" s="22"/>
      <c r="E1214" s="22"/>
      <c r="F1214" s="28"/>
      <c r="G1214" s="28"/>
      <c r="H1214" s="28"/>
      <c r="I1214" s="28"/>
      <c r="J1214" s="28"/>
      <c r="K1214" s="28"/>
      <c r="L1214" s="28"/>
      <c r="M1214" s="22"/>
      <c r="N1214" s="22"/>
      <c r="O1214" s="22"/>
      <c r="P1214" s="22"/>
      <c r="Q1214" s="22"/>
      <c r="R1214" s="28"/>
      <c r="S1214" s="28"/>
      <c r="T1214" s="28"/>
      <c r="U1214" s="28"/>
      <c r="V1214" s="22"/>
      <c r="W1214" s="22"/>
      <c r="X1214" s="22"/>
      <c r="Y1214" s="22"/>
      <c r="Z1214" s="22"/>
      <c r="AA1214" s="22"/>
      <c r="AB1214" s="22"/>
      <c r="AC1214" s="22"/>
      <c r="AD1214" s="22"/>
    </row>
    <row r="1215" spans="1:30" ht="15.75" customHeight="1" x14ac:dyDescent="0.15">
      <c r="A1215" s="22"/>
      <c r="B1215" s="22"/>
      <c r="C1215" s="22"/>
      <c r="D1215" s="22"/>
      <c r="E1215" s="22"/>
      <c r="F1215" s="28"/>
      <c r="G1215" s="28"/>
      <c r="H1215" s="28"/>
      <c r="I1215" s="28"/>
      <c r="J1215" s="28"/>
      <c r="K1215" s="28"/>
      <c r="L1215" s="28"/>
      <c r="M1215" s="22"/>
      <c r="N1215" s="22"/>
      <c r="O1215" s="22"/>
      <c r="P1215" s="22"/>
      <c r="Q1215" s="22"/>
      <c r="R1215" s="28"/>
      <c r="S1215" s="28"/>
      <c r="T1215" s="28"/>
      <c r="U1215" s="28"/>
      <c r="V1215" s="22"/>
      <c r="W1215" s="22"/>
      <c r="X1215" s="22"/>
      <c r="Y1215" s="22"/>
      <c r="Z1215" s="22"/>
      <c r="AA1215" s="22"/>
      <c r="AB1215" s="22"/>
      <c r="AC1215" s="22"/>
      <c r="AD1215" s="22"/>
    </row>
    <row r="1216" spans="1:30" ht="15.75" customHeight="1" x14ac:dyDescent="0.15">
      <c r="A1216" s="22"/>
      <c r="B1216" s="22"/>
      <c r="C1216" s="22"/>
      <c r="D1216" s="22"/>
      <c r="E1216" s="22"/>
      <c r="F1216" s="28"/>
      <c r="G1216" s="28"/>
      <c r="H1216" s="28"/>
      <c r="I1216" s="28"/>
      <c r="J1216" s="28"/>
      <c r="K1216" s="28"/>
      <c r="L1216" s="28"/>
      <c r="M1216" s="22"/>
      <c r="N1216" s="22"/>
      <c r="O1216" s="22"/>
      <c r="P1216" s="22"/>
      <c r="Q1216" s="22"/>
      <c r="R1216" s="28"/>
      <c r="S1216" s="28"/>
      <c r="T1216" s="28"/>
      <c r="U1216" s="28"/>
      <c r="V1216" s="22"/>
      <c r="W1216" s="22"/>
      <c r="X1216" s="22"/>
      <c r="Y1216" s="22"/>
      <c r="Z1216" s="22"/>
      <c r="AA1216" s="22"/>
      <c r="AB1216" s="22"/>
      <c r="AC1216" s="22"/>
      <c r="AD1216" s="22"/>
    </row>
    <row r="1217" spans="1:30" ht="15.75" customHeight="1" x14ac:dyDescent="0.15">
      <c r="A1217" s="22"/>
      <c r="B1217" s="22"/>
      <c r="C1217" s="22"/>
      <c r="D1217" s="22"/>
      <c r="E1217" s="22"/>
      <c r="F1217" s="28"/>
      <c r="G1217" s="28"/>
      <c r="H1217" s="28"/>
      <c r="I1217" s="28"/>
      <c r="J1217" s="28"/>
      <c r="K1217" s="28"/>
      <c r="L1217" s="28"/>
      <c r="M1217" s="22"/>
      <c r="N1217" s="22"/>
      <c r="O1217" s="22"/>
      <c r="P1217" s="22"/>
      <c r="Q1217" s="22"/>
      <c r="R1217" s="28"/>
      <c r="S1217" s="28"/>
      <c r="T1217" s="28"/>
      <c r="U1217" s="28"/>
      <c r="V1217" s="22"/>
      <c r="W1217" s="22"/>
      <c r="X1217" s="22"/>
      <c r="Y1217" s="22"/>
      <c r="Z1217" s="22"/>
      <c r="AA1217" s="22"/>
      <c r="AB1217" s="22"/>
      <c r="AC1217" s="22"/>
      <c r="AD1217" s="22"/>
    </row>
    <row r="1218" spans="1:30" ht="15.75" customHeight="1" x14ac:dyDescent="0.15">
      <c r="A1218" s="22"/>
      <c r="B1218" s="22"/>
      <c r="C1218" s="22"/>
      <c r="D1218" s="22"/>
      <c r="E1218" s="22"/>
      <c r="F1218" s="28"/>
      <c r="G1218" s="28"/>
      <c r="H1218" s="28"/>
      <c r="I1218" s="28"/>
      <c r="J1218" s="28"/>
      <c r="K1218" s="28"/>
      <c r="L1218" s="28"/>
      <c r="M1218" s="22"/>
      <c r="N1218" s="22"/>
      <c r="O1218" s="22"/>
      <c r="P1218" s="22"/>
      <c r="Q1218" s="22"/>
      <c r="R1218" s="28"/>
      <c r="S1218" s="28"/>
      <c r="T1218" s="28"/>
      <c r="U1218" s="28"/>
      <c r="V1218" s="22"/>
      <c r="W1218" s="22"/>
      <c r="X1218" s="22"/>
      <c r="Y1218" s="22"/>
      <c r="Z1218" s="22"/>
      <c r="AA1218" s="22"/>
      <c r="AB1218" s="22"/>
      <c r="AC1218" s="22"/>
      <c r="AD1218" s="22"/>
    </row>
    <row r="1219" spans="1:30" ht="15.75" customHeight="1" x14ac:dyDescent="0.15">
      <c r="A1219" s="22"/>
      <c r="B1219" s="22"/>
      <c r="C1219" s="22"/>
      <c r="D1219" s="22"/>
      <c r="E1219" s="22"/>
      <c r="F1219" s="28"/>
      <c r="G1219" s="28"/>
      <c r="H1219" s="28"/>
      <c r="I1219" s="28"/>
      <c r="J1219" s="28"/>
      <c r="K1219" s="28"/>
      <c r="L1219" s="28"/>
      <c r="M1219" s="22"/>
      <c r="N1219" s="22"/>
      <c r="O1219" s="22"/>
      <c r="P1219" s="22"/>
      <c r="Q1219" s="22"/>
      <c r="R1219" s="28"/>
      <c r="S1219" s="28"/>
      <c r="T1219" s="28"/>
      <c r="U1219" s="28"/>
      <c r="V1219" s="22"/>
      <c r="W1219" s="22"/>
      <c r="X1219" s="22"/>
      <c r="Y1219" s="22"/>
      <c r="Z1219" s="22"/>
      <c r="AA1219" s="22"/>
      <c r="AB1219" s="22"/>
      <c r="AC1219" s="22"/>
      <c r="AD1219" s="22"/>
    </row>
    <row r="1220" spans="1:30" ht="15.75" customHeight="1" x14ac:dyDescent="0.15">
      <c r="A1220" s="22"/>
      <c r="B1220" s="22"/>
      <c r="C1220" s="22"/>
      <c r="D1220" s="22"/>
      <c r="E1220" s="22"/>
      <c r="F1220" s="28"/>
      <c r="G1220" s="28"/>
      <c r="H1220" s="28"/>
      <c r="I1220" s="28"/>
      <c r="J1220" s="28"/>
      <c r="K1220" s="28"/>
      <c r="L1220" s="28"/>
      <c r="M1220" s="22"/>
      <c r="N1220" s="22"/>
      <c r="O1220" s="22"/>
      <c r="P1220" s="22"/>
      <c r="Q1220" s="22"/>
      <c r="R1220" s="28"/>
      <c r="S1220" s="28"/>
      <c r="T1220" s="28"/>
      <c r="U1220" s="28"/>
      <c r="V1220" s="22"/>
      <c r="W1220" s="22"/>
      <c r="X1220" s="22"/>
      <c r="Y1220" s="22"/>
      <c r="Z1220" s="22"/>
      <c r="AA1220" s="22"/>
      <c r="AB1220" s="22"/>
      <c r="AC1220" s="22"/>
      <c r="AD1220" s="22"/>
    </row>
    <row r="1221" spans="1:30" ht="15.75" customHeight="1" x14ac:dyDescent="0.15">
      <c r="A1221" s="22"/>
      <c r="B1221" s="22"/>
      <c r="C1221" s="22"/>
      <c r="D1221" s="22"/>
      <c r="E1221" s="22"/>
      <c r="F1221" s="28"/>
      <c r="G1221" s="28"/>
      <c r="H1221" s="28"/>
      <c r="I1221" s="28"/>
      <c r="J1221" s="28"/>
      <c r="K1221" s="28"/>
      <c r="L1221" s="28"/>
      <c r="M1221" s="22"/>
      <c r="N1221" s="22"/>
      <c r="O1221" s="22"/>
      <c r="P1221" s="22"/>
      <c r="Q1221" s="22"/>
      <c r="R1221" s="28"/>
      <c r="S1221" s="28"/>
      <c r="T1221" s="28"/>
      <c r="U1221" s="28"/>
      <c r="V1221" s="22"/>
      <c r="W1221" s="22"/>
      <c r="X1221" s="22"/>
      <c r="Y1221" s="22"/>
      <c r="Z1221" s="22"/>
      <c r="AA1221" s="22"/>
      <c r="AB1221" s="22"/>
      <c r="AC1221" s="22"/>
      <c r="AD1221" s="22"/>
    </row>
    <row r="1222" spans="1:30" ht="15.75" customHeight="1" x14ac:dyDescent="0.15">
      <c r="A1222" s="22"/>
      <c r="B1222" s="22"/>
      <c r="C1222" s="22"/>
      <c r="D1222" s="22"/>
      <c r="E1222" s="22"/>
      <c r="F1222" s="28"/>
      <c r="G1222" s="28"/>
      <c r="H1222" s="28"/>
      <c r="I1222" s="28"/>
      <c r="J1222" s="28"/>
      <c r="K1222" s="28"/>
      <c r="L1222" s="28"/>
      <c r="M1222" s="22"/>
      <c r="N1222" s="22"/>
      <c r="O1222" s="22"/>
      <c r="P1222" s="22"/>
      <c r="Q1222" s="22"/>
      <c r="R1222" s="28"/>
      <c r="S1222" s="28"/>
      <c r="T1222" s="28"/>
      <c r="U1222" s="28"/>
      <c r="V1222" s="22"/>
      <c r="W1222" s="22"/>
      <c r="X1222" s="22"/>
      <c r="Y1222" s="22"/>
      <c r="Z1222" s="22"/>
      <c r="AA1222" s="22"/>
      <c r="AB1222" s="22"/>
      <c r="AC1222" s="22"/>
      <c r="AD1222" s="22"/>
    </row>
    <row r="1223" spans="1:30" ht="15.75" customHeight="1" x14ac:dyDescent="0.15">
      <c r="A1223" s="22"/>
      <c r="B1223" s="22"/>
      <c r="C1223" s="22"/>
      <c r="D1223" s="22"/>
      <c r="E1223" s="22"/>
      <c r="F1223" s="28"/>
      <c r="G1223" s="28"/>
      <c r="H1223" s="28"/>
      <c r="I1223" s="28"/>
      <c r="J1223" s="28"/>
      <c r="K1223" s="28"/>
      <c r="L1223" s="28"/>
      <c r="M1223" s="22"/>
      <c r="N1223" s="22"/>
      <c r="O1223" s="22"/>
      <c r="P1223" s="22"/>
      <c r="Q1223" s="22"/>
      <c r="R1223" s="28"/>
      <c r="S1223" s="28"/>
      <c r="T1223" s="28"/>
      <c r="U1223" s="28"/>
      <c r="V1223" s="22"/>
      <c r="W1223" s="22"/>
      <c r="X1223" s="22"/>
      <c r="Y1223" s="22"/>
      <c r="Z1223" s="22"/>
      <c r="AA1223" s="22"/>
      <c r="AB1223" s="22"/>
      <c r="AC1223" s="22"/>
      <c r="AD1223" s="22"/>
    </row>
    <row r="1224" spans="1:30" ht="15.75" customHeight="1" x14ac:dyDescent="0.15">
      <c r="A1224" s="22"/>
      <c r="B1224" s="22"/>
      <c r="C1224" s="22"/>
      <c r="D1224" s="22"/>
      <c r="E1224" s="22"/>
      <c r="F1224" s="28"/>
      <c r="G1224" s="28"/>
      <c r="H1224" s="28"/>
      <c r="I1224" s="28"/>
      <c r="J1224" s="28"/>
      <c r="K1224" s="28"/>
      <c r="L1224" s="28"/>
      <c r="M1224" s="22"/>
      <c r="N1224" s="22"/>
      <c r="O1224" s="22"/>
      <c r="P1224" s="22"/>
      <c r="Q1224" s="22"/>
      <c r="R1224" s="28"/>
      <c r="S1224" s="28"/>
      <c r="T1224" s="28"/>
      <c r="U1224" s="28"/>
      <c r="V1224" s="22"/>
      <c r="W1224" s="22"/>
      <c r="X1224" s="22"/>
      <c r="Y1224" s="22"/>
      <c r="Z1224" s="22"/>
      <c r="AA1224" s="22"/>
      <c r="AB1224" s="22"/>
      <c r="AC1224" s="22"/>
      <c r="AD1224" s="22"/>
    </row>
    <row r="1225" spans="1:30" ht="15.75" customHeight="1" x14ac:dyDescent="0.15">
      <c r="A1225" s="22"/>
      <c r="B1225" s="22"/>
      <c r="C1225" s="22"/>
      <c r="D1225" s="22"/>
      <c r="E1225" s="22"/>
      <c r="F1225" s="28"/>
      <c r="G1225" s="28"/>
      <c r="H1225" s="28"/>
      <c r="I1225" s="28"/>
      <c r="J1225" s="28"/>
      <c r="K1225" s="28"/>
      <c r="L1225" s="28"/>
      <c r="M1225" s="22"/>
      <c r="N1225" s="22"/>
      <c r="O1225" s="22"/>
      <c r="P1225" s="22"/>
      <c r="Q1225" s="22"/>
      <c r="R1225" s="28"/>
      <c r="S1225" s="28"/>
      <c r="T1225" s="28"/>
      <c r="U1225" s="28"/>
      <c r="V1225" s="22"/>
      <c r="W1225" s="22"/>
      <c r="X1225" s="22"/>
      <c r="Y1225" s="22"/>
      <c r="Z1225" s="22"/>
      <c r="AA1225" s="22"/>
      <c r="AB1225" s="22"/>
      <c r="AC1225" s="22"/>
      <c r="AD1225" s="22"/>
    </row>
    <row r="1226" spans="1:30" ht="15.75" customHeight="1" x14ac:dyDescent="0.15">
      <c r="A1226" s="22"/>
      <c r="B1226" s="22"/>
      <c r="C1226" s="22"/>
      <c r="D1226" s="22"/>
      <c r="E1226" s="22"/>
      <c r="F1226" s="28"/>
      <c r="G1226" s="28"/>
      <c r="H1226" s="28"/>
      <c r="I1226" s="28"/>
      <c r="J1226" s="28"/>
      <c r="K1226" s="28"/>
      <c r="L1226" s="28"/>
      <c r="M1226" s="22"/>
      <c r="N1226" s="22"/>
      <c r="O1226" s="22"/>
      <c r="P1226" s="22"/>
      <c r="Q1226" s="22"/>
      <c r="R1226" s="28"/>
      <c r="S1226" s="28"/>
      <c r="T1226" s="28"/>
      <c r="U1226" s="28"/>
      <c r="V1226" s="22"/>
      <c r="W1226" s="22"/>
      <c r="X1226" s="22"/>
      <c r="Y1226" s="22"/>
      <c r="Z1226" s="22"/>
      <c r="AA1226" s="22"/>
      <c r="AB1226" s="22"/>
      <c r="AC1226" s="22"/>
      <c r="AD1226" s="22"/>
    </row>
    <row r="1227" spans="1:30" ht="15.75" customHeight="1" x14ac:dyDescent="0.15">
      <c r="A1227" s="22"/>
      <c r="B1227" s="22"/>
      <c r="C1227" s="22"/>
      <c r="D1227" s="22"/>
      <c r="E1227" s="22"/>
      <c r="F1227" s="28"/>
      <c r="G1227" s="28"/>
      <c r="H1227" s="28"/>
      <c r="I1227" s="28"/>
      <c r="J1227" s="28"/>
      <c r="K1227" s="28"/>
      <c r="L1227" s="28"/>
      <c r="M1227" s="22"/>
      <c r="N1227" s="22"/>
      <c r="O1227" s="22"/>
      <c r="P1227" s="22"/>
      <c r="Q1227" s="22"/>
      <c r="R1227" s="28"/>
      <c r="S1227" s="28"/>
      <c r="T1227" s="28"/>
      <c r="U1227" s="28"/>
      <c r="V1227" s="22"/>
      <c r="W1227" s="22"/>
      <c r="X1227" s="22"/>
      <c r="Y1227" s="22"/>
      <c r="Z1227" s="22"/>
      <c r="AA1227" s="22"/>
      <c r="AB1227" s="22"/>
      <c r="AC1227" s="22"/>
      <c r="AD1227" s="22"/>
    </row>
    <row r="1228" spans="1:30" ht="15.75" customHeight="1" x14ac:dyDescent="0.15">
      <c r="A1228" s="22"/>
      <c r="B1228" s="22"/>
      <c r="C1228" s="22"/>
      <c r="D1228" s="22"/>
      <c r="E1228" s="22"/>
      <c r="F1228" s="28"/>
      <c r="G1228" s="28"/>
      <c r="H1228" s="28"/>
      <c r="I1228" s="28"/>
      <c r="J1228" s="28"/>
      <c r="K1228" s="28"/>
      <c r="L1228" s="28"/>
      <c r="M1228" s="22"/>
      <c r="N1228" s="22"/>
      <c r="O1228" s="22"/>
      <c r="P1228" s="22"/>
      <c r="Q1228" s="22"/>
      <c r="R1228" s="28"/>
      <c r="S1228" s="28"/>
      <c r="T1228" s="28"/>
      <c r="U1228" s="28"/>
      <c r="V1228" s="22"/>
      <c r="W1228" s="22"/>
      <c r="X1228" s="22"/>
      <c r="Y1228" s="22"/>
      <c r="Z1228" s="22"/>
      <c r="AA1228" s="22"/>
      <c r="AB1228" s="22"/>
      <c r="AC1228" s="22"/>
      <c r="AD1228" s="22"/>
    </row>
    <row r="1229" spans="1:30" ht="15.75" customHeight="1" x14ac:dyDescent="0.15">
      <c r="A1229" s="22"/>
      <c r="B1229" s="22"/>
      <c r="C1229" s="22"/>
      <c r="D1229" s="22"/>
      <c r="E1229" s="22"/>
      <c r="F1229" s="28"/>
      <c r="G1229" s="28"/>
      <c r="H1229" s="28"/>
      <c r="I1229" s="28"/>
      <c r="J1229" s="28"/>
      <c r="K1229" s="28"/>
      <c r="L1229" s="28"/>
      <c r="M1229" s="22"/>
      <c r="N1229" s="22"/>
      <c r="O1229" s="22"/>
      <c r="P1229" s="22"/>
      <c r="Q1229" s="22"/>
      <c r="R1229" s="28"/>
      <c r="S1229" s="28"/>
      <c r="T1229" s="28"/>
      <c r="U1229" s="28"/>
      <c r="V1229" s="22"/>
      <c r="W1229" s="22"/>
      <c r="X1229" s="22"/>
      <c r="Y1229" s="22"/>
      <c r="Z1229" s="22"/>
      <c r="AA1229" s="22"/>
      <c r="AB1229" s="22"/>
      <c r="AC1229" s="22"/>
      <c r="AD1229" s="22"/>
    </row>
    <row r="1230" spans="1:30" ht="15.75" customHeight="1" x14ac:dyDescent="0.15">
      <c r="A1230" s="22"/>
      <c r="B1230" s="22"/>
      <c r="C1230" s="22"/>
      <c r="D1230" s="22"/>
      <c r="E1230" s="22"/>
      <c r="F1230" s="28"/>
      <c r="G1230" s="28"/>
      <c r="H1230" s="28"/>
      <c r="I1230" s="28"/>
      <c r="J1230" s="28"/>
      <c r="K1230" s="28"/>
      <c r="L1230" s="28"/>
      <c r="M1230" s="22"/>
      <c r="N1230" s="22"/>
      <c r="O1230" s="22"/>
      <c r="P1230" s="22"/>
      <c r="Q1230" s="22"/>
      <c r="R1230" s="28"/>
      <c r="S1230" s="28"/>
      <c r="T1230" s="28"/>
      <c r="U1230" s="28"/>
      <c r="V1230" s="22"/>
      <c r="W1230" s="22"/>
      <c r="X1230" s="22"/>
      <c r="Y1230" s="22"/>
      <c r="Z1230" s="22"/>
      <c r="AA1230" s="22"/>
      <c r="AB1230" s="22"/>
      <c r="AC1230" s="22"/>
      <c r="AD1230" s="22"/>
    </row>
    <row r="1231" spans="1:30" ht="15.75" customHeight="1" x14ac:dyDescent="0.15">
      <c r="A1231" s="22"/>
      <c r="B1231" s="22"/>
      <c r="C1231" s="22"/>
      <c r="D1231" s="22"/>
      <c r="E1231" s="22"/>
      <c r="F1231" s="28"/>
      <c r="G1231" s="28"/>
      <c r="H1231" s="28"/>
      <c r="I1231" s="28"/>
      <c r="J1231" s="28"/>
      <c r="K1231" s="28"/>
      <c r="L1231" s="28"/>
      <c r="M1231" s="22"/>
      <c r="N1231" s="22"/>
      <c r="O1231" s="22"/>
      <c r="P1231" s="22"/>
      <c r="Q1231" s="22"/>
      <c r="R1231" s="28"/>
      <c r="S1231" s="28"/>
      <c r="T1231" s="28"/>
      <c r="U1231" s="28"/>
      <c r="V1231" s="22"/>
      <c r="W1231" s="22"/>
      <c r="X1231" s="22"/>
      <c r="Y1231" s="22"/>
      <c r="Z1231" s="22"/>
      <c r="AA1231" s="22"/>
      <c r="AB1231" s="22"/>
      <c r="AC1231" s="22"/>
      <c r="AD1231" s="22"/>
    </row>
    <row r="1232" spans="1:30" ht="15.75" customHeight="1" x14ac:dyDescent="0.15">
      <c r="A1232" s="22"/>
      <c r="B1232" s="22"/>
      <c r="C1232" s="22"/>
      <c r="D1232" s="22"/>
      <c r="E1232" s="22"/>
      <c r="F1232" s="28"/>
      <c r="G1232" s="28"/>
      <c r="H1232" s="28"/>
      <c r="I1232" s="28"/>
      <c r="J1232" s="28"/>
      <c r="K1232" s="28"/>
      <c r="L1232" s="28"/>
      <c r="M1232" s="22"/>
      <c r="N1232" s="22"/>
      <c r="O1232" s="22"/>
      <c r="P1232" s="22"/>
      <c r="Q1232" s="22"/>
      <c r="R1232" s="28"/>
      <c r="S1232" s="28"/>
      <c r="T1232" s="28"/>
      <c r="U1232" s="28"/>
      <c r="V1232" s="22"/>
      <c r="W1232" s="22"/>
      <c r="X1232" s="22"/>
      <c r="Y1232" s="22"/>
      <c r="Z1232" s="22"/>
      <c r="AA1232" s="22"/>
      <c r="AB1232" s="22"/>
      <c r="AC1232" s="22"/>
      <c r="AD1232" s="22"/>
    </row>
    <row r="1233" spans="1:30" ht="15.75" customHeight="1" x14ac:dyDescent="0.15">
      <c r="A1233" s="22"/>
      <c r="B1233" s="22"/>
      <c r="C1233" s="22"/>
      <c r="D1233" s="22"/>
      <c r="E1233" s="22"/>
      <c r="F1233" s="28"/>
      <c r="G1233" s="28"/>
      <c r="H1233" s="28"/>
      <c r="I1233" s="28"/>
      <c r="J1233" s="28"/>
      <c r="K1233" s="28"/>
      <c r="L1233" s="28"/>
      <c r="M1233" s="22"/>
      <c r="N1233" s="22"/>
      <c r="O1233" s="22"/>
      <c r="P1233" s="22"/>
      <c r="Q1233" s="22"/>
      <c r="R1233" s="28"/>
      <c r="S1233" s="28"/>
      <c r="T1233" s="28"/>
      <c r="U1233" s="28"/>
      <c r="V1233" s="22"/>
      <c r="W1233" s="22"/>
      <c r="X1233" s="22"/>
      <c r="Y1233" s="22"/>
      <c r="Z1233" s="22"/>
      <c r="AA1233" s="22"/>
      <c r="AB1233" s="22"/>
      <c r="AC1233" s="22"/>
      <c r="AD1233" s="22"/>
    </row>
    <row r="1234" spans="1:30" ht="15.75" customHeight="1" x14ac:dyDescent="0.15">
      <c r="A1234" s="22"/>
      <c r="B1234" s="22"/>
      <c r="C1234" s="22"/>
      <c r="D1234" s="22"/>
      <c r="E1234" s="22"/>
      <c r="F1234" s="28"/>
      <c r="G1234" s="28"/>
      <c r="H1234" s="28"/>
      <c r="I1234" s="28"/>
      <c r="J1234" s="28"/>
      <c r="K1234" s="28"/>
      <c r="L1234" s="28"/>
      <c r="M1234" s="22"/>
      <c r="N1234" s="22"/>
      <c r="O1234" s="22"/>
      <c r="P1234" s="22"/>
      <c r="Q1234" s="22"/>
      <c r="R1234" s="28"/>
      <c r="S1234" s="28"/>
      <c r="T1234" s="28"/>
      <c r="U1234" s="28"/>
      <c r="V1234" s="22"/>
      <c r="W1234" s="22"/>
      <c r="X1234" s="22"/>
      <c r="Y1234" s="22"/>
      <c r="Z1234" s="22"/>
      <c r="AA1234" s="22"/>
      <c r="AB1234" s="22"/>
      <c r="AC1234" s="22"/>
      <c r="AD1234" s="22"/>
    </row>
    <row r="1235" spans="1:30" ht="15.75" customHeight="1" x14ac:dyDescent="0.15">
      <c r="A1235" s="22"/>
      <c r="B1235" s="22"/>
      <c r="C1235" s="22"/>
      <c r="D1235" s="22"/>
      <c r="E1235" s="22"/>
      <c r="F1235" s="28"/>
      <c r="G1235" s="28"/>
      <c r="H1235" s="28"/>
      <c r="I1235" s="28"/>
      <c r="J1235" s="28"/>
      <c r="K1235" s="28"/>
      <c r="L1235" s="28"/>
      <c r="M1235" s="22"/>
      <c r="N1235" s="22"/>
      <c r="O1235" s="22"/>
      <c r="P1235" s="22"/>
      <c r="Q1235" s="22"/>
      <c r="R1235" s="28"/>
      <c r="S1235" s="28"/>
      <c r="T1235" s="28"/>
      <c r="U1235" s="28"/>
      <c r="V1235" s="22"/>
      <c r="W1235" s="22"/>
      <c r="X1235" s="22"/>
      <c r="Y1235" s="22"/>
      <c r="Z1235" s="22"/>
      <c r="AA1235" s="22"/>
      <c r="AB1235" s="22"/>
      <c r="AC1235" s="22"/>
      <c r="AD1235" s="22"/>
    </row>
    <row r="1236" spans="1:30" ht="15.75" customHeight="1" x14ac:dyDescent="0.15">
      <c r="A1236" s="22"/>
      <c r="B1236" s="22"/>
      <c r="C1236" s="22"/>
      <c r="D1236" s="22"/>
      <c r="E1236" s="22"/>
      <c r="F1236" s="28"/>
      <c r="G1236" s="28"/>
      <c r="H1236" s="28"/>
      <c r="I1236" s="28"/>
      <c r="J1236" s="28"/>
      <c r="K1236" s="28"/>
      <c r="L1236" s="28"/>
      <c r="M1236" s="22"/>
      <c r="N1236" s="22"/>
      <c r="O1236" s="22"/>
      <c r="P1236" s="22"/>
      <c r="Q1236" s="22"/>
      <c r="R1236" s="28"/>
      <c r="S1236" s="28"/>
      <c r="T1236" s="28"/>
      <c r="U1236" s="28"/>
      <c r="V1236" s="22"/>
      <c r="W1236" s="22"/>
      <c r="X1236" s="22"/>
      <c r="Y1236" s="22"/>
      <c r="Z1236" s="22"/>
      <c r="AA1236" s="22"/>
      <c r="AB1236" s="22"/>
      <c r="AC1236" s="22"/>
      <c r="AD1236" s="22"/>
    </row>
    <row r="1237" spans="1:30" ht="15.75" customHeight="1" x14ac:dyDescent="0.15">
      <c r="A1237" s="22"/>
      <c r="B1237" s="22"/>
      <c r="C1237" s="22"/>
      <c r="D1237" s="22"/>
      <c r="E1237" s="22"/>
      <c r="F1237" s="28"/>
      <c r="G1237" s="28"/>
      <c r="H1237" s="28"/>
      <c r="I1237" s="28"/>
      <c r="J1237" s="28"/>
      <c r="K1237" s="28"/>
      <c r="L1237" s="28"/>
      <c r="M1237" s="22"/>
      <c r="N1237" s="22"/>
      <c r="O1237" s="22"/>
      <c r="P1237" s="22"/>
      <c r="Q1237" s="22"/>
      <c r="R1237" s="28"/>
      <c r="S1237" s="28"/>
      <c r="T1237" s="28"/>
      <c r="U1237" s="28"/>
      <c r="V1237" s="22"/>
      <c r="W1237" s="22"/>
      <c r="X1237" s="22"/>
      <c r="Y1237" s="22"/>
      <c r="Z1237" s="22"/>
      <c r="AA1237" s="22"/>
      <c r="AB1237" s="22"/>
      <c r="AC1237" s="22"/>
      <c r="AD1237" s="22"/>
    </row>
    <row r="1238" spans="1:30" ht="15.75" customHeight="1" x14ac:dyDescent="0.15">
      <c r="A1238" s="22"/>
      <c r="B1238" s="22"/>
      <c r="C1238" s="22"/>
      <c r="D1238" s="22"/>
      <c r="E1238" s="22"/>
      <c r="F1238" s="28"/>
      <c r="G1238" s="28"/>
      <c r="H1238" s="28"/>
      <c r="I1238" s="28"/>
      <c r="J1238" s="28"/>
      <c r="K1238" s="28"/>
      <c r="L1238" s="28"/>
      <c r="M1238" s="22"/>
      <c r="N1238" s="22"/>
      <c r="O1238" s="22"/>
      <c r="P1238" s="22"/>
      <c r="Q1238" s="22"/>
      <c r="R1238" s="28"/>
      <c r="S1238" s="28"/>
      <c r="T1238" s="28"/>
      <c r="U1238" s="28"/>
      <c r="V1238" s="22"/>
      <c r="W1238" s="22"/>
      <c r="X1238" s="22"/>
      <c r="Y1238" s="22"/>
      <c r="Z1238" s="22"/>
      <c r="AA1238" s="22"/>
      <c r="AB1238" s="22"/>
      <c r="AC1238" s="22"/>
      <c r="AD1238" s="22"/>
    </row>
    <row r="1239" spans="1:30" ht="15.75" customHeight="1" x14ac:dyDescent="0.15">
      <c r="A1239" s="22"/>
      <c r="B1239" s="22"/>
      <c r="C1239" s="22"/>
      <c r="D1239" s="22"/>
      <c r="E1239" s="22"/>
      <c r="F1239" s="28"/>
      <c r="G1239" s="28"/>
      <c r="H1239" s="28"/>
      <c r="I1239" s="28"/>
      <c r="J1239" s="28"/>
      <c r="K1239" s="28"/>
      <c r="L1239" s="28"/>
      <c r="M1239" s="22"/>
      <c r="N1239" s="22"/>
      <c r="O1239" s="22"/>
      <c r="P1239" s="22"/>
      <c r="Q1239" s="22"/>
      <c r="R1239" s="28"/>
      <c r="S1239" s="28"/>
      <c r="T1239" s="28"/>
      <c r="U1239" s="28"/>
      <c r="V1239" s="22"/>
      <c r="W1239" s="22"/>
      <c r="X1239" s="22"/>
      <c r="Y1239" s="22"/>
      <c r="Z1239" s="22"/>
      <c r="AA1239" s="22"/>
      <c r="AB1239" s="22"/>
      <c r="AC1239" s="22"/>
      <c r="AD1239" s="22"/>
    </row>
    <row r="1240" spans="1:30" ht="15.75" customHeight="1" x14ac:dyDescent="0.15">
      <c r="A1240" s="22"/>
      <c r="B1240" s="22"/>
      <c r="C1240" s="22"/>
      <c r="D1240" s="22"/>
      <c r="E1240" s="22"/>
      <c r="F1240" s="28"/>
      <c r="G1240" s="28"/>
      <c r="H1240" s="28"/>
      <c r="I1240" s="28"/>
      <c r="J1240" s="28"/>
      <c r="K1240" s="28"/>
      <c r="L1240" s="28"/>
      <c r="M1240" s="22"/>
      <c r="N1240" s="22"/>
      <c r="O1240" s="22"/>
      <c r="P1240" s="22"/>
      <c r="Q1240" s="22"/>
      <c r="R1240" s="28"/>
      <c r="S1240" s="28"/>
      <c r="T1240" s="28"/>
      <c r="U1240" s="28"/>
      <c r="V1240" s="22"/>
      <c r="W1240" s="22"/>
      <c r="X1240" s="22"/>
      <c r="Y1240" s="22"/>
      <c r="Z1240" s="22"/>
      <c r="AA1240" s="22"/>
      <c r="AB1240" s="22"/>
      <c r="AC1240" s="22"/>
      <c r="AD1240" s="22"/>
    </row>
    <row r="1241" spans="1:30" ht="15.75" customHeight="1" x14ac:dyDescent="0.15">
      <c r="A1241" s="22"/>
      <c r="B1241" s="22"/>
      <c r="C1241" s="22"/>
      <c r="D1241" s="22"/>
      <c r="E1241" s="22"/>
      <c r="F1241" s="28"/>
      <c r="G1241" s="28"/>
      <c r="H1241" s="28"/>
      <c r="I1241" s="28"/>
      <c r="J1241" s="28"/>
      <c r="K1241" s="28"/>
      <c r="L1241" s="28"/>
      <c r="M1241" s="22"/>
      <c r="N1241" s="22"/>
      <c r="O1241" s="22"/>
      <c r="P1241" s="22"/>
      <c r="Q1241" s="22"/>
      <c r="R1241" s="28"/>
      <c r="S1241" s="28"/>
      <c r="T1241" s="28"/>
      <c r="U1241" s="28"/>
      <c r="V1241" s="22"/>
      <c r="W1241" s="22"/>
      <c r="X1241" s="22"/>
      <c r="Y1241" s="22"/>
      <c r="Z1241" s="22"/>
      <c r="AA1241" s="22"/>
      <c r="AB1241" s="22"/>
      <c r="AC1241" s="22"/>
      <c r="AD1241" s="22"/>
    </row>
    <row r="1242" spans="1:30" ht="15.75" customHeight="1" x14ac:dyDescent="0.15">
      <c r="A1242" s="22"/>
      <c r="B1242" s="22"/>
      <c r="C1242" s="22"/>
      <c r="D1242" s="22"/>
      <c r="E1242" s="22"/>
      <c r="F1242" s="28"/>
      <c r="G1242" s="28"/>
      <c r="H1242" s="28"/>
      <c r="I1242" s="28"/>
      <c r="J1242" s="28"/>
      <c r="K1242" s="28"/>
      <c r="L1242" s="28"/>
      <c r="M1242" s="22"/>
      <c r="N1242" s="22"/>
      <c r="O1242" s="22"/>
      <c r="P1242" s="22"/>
      <c r="Q1242" s="22"/>
      <c r="R1242" s="28"/>
      <c r="S1242" s="28"/>
      <c r="T1242" s="28"/>
      <c r="U1242" s="28"/>
      <c r="V1242" s="22"/>
      <c r="W1242" s="22"/>
      <c r="X1242" s="22"/>
      <c r="Y1242" s="22"/>
      <c r="Z1242" s="22"/>
      <c r="AA1242" s="22"/>
      <c r="AB1242" s="22"/>
      <c r="AC1242" s="22"/>
      <c r="AD1242" s="22"/>
    </row>
    <row r="1243" spans="1:30" ht="15.75" customHeight="1" x14ac:dyDescent="0.15">
      <c r="A1243" s="22"/>
      <c r="B1243" s="22"/>
      <c r="C1243" s="22"/>
      <c r="D1243" s="22"/>
      <c r="E1243" s="22"/>
      <c r="F1243" s="28"/>
      <c r="G1243" s="28"/>
      <c r="H1243" s="28"/>
      <c r="I1243" s="28"/>
      <c r="J1243" s="28"/>
      <c r="K1243" s="28"/>
      <c r="L1243" s="28"/>
      <c r="M1243" s="22"/>
      <c r="N1243" s="22"/>
      <c r="O1243" s="22"/>
      <c r="P1243" s="22"/>
      <c r="Q1243" s="22"/>
      <c r="R1243" s="28"/>
      <c r="S1243" s="28"/>
      <c r="T1243" s="28"/>
      <c r="U1243" s="28"/>
      <c r="V1243" s="22"/>
      <c r="W1243" s="22"/>
      <c r="X1243" s="22"/>
      <c r="Y1243" s="22"/>
      <c r="Z1243" s="22"/>
      <c r="AA1243" s="22"/>
      <c r="AB1243" s="22"/>
      <c r="AC1243" s="22"/>
      <c r="AD1243" s="22"/>
    </row>
    <row r="1244" spans="1:30" ht="15.75" customHeight="1" x14ac:dyDescent="0.15">
      <c r="A1244" s="22"/>
      <c r="B1244" s="22"/>
      <c r="C1244" s="22"/>
      <c r="D1244" s="22"/>
      <c r="E1244" s="22"/>
      <c r="F1244" s="28"/>
      <c r="G1244" s="28"/>
      <c r="H1244" s="28"/>
      <c r="I1244" s="28"/>
      <c r="J1244" s="28"/>
      <c r="K1244" s="28"/>
      <c r="L1244" s="28"/>
      <c r="M1244" s="22"/>
      <c r="N1244" s="22"/>
      <c r="O1244" s="22"/>
      <c r="P1244" s="22"/>
      <c r="Q1244" s="22"/>
      <c r="R1244" s="28"/>
      <c r="S1244" s="28"/>
      <c r="T1244" s="28"/>
      <c r="U1244" s="28"/>
      <c r="V1244" s="22"/>
      <c r="W1244" s="22"/>
      <c r="X1244" s="22"/>
      <c r="Y1244" s="22"/>
      <c r="Z1244" s="22"/>
      <c r="AA1244" s="22"/>
      <c r="AB1244" s="22"/>
      <c r="AC1244" s="22"/>
      <c r="AD1244" s="22"/>
    </row>
    <row r="1245" spans="1:30" ht="15.75" customHeight="1" x14ac:dyDescent="0.15">
      <c r="A1245" s="22"/>
      <c r="B1245" s="22"/>
      <c r="C1245" s="22"/>
      <c r="D1245" s="22"/>
      <c r="E1245" s="22"/>
      <c r="F1245" s="28"/>
      <c r="G1245" s="28"/>
      <c r="H1245" s="28"/>
      <c r="I1245" s="28"/>
      <c r="J1245" s="28"/>
      <c r="K1245" s="28"/>
      <c r="L1245" s="28"/>
      <c r="M1245" s="22"/>
      <c r="N1245" s="22"/>
      <c r="O1245" s="22"/>
      <c r="P1245" s="22"/>
      <c r="Q1245" s="22"/>
      <c r="R1245" s="28"/>
      <c r="S1245" s="28"/>
      <c r="T1245" s="28"/>
      <c r="U1245" s="28"/>
      <c r="V1245" s="22"/>
      <c r="W1245" s="22"/>
      <c r="X1245" s="22"/>
      <c r="Y1245" s="22"/>
      <c r="Z1245" s="22"/>
      <c r="AA1245" s="22"/>
      <c r="AB1245" s="22"/>
      <c r="AC1245" s="22"/>
      <c r="AD1245" s="22"/>
    </row>
    <row r="1246" spans="1:30" ht="15.75" customHeight="1" x14ac:dyDescent="0.15">
      <c r="A1246" s="22"/>
      <c r="B1246" s="22"/>
      <c r="C1246" s="22"/>
      <c r="D1246" s="22"/>
      <c r="E1246" s="22"/>
      <c r="F1246" s="28"/>
      <c r="G1246" s="28"/>
      <c r="H1246" s="28"/>
      <c r="I1246" s="28"/>
      <c r="J1246" s="28"/>
      <c r="K1246" s="28"/>
      <c r="L1246" s="28"/>
      <c r="M1246" s="22"/>
      <c r="N1246" s="22"/>
      <c r="O1246" s="22"/>
      <c r="P1246" s="22"/>
      <c r="Q1246" s="22"/>
      <c r="R1246" s="28"/>
      <c r="S1246" s="28"/>
      <c r="T1246" s="28"/>
      <c r="U1246" s="28"/>
      <c r="V1246" s="22"/>
      <c r="W1246" s="22"/>
      <c r="X1246" s="22"/>
      <c r="Y1246" s="22"/>
      <c r="Z1246" s="22"/>
      <c r="AA1246" s="22"/>
      <c r="AB1246" s="22"/>
      <c r="AC1246" s="22"/>
      <c r="AD1246" s="22"/>
    </row>
    <row r="1247" spans="1:30" ht="15.75" customHeight="1" x14ac:dyDescent="0.15">
      <c r="A1247" s="22"/>
      <c r="B1247" s="22"/>
      <c r="C1247" s="22"/>
      <c r="D1247" s="22"/>
      <c r="E1247" s="22"/>
      <c r="F1247" s="28"/>
      <c r="G1247" s="28"/>
      <c r="H1247" s="28"/>
      <c r="I1247" s="28"/>
      <c r="J1247" s="28"/>
      <c r="K1247" s="28"/>
      <c r="L1247" s="28"/>
      <c r="M1247" s="22"/>
      <c r="N1247" s="22"/>
      <c r="O1247" s="22"/>
      <c r="P1247" s="22"/>
      <c r="Q1247" s="22"/>
      <c r="R1247" s="28"/>
      <c r="S1247" s="28"/>
      <c r="T1247" s="28"/>
      <c r="U1247" s="28"/>
      <c r="V1247" s="22"/>
      <c r="W1247" s="22"/>
      <c r="X1247" s="22"/>
      <c r="Y1247" s="22"/>
      <c r="Z1247" s="22"/>
      <c r="AA1247" s="22"/>
      <c r="AB1247" s="22"/>
      <c r="AC1247" s="22"/>
      <c r="AD1247" s="22"/>
    </row>
    <row r="1248" spans="1:30" ht="15.75" customHeight="1" x14ac:dyDescent="0.15">
      <c r="A1248" s="22"/>
      <c r="B1248" s="22"/>
      <c r="C1248" s="22"/>
      <c r="D1248" s="22"/>
      <c r="E1248" s="22"/>
      <c r="F1248" s="28"/>
      <c r="G1248" s="28"/>
      <c r="H1248" s="28"/>
      <c r="I1248" s="28"/>
      <c r="J1248" s="28"/>
      <c r="K1248" s="28"/>
      <c r="L1248" s="28"/>
      <c r="M1248" s="22"/>
      <c r="N1248" s="22"/>
      <c r="O1248" s="22"/>
      <c r="P1248" s="22"/>
      <c r="Q1248" s="22"/>
      <c r="R1248" s="28"/>
      <c r="S1248" s="28"/>
      <c r="T1248" s="28"/>
      <c r="U1248" s="28"/>
      <c r="V1248" s="22"/>
      <c r="W1248" s="22"/>
      <c r="X1248" s="22"/>
      <c r="Y1248" s="22"/>
      <c r="Z1248" s="22"/>
      <c r="AA1248" s="22"/>
      <c r="AB1248" s="22"/>
      <c r="AC1248" s="22"/>
      <c r="AD1248" s="22"/>
    </row>
    <row r="1249" spans="1:30" ht="15.75" customHeight="1" x14ac:dyDescent="0.15">
      <c r="A1249" s="22"/>
      <c r="B1249" s="22"/>
      <c r="C1249" s="22"/>
      <c r="D1249" s="22"/>
      <c r="E1249" s="22"/>
      <c r="F1249" s="28"/>
      <c r="G1249" s="28"/>
      <c r="H1249" s="28"/>
      <c r="I1249" s="28"/>
      <c r="J1249" s="28"/>
      <c r="K1249" s="28"/>
      <c r="L1249" s="28"/>
      <c r="M1249" s="22"/>
      <c r="N1249" s="22"/>
      <c r="O1249" s="22"/>
      <c r="P1249" s="22"/>
      <c r="Q1249" s="22"/>
      <c r="R1249" s="28"/>
      <c r="S1249" s="28"/>
      <c r="T1249" s="28"/>
      <c r="U1249" s="28"/>
      <c r="V1249" s="22"/>
      <c r="W1249" s="22"/>
      <c r="X1249" s="22"/>
      <c r="Y1249" s="22"/>
      <c r="Z1249" s="22"/>
      <c r="AA1249" s="22"/>
      <c r="AB1249" s="22"/>
      <c r="AC1249" s="22"/>
      <c r="AD1249" s="22"/>
    </row>
    <row r="1250" spans="1:30" ht="15.75" customHeight="1" x14ac:dyDescent="0.15">
      <c r="A1250" s="22"/>
      <c r="B1250" s="22"/>
      <c r="C1250" s="22"/>
      <c r="D1250" s="22"/>
      <c r="E1250" s="22"/>
      <c r="F1250" s="28"/>
      <c r="G1250" s="28"/>
      <c r="H1250" s="28"/>
      <c r="I1250" s="28"/>
      <c r="J1250" s="28"/>
      <c r="K1250" s="28"/>
      <c r="L1250" s="28"/>
      <c r="M1250" s="22"/>
      <c r="N1250" s="22"/>
      <c r="O1250" s="22"/>
      <c r="P1250" s="22"/>
      <c r="Q1250" s="22"/>
      <c r="R1250" s="28"/>
      <c r="S1250" s="28"/>
      <c r="T1250" s="28"/>
      <c r="U1250" s="28"/>
      <c r="V1250" s="22"/>
      <c r="W1250" s="22"/>
      <c r="X1250" s="22"/>
      <c r="Y1250" s="22"/>
      <c r="Z1250" s="22"/>
      <c r="AA1250" s="22"/>
      <c r="AB1250" s="22"/>
      <c r="AC1250" s="22"/>
      <c r="AD1250" s="22"/>
    </row>
    <row r="1251" spans="1:30" ht="15.75" customHeight="1" x14ac:dyDescent="0.15">
      <c r="A1251" s="22"/>
      <c r="B1251" s="22"/>
      <c r="C1251" s="22"/>
      <c r="D1251" s="22"/>
      <c r="E1251" s="22"/>
      <c r="F1251" s="28"/>
      <c r="G1251" s="28"/>
      <c r="H1251" s="28"/>
      <c r="I1251" s="28"/>
      <c r="J1251" s="28"/>
      <c r="K1251" s="28"/>
      <c r="L1251" s="28"/>
      <c r="M1251" s="22"/>
      <c r="N1251" s="22"/>
      <c r="O1251" s="22"/>
      <c r="P1251" s="22"/>
      <c r="Q1251" s="22"/>
      <c r="R1251" s="28"/>
      <c r="S1251" s="28"/>
      <c r="T1251" s="28"/>
      <c r="U1251" s="28"/>
      <c r="V1251" s="22"/>
      <c r="W1251" s="22"/>
      <c r="X1251" s="22"/>
      <c r="Y1251" s="22"/>
      <c r="Z1251" s="22"/>
      <c r="AA1251" s="22"/>
      <c r="AB1251" s="22"/>
      <c r="AC1251" s="22"/>
      <c r="AD1251" s="22"/>
    </row>
    <row r="1252" spans="1:30" ht="15.75" customHeight="1" x14ac:dyDescent="0.15">
      <c r="A1252" s="22"/>
      <c r="B1252" s="22"/>
      <c r="C1252" s="22"/>
      <c r="D1252" s="22"/>
      <c r="E1252" s="22"/>
      <c r="F1252" s="28"/>
      <c r="G1252" s="28"/>
      <c r="H1252" s="28"/>
      <c r="I1252" s="28"/>
      <c r="J1252" s="28"/>
      <c r="K1252" s="28"/>
      <c r="L1252" s="28"/>
      <c r="M1252" s="22"/>
      <c r="N1252" s="22"/>
      <c r="O1252" s="22"/>
      <c r="P1252" s="22"/>
      <c r="Q1252" s="22"/>
      <c r="R1252" s="28"/>
      <c r="S1252" s="28"/>
      <c r="T1252" s="28"/>
      <c r="U1252" s="28"/>
      <c r="V1252" s="22"/>
      <c r="W1252" s="22"/>
      <c r="X1252" s="22"/>
      <c r="Y1252" s="22"/>
      <c r="Z1252" s="22"/>
      <c r="AA1252" s="22"/>
      <c r="AB1252" s="22"/>
      <c r="AC1252" s="22"/>
      <c r="AD1252" s="22"/>
    </row>
    <row r="1253" spans="1:30" ht="15.75" customHeight="1" x14ac:dyDescent="0.15">
      <c r="A1253" s="22"/>
      <c r="B1253" s="22"/>
      <c r="C1253" s="22"/>
      <c r="D1253" s="22"/>
      <c r="E1253" s="22"/>
      <c r="F1253" s="28"/>
      <c r="G1253" s="28"/>
      <c r="H1253" s="28"/>
      <c r="I1253" s="28"/>
      <c r="J1253" s="28"/>
      <c r="K1253" s="28"/>
      <c r="L1253" s="28"/>
      <c r="M1253" s="22"/>
      <c r="N1253" s="22"/>
      <c r="O1253" s="22"/>
      <c r="P1253" s="22"/>
      <c r="Q1253" s="22"/>
      <c r="R1253" s="28"/>
      <c r="S1253" s="28"/>
      <c r="T1253" s="28"/>
      <c r="U1253" s="28"/>
      <c r="V1253" s="22"/>
      <c r="W1253" s="22"/>
      <c r="X1253" s="22"/>
      <c r="Y1253" s="22"/>
      <c r="Z1253" s="22"/>
      <c r="AA1253" s="22"/>
      <c r="AB1253" s="22"/>
      <c r="AC1253" s="22"/>
      <c r="AD1253" s="22"/>
    </row>
    <row r="1254" spans="1:30" ht="15.75" customHeight="1" x14ac:dyDescent="0.15">
      <c r="A1254" s="22"/>
      <c r="B1254" s="22"/>
      <c r="C1254" s="22"/>
      <c r="D1254" s="22"/>
      <c r="E1254" s="22"/>
      <c r="F1254" s="28"/>
      <c r="G1254" s="28"/>
      <c r="H1254" s="28"/>
      <c r="I1254" s="28"/>
      <c r="J1254" s="28"/>
      <c r="K1254" s="28"/>
      <c r="L1254" s="28"/>
      <c r="M1254" s="22"/>
      <c r="N1254" s="22"/>
      <c r="O1254" s="22"/>
      <c r="P1254" s="22"/>
      <c r="Q1254" s="22"/>
      <c r="R1254" s="28"/>
      <c r="S1254" s="28"/>
      <c r="T1254" s="28"/>
      <c r="U1254" s="28"/>
      <c r="V1254" s="22"/>
      <c r="W1254" s="22"/>
      <c r="X1254" s="22"/>
      <c r="Y1254" s="22"/>
      <c r="Z1254" s="22"/>
      <c r="AA1254" s="22"/>
      <c r="AB1254" s="22"/>
      <c r="AC1254" s="22"/>
      <c r="AD1254" s="22"/>
    </row>
    <row r="1255" spans="1:30" ht="15.75" customHeight="1" x14ac:dyDescent="0.15">
      <c r="A1255" s="22"/>
      <c r="B1255" s="22"/>
      <c r="C1255" s="22"/>
      <c r="D1255" s="22"/>
      <c r="E1255" s="22"/>
      <c r="F1255" s="28"/>
      <c r="G1255" s="28"/>
      <c r="H1255" s="28"/>
      <c r="I1255" s="28"/>
      <c r="J1255" s="28"/>
      <c r="K1255" s="28"/>
      <c r="L1255" s="28"/>
      <c r="M1255" s="22"/>
      <c r="N1255" s="22"/>
      <c r="O1255" s="22"/>
      <c r="P1255" s="22"/>
      <c r="Q1255" s="22"/>
      <c r="R1255" s="28"/>
      <c r="S1255" s="28"/>
      <c r="T1255" s="28"/>
      <c r="U1255" s="28"/>
      <c r="V1255" s="22"/>
      <c r="W1255" s="22"/>
      <c r="X1255" s="22"/>
      <c r="Y1255" s="22"/>
      <c r="Z1255" s="22"/>
      <c r="AA1255" s="22"/>
      <c r="AB1255" s="22"/>
      <c r="AC1255" s="22"/>
      <c r="AD1255" s="22"/>
    </row>
    <row r="1256" spans="1:30" ht="15.75" customHeight="1" x14ac:dyDescent="0.15">
      <c r="A1256" s="22"/>
      <c r="B1256" s="22"/>
      <c r="C1256" s="22"/>
      <c r="D1256" s="22"/>
      <c r="E1256" s="22"/>
      <c r="F1256" s="28"/>
      <c r="G1256" s="28"/>
      <c r="H1256" s="28"/>
      <c r="I1256" s="28"/>
      <c r="J1256" s="28"/>
      <c r="K1256" s="28"/>
      <c r="L1256" s="28"/>
      <c r="M1256" s="22"/>
      <c r="N1256" s="22"/>
      <c r="O1256" s="22"/>
      <c r="P1256" s="22"/>
      <c r="Q1256" s="22"/>
      <c r="R1256" s="28"/>
      <c r="S1256" s="28"/>
      <c r="T1256" s="28"/>
      <c r="U1256" s="28"/>
      <c r="V1256" s="22"/>
      <c r="W1256" s="22"/>
      <c r="X1256" s="22"/>
      <c r="Y1256" s="22"/>
      <c r="Z1256" s="22"/>
      <c r="AA1256" s="22"/>
      <c r="AB1256" s="22"/>
      <c r="AC1256" s="22"/>
      <c r="AD1256" s="22"/>
    </row>
    <row r="1257" spans="1:30" ht="15.75" customHeight="1" x14ac:dyDescent="0.15">
      <c r="A1257" s="22"/>
      <c r="B1257" s="22"/>
      <c r="C1257" s="22"/>
      <c r="D1257" s="22"/>
      <c r="E1257" s="22"/>
      <c r="F1257" s="28"/>
      <c r="G1257" s="28"/>
      <c r="H1257" s="28"/>
      <c r="I1257" s="28"/>
      <c r="J1257" s="28"/>
      <c r="K1257" s="28"/>
      <c r="L1257" s="28"/>
      <c r="M1257" s="22"/>
      <c r="N1257" s="22"/>
      <c r="O1257" s="22"/>
      <c r="P1257" s="22"/>
      <c r="Q1257" s="22"/>
      <c r="R1257" s="28"/>
      <c r="S1257" s="28"/>
      <c r="T1257" s="28"/>
      <c r="U1257" s="28"/>
      <c r="V1257" s="22"/>
      <c r="W1257" s="22"/>
      <c r="X1257" s="22"/>
      <c r="Y1257" s="22"/>
      <c r="Z1257" s="22"/>
      <c r="AA1257" s="22"/>
      <c r="AB1257" s="22"/>
      <c r="AC1257" s="22"/>
      <c r="AD1257" s="22"/>
    </row>
    <row r="1258" spans="1:30" ht="15.75" customHeight="1" x14ac:dyDescent="0.15">
      <c r="A1258" s="22"/>
      <c r="B1258" s="22"/>
      <c r="C1258" s="22"/>
      <c r="D1258" s="22"/>
      <c r="E1258" s="22"/>
      <c r="F1258" s="28"/>
      <c r="G1258" s="28"/>
      <c r="H1258" s="28"/>
      <c r="I1258" s="28"/>
      <c r="J1258" s="28"/>
      <c r="K1258" s="28"/>
      <c r="L1258" s="28"/>
      <c r="M1258" s="22"/>
      <c r="N1258" s="22"/>
      <c r="O1258" s="22"/>
      <c r="P1258" s="22"/>
      <c r="Q1258" s="22"/>
      <c r="R1258" s="28"/>
      <c r="S1258" s="28"/>
      <c r="T1258" s="28"/>
      <c r="U1258" s="28"/>
      <c r="V1258" s="22"/>
      <c r="W1258" s="22"/>
      <c r="X1258" s="22"/>
      <c r="Y1258" s="22"/>
      <c r="Z1258" s="22"/>
      <c r="AA1258" s="22"/>
      <c r="AB1258" s="22"/>
      <c r="AC1258" s="22"/>
      <c r="AD1258" s="22"/>
    </row>
    <row r="1259" spans="1:30" ht="15.75" customHeight="1" x14ac:dyDescent="0.15">
      <c r="A1259" s="22"/>
      <c r="B1259" s="22"/>
      <c r="C1259" s="22"/>
      <c r="D1259" s="22"/>
      <c r="E1259" s="22"/>
      <c r="F1259" s="28"/>
      <c r="G1259" s="28"/>
      <c r="H1259" s="28"/>
      <c r="I1259" s="28"/>
      <c r="J1259" s="28"/>
      <c r="K1259" s="28"/>
      <c r="L1259" s="28"/>
      <c r="M1259" s="22"/>
      <c r="N1259" s="22"/>
      <c r="O1259" s="22"/>
      <c r="P1259" s="22"/>
      <c r="Q1259" s="22"/>
      <c r="R1259" s="28"/>
      <c r="S1259" s="28"/>
      <c r="T1259" s="28"/>
      <c r="U1259" s="28"/>
      <c r="V1259" s="22"/>
      <c r="W1259" s="22"/>
      <c r="X1259" s="22"/>
      <c r="Y1259" s="22"/>
      <c r="Z1259" s="22"/>
      <c r="AA1259" s="22"/>
      <c r="AB1259" s="22"/>
      <c r="AC1259" s="22"/>
      <c r="AD1259" s="22"/>
    </row>
    <row r="1260" spans="1:30" ht="15.75" customHeight="1" x14ac:dyDescent="0.15">
      <c r="A1260" s="22"/>
      <c r="B1260" s="22"/>
      <c r="C1260" s="22"/>
      <c r="D1260" s="22"/>
      <c r="E1260" s="22"/>
      <c r="F1260" s="28"/>
      <c r="G1260" s="28"/>
      <c r="H1260" s="28"/>
      <c r="I1260" s="28"/>
      <c r="J1260" s="28"/>
      <c r="K1260" s="28"/>
      <c r="L1260" s="28"/>
      <c r="M1260" s="22"/>
      <c r="N1260" s="22"/>
      <c r="O1260" s="22"/>
      <c r="P1260" s="22"/>
      <c r="Q1260" s="22"/>
      <c r="R1260" s="28"/>
      <c r="S1260" s="28"/>
      <c r="T1260" s="28"/>
      <c r="U1260" s="28"/>
      <c r="V1260" s="22"/>
      <c r="W1260" s="22"/>
      <c r="X1260" s="22"/>
      <c r="Y1260" s="22"/>
      <c r="Z1260" s="22"/>
      <c r="AA1260" s="22"/>
      <c r="AB1260" s="22"/>
      <c r="AC1260" s="22"/>
      <c r="AD1260" s="22"/>
    </row>
    <row r="1261" spans="1:30" ht="15.75" customHeight="1" x14ac:dyDescent="0.15">
      <c r="A1261" s="22"/>
      <c r="B1261" s="22"/>
      <c r="C1261" s="22"/>
      <c r="D1261" s="22"/>
      <c r="E1261" s="22"/>
      <c r="F1261" s="28"/>
      <c r="G1261" s="28"/>
      <c r="H1261" s="28"/>
      <c r="I1261" s="28"/>
      <c r="J1261" s="28"/>
      <c r="K1261" s="28"/>
      <c r="L1261" s="28"/>
      <c r="M1261" s="22"/>
      <c r="N1261" s="22"/>
      <c r="O1261" s="22"/>
      <c r="P1261" s="22"/>
      <c r="Q1261" s="22"/>
      <c r="R1261" s="28"/>
      <c r="S1261" s="28"/>
      <c r="T1261" s="28"/>
      <c r="U1261" s="28"/>
      <c r="V1261" s="22"/>
      <c r="W1261" s="22"/>
      <c r="X1261" s="22"/>
      <c r="Y1261" s="22"/>
      <c r="Z1261" s="22"/>
      <c r="AA1261" s="22"/>
      <c r="AB1261" s="22"/>
      <c r="AC1261" s="22"/>
      <c r="AD1261" s="22"/>
    </row>
    <row r="1262" spans="1:30" ht="15.75" customHeight="1" x14ac:dyDescent="0.15">
      <c r="A1262" s="22"/>
      <c r="B1262" s="22"/>
      <c r="C1262" s="22"/>
      <c r="D1262" s="22"/>
      <c r="E1262" s="22"/>
      <c r="F1262" s="28"/>
      <c r="G1262" s="28"/>
      <c r="H1262" s="28"/>
      <c r="I1262" s="28"/>
      <c r="J1262" s="28"/>
      <c r="K1262" s="28"/>
      <c r="L1262" s="28"/>
      <c r="M1262" s="22"/>
      <c r="N1262" s="22"/>
      <c r="O1262" s="22"/>
      <c r="P1262" s="22"/>
      <c r="Q1262" s="22"/>
      <c r="R1262" s="28"/>
      <c r="S1262" s="28"/>
      <c r="T1262" s="28"/>
      <c r="U1262" s="28"/>
      <c r="V1262" s="22"/>
      <c r="W1262" s="22"/>
      <c r="X1262" s="22"/>
      <c r="Y1262" s="22"/>
      <c r="Z1262" s="22"/>
      <c r="AA1262" s="22"/>
      <c r="AB1262" s="22"/>
      <c r="AC1262" s="22"/>
      <c r="AD1262" s="22"/>
    </row>
    <row r="1263" spans="1:30" ht="15.75" customHeight="1" x14ac:dyDescent="0.15">
      <c r="A1263" s="22"/>
      <c r="B1263" s="22"/>
      <c r="C1263" s="22"/>
      <c r="D1263" s="22"/>
      <c r="E1263" s="22"/>
      <c r="F1263" s="28"/>
      <c r="G1263" s="28"/>
      <c r="H1263" s="28"/>
      <c r="I1263" s="28"/>
      <c r="J1263" s="28"/>
      <c r="K1263" s="28"/>
      <c r="L1263" s="28"/>
      <c r="M1263" s="22"/>
      <c r="N1263" s="22"/>
      <c r="O1263" s="22"/>
      <c r="P1263" s="22"/>
      <c r="Q1263" s="22"/>
      <c r="R1263" s="28"/>
      <c r="S1263" s="28"/>
      <c r="T1263" s="28"/>
      <c r="U1263" s="28"/>
      <c r="V1263" s="22"/>
      <c r="W1263" s="22"/>
      <c r="X1263" s="22"/>
      <c r="Y1263" s="22"/>
      <c r="Z1263" s="22"/>
      <c r="AA1263" s="22"/>
      <c r="AB1263" s="22"/>
      <c r="AC1263" s="22"/>
      <c r="AD1263" s="22"/>
    </row>
    <row r="1264" spans="1:30" ht="15.75" customHeight="1" x14ac:dyDescent="0.15">
      <c r="A1264" s="22"/>
      <c r="B1264" s="22"/>
      <c r="C1264" s="22"/>
      <c r="D1264" s="22"/>
      <c r="E1264" s="22"/>
      <c r="F1264" s="28"/>
      <c r="G1264" s="28"/>
      <c r="H1264" s="28"/>
      <c r="I1264" s="28"/>
      <c r="J1264" s="28"/>
      <c r="K1264" s="28"/>
      <c r="L1264" s="28"/>
      <c r="M1264" s="22"/>
      <c r="N1264" s="22"/>
      <c r="O1264" s="22"/>
      <c r="P1264" s="22"/>
      <c r="Q1264" s="22"/>
      <c r="R1264" s="28"/>
      <c r="S1264" s="28"/>
      <c r="T1264" s="28"/>
      <c r="U1264" s="28"/>
      <c r="V1264" s="22"/>
      <c r="W1264" s="22"/>
      <c r="X1264" s="22"/>
      <c r="Y1264" s="22"/>
      <c r="Z1264" s="22"/>
      <c r="AA1264" s="22"/>
      <c r="AB1264" s="22"/>
      <c r="AC1264" s="22"/>
      <c r="AD1264" s="22"/>
    </row>
    <row r="1265" spans="1:30" ht="15.75" customHeight="1" x14ac:dyDescent="0.15">
      <c r="A1265" s="22"/>
      <c r="B1265" s="22"/>
      <c r="C1265" s="22"/>
      <c r="D1265" s="22"/>
      <c r="E1265" s="22"/>
      <c r="F1265" s="28"/>
      <c r="G1265" s="28"/>
      <c r="H1265" s="28"/>
      <c r="I1265" s="28"/>
      <c r="J1265" s="28"/>
      <c r="K1265" s="28"/>
      <c r="L1265" s="28"/>
      <c r="M1265" s="22"/>
      <c r="N1265" s="22"/>
      <c r="O1265" s="22"/>
      <c r="P1265" s="22"/>
      <c r="Q1265" s="22"/>
      <c r="R1265" s="28"/>
      <c r="S1265" s="28"/>
      <c r="T1265" s="28"/>
      <c r="U1265" s="28"/>
      <c r="V1265" s="22"/>
      <c r="W1265" s="22"/>
      <c r="X1265" s="22"/>
      <c r="Y1265" s="22"/>
      <c r="Z1265" s="22"/>
      <c r="AA1265" s="22"/>
      <c r="AB1265" s="22"/>
      <c r="AC1265" s="22"/>
      <c r="AD1265" s="22"/>
    </row>
    <row r="1266" spans="1:30" ht="15.75" customHeight="1" x14ac:dyDescent="0.15">
      <c r="A1266" s="22"/>
      <c r="B1266" s="22"/>
      <c r="C1266" s="22"/>
      <c r="D1266" s="22"/>
      <c r="E1266" s="22"/>
      <c r="F1266" s="28"/>
      <c r="G1266" s="28"/>
      <c r="H1266" s="28"/>
      <c r="I1266" s="28"/>
      <c r="J1266" s="28"/>
      <c r="K1266" s="28"/>
      <c r="L1266" s="28"/>
      <c r="M1266" s="22"/>
      <c r="N1266" s="22"/>
      <c r="O1266" s="22"/>
      <c r="P1266" s="22"/>
      <c r="Q1266" s="22"/>
      <c r="R1266" s="28"/>
      <c r="S1266" s="28"/>
      <c r="T1266" s="28"/>
      <c r="U1266" s="28"/>
      <c r="V1266" s="22"/>
      <c r="W1266" s="22"/>
      <c r="X1266" s="22"/>
      <c r="Y1266" s="22"/>
      <c r="Z1266" s="22"/>
      <c r="AA1266" s="22"/>
      <c r="AB1266" s="22"/>
      <c r="AC1266" s="22"/>
      <c r="AD1266" s="22"/>
    </row>
    <row r="1267" spans="1:30" ht="15.75" customHeight="1" x14ac:dyDescent="0.15">
      <c r="A1267" s="22"/>
      <c r="B1267" s="22"/>
      <c r="C1267" s="22"/>
      <c r="D1267" s="22"/>
      <c r="E1267" s="22"/>
      <c r="F1267" s="28"/>
      <c r="G1267" s="28"/>
      <c r="H1267" s="28"/>
      <c r="I1267" s="28"/>
      <c r="J1267" s="28"/>
      <c r="K1267" s="28"/>
      <c r="L1267" s="28"/>
      <c r="M1267" s="22"/>
      <c r="N1267" s="22"/>
      <c r="O1267" s="22"/>
      <c r="P1267" s="22"/>
      <c r="Q1267" s="22"/>
      <c r="R1267" s="28"/>
      <c r="S1267" s="28"/>
      <c r="T1267" s="28"/>
      <c r="U1267" s="28"/>
      <c r="V1267" s="22"/>
      <c r="W1267" s="22"/>
      <c r="X1267" s="22"/>
      <c r="Y1267" s="22"/>
      <c r="Z1267" s="22"/>
      <c r="AA1267" s="22"/>
      <c r="AB1267" s="22"/>
      <c r="AC1267" s="22"/>
      <c r="AD1267" s="22"/>
    </row>
    <row r="1268" spans="1:30" ht="15.75" customHeight="1" x14ac:dyDescent="0.15">
      <c r="A1268" s="22"/>
      <c r="B1268" s="22"/>
      <c r="C1268" s="22"/>
      <c r="D1268" s="22"/>
      <c r="E1268" s="22"/>
      <c r="F1268" s="28"/>
      <c r="G1268" s="28"/>
      <c r="H1268" s="28"/>
      <c r="I1268" s="28"/>
      <c r="J1268" s="28"/>
      <c r="K1268" s="28"/>
      <c r="L1268" s="28"/>
      <c r="M1268" s="22"/>
      <c r="N1268" s="22"/>
      <c r="O1268" s="22"/>
      <c r="P1268" s="22"/>
      <c r="Q1268" s="22"/>
      <c r="R1268" s="28"/>
      <c r="S1268" s="28"/>
      <c r="T1268" s="28"/>
      <c r="U1268" s="28"/>
      <c r="V1268" s="22"/>
      <c r="W1268" s="22"/>
      <c r="X1268" s="22"/>
      <c r="Y1268" s="22"/>
      <c r="Z1268" s="22"/>
      <c r="AA1268" s="22"/>
      <c r="AB1268" s="22"/>
      <c r="AC1268" s="22"/>
      <c r="AD1268" s="22"/>
    </row>
    <row r="1269" spans="1:30" ht="15.75" customHeight="1" x14ac:dyDescent="0.15">
      <c r="A1269" s="22"/>
      <c r="B1269" s="22"/>
      <c r="C1269" s="22"/>
      <c r="D1269" s="22"/>
      <c r="E1269" s="22"/>
      <c r="F1269" s="28"/>
      <c r="G1269" s="28"/>
      <c r="H1269" s="28"/>
      <c r="I1269" s="28"/>
      <c r="J1269" s="28"/>
      <c r="K1269" s="28"/>
      <c r="L1269" s="28"/>
      <c r="M1269" s="22"/>
      <c r="N1269" s="22"/>
      <c r="O1269" s="22"/>
      <c r="P1269" s="22"/>
      <c r="Q1269" s="22"/>
      <c r="R1269" s="28"/>
      <c r="S1269" s="28"/>
      <c r="T1269" s="28"/>
      <c r="U1269" s="28"/>
      <c r="V1269" s="22"/>
      <c r="W1269" s="22"/>
      <c r="X1269" s="22"/>
      <c r="Y1269" s="22"/>
      <c r="Z1269" s="22"/>
      <c r="AA1269" s="22"/>
      <c r="AB1269" s="22"/>
      <c r="AC1269" s="22"/>
      <c r="AD1269" s="22"/>
    </row>
    <row r="1270" spans="1:30" ht="15.75" customHeight="1" x14ac:dyDescent="0.15">
      <c r="A1270" s="22"/>
      <c r="B1270" s="22"/>
      <c r="C1270" s="22"/>
      <c r="D1270" s="22"/>
      <c r="E1270" s="22"/>
      <c r="F1270" s="28"/>
      <c r="G1270" s="28"/>
      <c r="H1270" s="28"/>
      <c r="I1270" s="28"/>
      <c r="J1270" s="28"/>
      <c r="K1270" s="28"/>
      <c r="L1270" s="28"/>
      <c r="M1270" s="22"/>
      <c r="N1270" s="22"/>
      <c r="O1270" s="22"/>
      <c r="P1270" s="22"/>
      <c r="Q1270" s="22"/>
      <c r="R1270" s="28"/>
      <c r="S1270" s="28"/>
      <c r="T1270" s="28"/>
      <c r="U1270" s="28"/>
      <c r="V1270" s="22"/>
      <c r="W1270" s="22"/>
      <c r="X1270" s="22"/>
      <c r="Y1270" s="22"/>
      <c r="Z1270" s="22"/>
      <c r="AA1270" s="22"/>
      <c r="AB1270" s="22"/>
      <c r="AC1270" s="22"/>
      <c r="AD1270" s="22"/>
    </row>
    <row r="1271" spans="1:30" ht="15.75" customHeight="1" x14ac:dyDescent="0.15">
      <c r="A1271" s="22"/>
      <c r="B1271" s="22"/>
      <c r="C1271" s="22"/>
      <c r="D1271" s="22"/>
      <c r="E1271" s="22"/>
      <c r="F1271" s="28"/>
      <c r="G1271" s="28"/>
      <c r="H1271" s="28"/>
      <c r="I1271" s="28"/>
      <c r="J1271" s="28"/>
      <c r="K1271" s="28"/>
      <c r="L1271" s="28"/>
      <c r="M1271" s="22"/>
      <c r="N1271" s="22"/>
      <c r="O1271" s="22"/>
      <c r="P1271" s="22"/>
      <c r="Q1271" s="22"/>
      <c r="R1271" s="28"/>
      <c r="S1271" s="28"/>
      <c r="T1271" s="28"/>
      <c r="U1271" s="28"/>
      <c r="V1271" s="22"/>
      <c r="W1271" s="22"/>
      <c r="X1271" s="22"/>
      <c r="Y1271" s="22"/>
      <c r="Z1271" s="22"/>
      <c r="AA1271" s="22"/>
      <c r="AB1271" s="22"/>
      <c r="AC1271" s="22"/>
      <c r="AD1271" s="22"/>
    </row>
    <row r="1272" spans="1:30" ht="15.75" customHeight="1" x14ac:dyDescent="0.15">
      <c r="A1272" s="22"/>
      <c r="B1272" s="22"/>
      <c r="C1272" s="22"/>
      <c r="D1272" s="22"/>
      <c r="E1272" s="22"/>
      <c r="F1272" s="28"/>
      <c r="G1272" s="28"/>
      <c r="H1272" s="28"/>
      <c r="I1272" s="28"/>
      <c r="J1272" s="28"/>
      <c r="K1272" s="28"/>
      <c r="L1272" s="28"/>
      <c r="M1272" s="22"/>
      <c r="N1272" s="22"/>
      <c r="O1272" s="22"/>
      <c r="P1272" s="22"/>
      <c r="Q1272" s="22"/>
      <c r="R1272" s="28"/>
      <c r="S1272" s="28"/>
      <c r="T1272" s="28"/>
      <c r="U1272" s="28"/>
      <c r="V1272" s="22"/>
      <c r="W1272" s="22"/>
      <c r="X1272" s="22"/>
      <c r="Y1272" s="22"/>
      <c r="Z1272" s="22"/>
      <c r="AA1272" s="22"/>
      <c r="AB1272" s="22"/>
      <c r="AC1272" s="22"/>
      <c r="AD1272" s="22"/>
    </row>
    <row r="1273" spans="1:30" ht="15.75" customHeight="1" x14ac:dyDescent="0.15">
      <c r="A1273" s="22"/>
      <c r="B1273" s="22"/>
      <c r="C1273" s="22"/>
      <c r="D1273" s="22"/>
      <c r="E1273" s="22"/>
      <c r="F1273" s="28"/>
      <c r="G1273" s="28"/>
      <c r="H1273" s="28"/>
      <c r="I1273" s="28"/>
      <c r="J1273" s="28"/>
      <c r="K1273" s="28"/>
      <c r="L1273" s="28"/>
      <c r="M1273" s="22"/>
      <c r="N1273" s="22"/>
      <c r="O1273" s="22"/>
      <c r="P1273" s="22"/>
      <c r="Q1273" s="22"/>
      <c r="R1273" s="28"/>
      <c r="S1273" s="28"/>
      <c r="T1273" s="28"/>
      <c r="U1273" s="28"/>
      <c r="V1273" s="22"/>
      <c r="W1273" s="22"/>
      <c r="X1273" s="22"/>
      <c r="Y1273" s="22"/>
      <c r="Z1273" s="22"/>
      <c r="AA1273" s="22"/>
      <c r="AB1273" s="22"/>
      <c r="AC1273" s="22"/>
      <c r="AD1273" s="22"/>
    </row>
    <row r="1274" spans="1:30" ht="15.75" customHeight="1" x14ac:dyDescent="0.15">
      <c r="A1274" s="22"/>
      <c r="B1274" s="22"/>
      <c r="C1274" s="22"/>
      <c r="D1274" s="22"/>
      <c r="E1274" s="22"/>
      <c r="F1274" s="28"/>
      <c r="G1274" s="28"/>
      <c r="H1274" s="28"/>
      <c r="I1274" s="28"/>
      <c r="J1274" s="28"/>
      <c r="K1274" s="28"/>
      <c r="L1274" s="28"/>
      <c r="M1274" s="22"/>
      <c r="N1274" s="22"/>
      <c r="O1274" s="22"/>
      <c r="P1274" s="22"/>
      <c r="Q1274" s="22"/>
      <c r="R1274" s="28"/>
      <c r="S1274" s="28"/>
      <c r="T1274" s="28"/>
      <c r="U1274" s="28"/>
      <c r="V1274" s="22"/>
      <c r="W1274" s="22"/>
      <c r="X1274" s="22"/>
      <c r="Y1274" s="22"/>
      <c r="Z1274" s="22"/>
      <c r="AA1274" s="22"/>
      <c r="AB1274" s="22"/>
      <c r="AC1274" s="22"/>
      <c r="AD1274" s="22"/>
    </row>
    <row r="1275" spans="1:30" ht="15.75" customHeight="1" x14ac:dyDescent="0.15">
      <c r="A1275" s="22"/>
      <c r="B1275" s="22"/>
      <c r="C1275" s="22"/>
      <c r="D1275" s="22"/>
      <c r="E1275" s="22"/>
      <c r="F1275" s="28"/>
      <c r="G1275" s="28"/>
      <c r="H1275" s="28"/>
      <c r="I1275" s="28"/>
      <c r="J1275" s="28"/>
      <c r="K1275" s="28"/>
      <c r="L1275" s="28"/>
      <c r="M1275" s="22"/>
      <c r="N1275" s="22"/>
      <c r="O1275" s="22"/>
      <c r="P1275" s="22"/>
      <c r="Q1275" s="22"/>
      <c r="R1275" s="28"/>
      <c r="S1275" s="28"/>
      <c r="T1275" s="28"/>
      <c r="U1275" s="28"/>
      <c r="V1275" s="22"/>
      <c r="W1275" s="22"/>
      <c r="X1275" s="22"/>
      <c r="Y1275" s="22"/>
      <c r="Z1275" s="22"/>
      <c r="AA1275" s="22"/>
      <c r="AB1275" s="22"/>
      <c r="AC1275" s="22"/>
      <c r="AD1275" s="22"/>
    </row>
    <row r="1276" spans="1:30" ht="15.75" customHeight="1" x14ac:dyDescent="0.15">
      <c r="A1276" s="22"/>
      <c r="B1276" s="22"/>
      <c r="C1276" s="22"/>
      <c r="D1276" s="22"/>
      <c r="E1276" s="22"/>
      <c r="F1276" s="28"/>
      <c r="G1276" s="28"/>
      <c r="H1276" s="28"/>
      <c r="I1276" s="28"/>
      <c r="J1276" s="28"/>
      <c r="K1276" s="28"/>
      <c r="L1276" s="28"/>
      <c r="M1276" s="22"/>
      <c r="N1276" s="22"/>
      <c r="O1276" s="22"/>
      <c r="P1276" s="22"/>
      <c r="Q1276" s="22"/>
      <c r="R1276" s="28"/>
      <c r="S1276" s="28"/>
      <c r="T1276" s="28"/>
      <c r="U1276" s="28"/>
      <c r="V1276" s="22"/>
      <c r="W1276" s="22"/>
      <c r="X1276" s="22"/>
      <c r="Y1276" s="22"/>
      <c r="Z1276" s="22"/>
      <c r="AA1276" s="22"/>
      <c r="AB1276" s="22"/>
      <c r="AC1276" s="22"/>
      <c r="AD1276" s="22"/>
    </row>
    <row r="1277" spans="1:30" ht="15.75" customHeight="1" x14ac:dyDescent="0.15">
      <c r="A1277" s="22"/>
      <c r="B1277" s="22"/>
      <c r="C1277" s="22"/>
      <c r="D1277" s="22"/>
      <c r="E1277" s="22"/>
      <c r="F1277" s="28"/>
      <c r="G1277" s="28"/>
      <c r="H1277" s="28"/>
      <c r="I1277" s="28"/>
      <c r="J1277" s="28"/>
      <c r="K1277" s="28"/>
      <c r="L1277" s="28"/>
      <c r="M1277" s="22"/>
      <c r="N1277" s="22"/>
      <c r="O1277" s="22"/>
      <c r="P1277" s="22"/>
      <c r="Q1277" s="22"/>
      <c r="R1277" s="28"/>
      <c r="S1277" s="28"/>
      <c r="T1277" s="28"/>
      <c r="U1277" s="28"/>
      <c r="V1277" s="22"/>
      <c r="W1277" s="22"/>
      <c r="X1277" s="22"/>
      <c r="Y1277" s="22"/>
      <c r="Z1277" s="22"/>
      <c r="AA1277" s="22"/>
      <c r="AB1277" s="22"/>
      <c r="AC1277" s="22"/>
      <c r="AD1277" s="22"/>
    </row>
    <row r="1278" spans="1:30" ht="15.75" customHeight="1" x14ac:dyDescent="0.15">
      <c r="A1278" s="22"/>
      <c r="B1278" s="22"/>
      <c r="C1278" s="22"/>
      <c r="D1278" s="22"/>
      <c r="E1278" s="22"/>
      <c r="F1278" s="28"/>
      <c r="G1278" s="28"/>
      <c r="H1278" s="28"/>
      <c r="I1278" s="28"/>
      <c r="J1278" s="28"/>
      <c r="K1278" s="28"/>
      <c r="L1278" s="28"/>
      <c r="M1278" s="22"/>
      <c r="N1278" s="22"/>
      <c r="O1278" s="22"/>
      <c r="P1278" s="22"/>
      <c r="Q1278" s="22"/>
      <c r="R1278" s="28"/>
      <c r="S1278" s="28"/>
      <c r="T1278" s="28"/>
      <c r="U1278" s="28"/>
      <c r="V1278" s="22"/>
      <c r="W1278" s="22"/>
      <c r="X1278" s="22"/>
      <c r="Y1278" s="22"/>
      <c r="Z1278" s="22"/>
      <c r="AA1278" s="22"/>
      <c r="AB1278" s="22"/>
      <c r="AC1278" s="22"/>
      <c r="AD1278" s="22"/>
    </row>
    <row r="1279" spans="1:30" ht="15.75" customHeight="1" x14ac:dyDescent="0.15">
      <c r="A1279" s="22"/>
      <c r="B1279" s="22"/>
      <c r="C1279" s="22"/>
      <c r="D1279" s="22"/>
      <c r="E1279" s="22"/>
      <c r="F1279" s="28"/>
      <c r="G1279" s="28"/>
      <c r="H1279" s="28"/>
      <c r="I1279" s="28"/>
      <c r="J1279" s="28"/>
      <c r="K1279" s="28"/>
      <c r="L1279" s="28"/>
      <c r="M1279" s="22"/>
      <c r="N1279" s="22"/>
      <c r="O1279" s="22"/>
      <c r="P1279" s="22"/>
      <c r="Q1279" s="22"/>
      <c r="R1279" s="28"/>
      <c r="S1279" s="28"/>
      <c r="T1279" s="28"/>
      <c r="U1279" s="28"/>
      <c r="V1279" s="22"/>
      <c r="W1279" s="22"/>
      <c r="X1279" s="22"/>
      <c r="Y1279" s="22"/>
      <c r="Z1279" s="22"/>
      <c r="AA1279" s="22"/>
      <c r="AB1279" s="22"/>
      <c r="AC1279" s="22"/>
      <c r="AD1279" s="22"/>
    </row>
    <row r="1280" spans="1:30" ht="15.75" customHeight="1" x14ac:dyDescent="0.15">
      <c r="A1280" s="22"/>
      <c r="B1280" s="22"/>
      <c r="C1280" s="22"/>
      <c r="D1280" s="22"/>
      <c r="E1280" s="22"/>
      <c r="F1280" s="28"/>
      <c r="G1280" s="28"/>
      <c r="H1280" s="28"/>
      <c r="I1280" s="28"/>
      <c r="J1280" s="28"/>
      <c r="K1280" s="28"/>
      <c r="L1280" s="28"/>
      <c r="M1280" s="22"/>
      <c r="N1280" s="22"/>
      <c r="O1280" s="22"/>
      <c r="P1280" s="22"/>
      <c r="Q1280" s="22"/>
      <c r="R1280" s="28"/>
      <c r="S1280" s="28"/>
      <c r="T1280" s="28"/>
      <c r="U1280" s="28"/>
      <c r="V1280" s="22"/>
      <c r="W1280" s="22"/>
      <c r="X1280" s="22"/>
      <c r="Y1280" s="22"/>
      <c r="Z1280" s="22"/>
      <c r="AA1280" s="22"/>
      <c r="AB1280" s="22"/>
      <c r="AC1280" s="22"/>
      <c r="AD1280" s="22"/>
    </row>
    <row r="1281" spans="1:30" ht="15.75" customHeight="1" x14ac:dyDescent="0.15">
      <c r="A1281" s="22"/>
      <c r="B1281" s="22"/>
      <c r="C1281" s="22"/>
      <c r="D1281" s="22"/>
      <c r="E1281" s="22"/>
      <c r="F1281" s="28"/>
      <c r="G1281" s="28"/>
      <c r="H1281" s="28"/>
      <c r="I1281" s="28"/>
      <c r="J1281" s="28"/>
      <c r="K1281" s="28"/>
      <c r="L1281" s="28"/>
      <c r="M1281" s="22"/>
      <c r="N1281" s="22"/>
      <c r="O1281" s="22"/>
      <c r="P1281" s="22"/>
      <c r="Q1281" s="22"/>
      <c r="R1281" s="28"/>
      <c r="S1281" s="28"/>
      <c r="T1281" s="28"/>
      <c r="U1281" s="28"/>
      <c r="V1281" s="22"/>
      <c r="W1281" s="22"/>
      <c r="X1281" s="22"/>
      <c r="Y1281" s="22"/>
      <c r="Z1281" s="22"/>
      <c r="AA1281" s="22"/>
      <c r="AB1281" s="22"/>
      <c r="AC1281" s="22"/>
      <c r="AD1281" s="22"/>
    </row>
    <row r="1282" spans="1:30" ht="15.75" customHeight="1" x14ac:dyDescent="0.15">
      <c r="A1282" s="22"/>
      <c r="B1282" s="22"/>
      <c r="C1282" s="22"/>
      <c r="D1282" s="22"/>
      <c r="E1282" s="22"/>
      <c r="F1282" s="28"/>
      <c r="G1282" s="28"/>
      <c r="H1282" s="28"/>
      <c r="I1282" s="28"/>
      <c r="J1282" s="28"/>
      <c r="K1282" s="28"/>
      <c r="L1282" s="28"/>
      <c r="M1282" s="22"/>
      <c r="N1282" s="22"/>
      <c r="O1282" s="22"/>
      <c r="P1282" s="22"/>
      <c r="Q1282" s="22"/>
      <c r="R1282" s="28"/>
      <c r="S1282" s="28"/>
      <c r="T1282" s="28"/>
      <c r="U1282" s="28"/>
      <c r="V1282" s="22"/>
      <c r="W1282" s="22"/>
      <c r="X1282" s="22"/>
      <c r="Y1282" s="22"/>
      <c r="Z1282" s="22"/>
      <c r="AA1282" s="22"/>
      <c r="AB1282" s="22"/>
      <c r="AC1282" s="22"/>
      <c r="AD1282" s="22"/>
    </row>
    <row r="1283" spans="1:30" ht="15.75" customHeight="1" x14ac:dyDescent="0.15">
      <c r="A1283" s="22"/>
      <c r="B1283" s="22"/>
      <c r="C1283" s="22"/>
      <c r="D1283" s="22"/>
      <c r="E1283" s="22"/>
      <c r="F1283" s="28"/>
      <c r="G1283" s="28"/>
      <c r="H1283" s="28"/>
      <c r="I1283" s="28"/>
      <c r="J1283" s="28"/>
      <c r="K1283" s="28"/>
      <c r="L1283" s="28"/>
      <c r="M1283" s="22"/>
      <c r="N1283" s="22"/>
      <c r="O1283" s="22"/>
      <c r="P1283" s="22"/>
      <c r="Q1283" s="22"/>
      <c r="R1283" s="28"/>
      <c r="S1283" s="28"/>
      <c r="T1283" s="28"/>
      <c r="U1283" s="28"/>
      <c r="V1283" s="22"/>
      <c r="W1283" s="22"/>
      <c r="X1283" s="22"/>
      <c r="Y1283" s="22"/>
      <c r="Z1283" s="22"/>
      <c r="AA1283" s="22"/>
      <c r="AB1283" s="22"/>
      <c r="AC1283" s="22"/>
      <c r="AD1283" s="22"/>
    </row>
    <row r="1284" spans="1:30" ht="15.75" customHeight="1" x14ac:dyDescent="0.15">
      <c r="A1284" s="22"/>
      <c r="B1284" s="22"/>
      <c r="C1284" s="22"/>
      <c r="D1284" s="22"/>
      <c r="E1284" s="22"/>
      <c r="F1284" s="28"/>
      <c r="G1284" s="28"/>
      <c r="H1284" s="28"/>
      <c r="I1284" s="28"/>
      <c r="J1284" s="28"/>
      <c r="K1284" s="28"/>
      <c r="L1284" s="28"/>
      <c r="M1284" s="22"/>
      <c r="N1284" s="22"/>
      <c r="O1284" s="22"/>
      <c r="P1284" s="22"/>
      <c r="Q1284" s="22"/>
      <c r="R1284" s="28"/>
      <c r="S1284" s="28"/>
      <c r="T1284" s="28"/>
      <c r="U1284" s="28"/>
      <c r="V1284" s="22"/>
      <c r="W1284" s="22"/>
      <c r="X1284" s="22"/>
      <c r="Y1284" s="22"/>
      <c r="Z1284" s="22"/>
      <c r="AA1284" s="22"/>
      <c r="AB1284" s="22"/>
      <c r="AC1284" s="22"/>
      <c r="AD1284" s="22"/>
    </row>
    <row r="1285" spans="1:30" ht="15.75" customHeight="1" x14ac:dyDescent="0.15">
      <c r="A1285" s="22"/>
      <c r="B1285" s="22"/>
      <c r="C1285" s="22"/>
      <c r="D1285" s="22"/>
      <c r="E1285" s="22"/>
      <c r="F1285" s="28"/>
      <c r="G1285" s="28"/>
      <c r="H1285" s="28"/>
      <c r="I1285" s="28"/>
      <c r="J1285" s="28"/>
      <c r="K1285" s="28"/>
      <c r="L1285" s="28"/>
      <c r="M1285" s="22"/>
      <c r="N1285" s="22"/>
      <c r="O1285" s="22"/>
      <c r="P1285" s="22"/>
      <c r="Q1285" s="22"/>
      <c r="R1285" s="28"/>
      <c r="S1285" s="28"/>
      <c r="T1285" s="28"/>
      <c r="U1285" s="28"/>
      <c r="V1285" s="22"/>
      <c r="W1285" s="22"/>
      <c r="X1285" s="22"/>
      <c r="Y1285" s="22"/>
      <c r="Z1285" s="22"/>
      <c r="AA1285" s="22"/>
      <c r="AB1285" s="22"/>
      <c r="AC1285" s="22"/>
      <c r="AD1285" s="22"/>
    </row>
    <row r="1286" spans="1:30" ht="15.75" customHeight="1" x14ac:dyDescent="0.15">
      <c r="A1286" s="22"/>
      <c r="B1286" s="22"/>
      <c r="C1286" s="22"/>
      <c r="D1286" s="22"/>
      <c r="E1286" s="22"/>
      <c r="F1286" s="28"/>
      <c r="G1286" s="28"/>
      <c r="H1286" s="28"/>
      <c r="I1286" s="28"/>
      <c r="J1286" s="28"/>
      <c r="K1286" s="28"/>
      <c r="L1286" s="28"/>
      <c r="M1286" s="22"/>
      <c r="N1286" s="22"/>
      <c r="O1286" s="22"/>
      <c r="P1286" s="22"/>
      <c r="Q1286" s="22"/>
      <c r="R1286" s="28"/>
      <c r="S1286" s="28"/>
      <c r="T1286" s="28"/>
      <c r="U1286" s="28"/>
      <c r="V1286" s="22"/>
      <c r="W1286" s="22"/>
      <c r="X1286" s="22"/>
      <c r="Y1286" s="22"/>
      <c r="Z1286" s="22"/>
      <c r="AA1286" s="22"/>
      <c r="AB1286" s="22"/>
      <c r="AC1286" s="22"/>
      <c r="AD1286" s="22"/>
    </row>
    <row r="1287" spans="1:30" ht="15.75" customHeight="1" x14ac:dyDescent="0.15">
      <c r="A1287" s="22"/>
      <c r="B1287" s="22"/>
      <c r="C1287" s="22"/>
      <c r="D1287" s="22"/>
      <c r="E1287" s="22"/>
      <c r="F1287" s="28"/>
      <c r="G1287" s="28"/>
      <c r="H1287" s="28"/>
      <c r="I1287" s="28"/>
      <c r="J1287" s="28"/>
      <c r="K1287" s="28"/>
      <c r="L1287" s="28"/>
      <c r="M1287" s="22"/>
      <c r="N1287" s="22"/>
      <c r="O1287" s="22"/>
      <c r="P1287" s="22"/>
      <c r="Q1287" s="22"/>
      <c r="R1287" s="28"/>
      <c r="S1287" s="28"/>
      <c r="T1287" s="28"/>
      <c r="U1287" s="28"/>
      <c r="V1287" s="22"/>
      <c r="W1287" s="22"/>
      <c r="X1287" s="22"/>
      <c r="Y1287" s="22"/>
      <c r="Z1287" s="22"/>
      <c r="AA1287" s="22"/>
      <c r="AB1287" s="22"/>
      <c r="AC1287" s="22"/>
      <c r="AD1287" s="22"/>
    </row>
    <row r="1288" spans="1:30" ht="15.75" customHeight="1" x14ac:dyDescent="0.15">
      <c r="A1288" s="22"/>
      <c r="B1288" s="22"/>
      <c r="C1288" s="22"/>
      <c r="D1288" s="22"/>
      <c r="E1288" s="22"/>
      <c r="F1288" s="28"/>
      <c r="G1288" s="28"/>
      <c r="H1288" s="28"/>
      <c r="I1288" s="28"/>
      <c r="J1288" s="28"/>
      <c r="K1288" s="28"/>
      <c r="L1288" s="28"/>
      <c r="M1288" s="22"/>
      <c r="N1288" s="22"/>
      <c r="O1288" s="22"/>
      <c r="P1288" s="22"/>
      <c r="Q1288" s="22"/>
      <c r="R1288" s="28"/>
      <c r="S1288" s="28"/>
      <c r="T1288" s="28"/>
      <c r="U1288" s="28"/>
      <c r="V1288" s="22"/>
      <c r="W1288" s="22"/>
      <c r="X1288" s="22"/>
      <c r="Y1288" s="22"/>
      <c r="Z1288" s="22"/>
      <c r="AA1288" s="22"/>
      <c r="AB1288" s="22"/>
      <c r="AC1288" s="22"/>
      <c r="AD1288" s="22"/>
    </row>
    <row r="1289" spans="1:30" ht="15.75" customHeight="1" x14ac:dyDescent="0.15">
      <c r="A1289" s="22"/>
      <c r="B1289" s="22"/>
      <c r="C1289" s="22"/>
      <c r="D1289" s="22"/>
      <c r="E1289" s="22"/>
      <c r="F1289" s="28"/>
      <c r="G1289" s="28"/>
      <c r="H1289" s="28"/>
      <c r="I1289" s="28"/>
      <c r="J1289" s="28"/>
      <c r="K1289" s="28"/>
      <c r="L1289" s="28"/>
      <c r="M1289" s="22"/>
      <c r="N1289" s="22"/>
      <c r="O1289" s="22"/>
      <c r="P1289" s="22"/>
      <c r="Q1289" s="22"/>
      <c r="R1289" s="28"/>
      <c r="S1289" s="28"/>
      <c r="T1289" s="28"/>
      <c r="U1289" s="28"/>
      <c r="V1289" s="22"/>
      <c r="W1289" s="22"/>
      <c r="X1289" s="22"/>
      <c r="Y1289" s="22"/>
      <c r="Z1289" s="22"/>
      <c r="AA1289" s="22"/>
      <c r="AB1289" s="22"/>
      <c r="AC1289" s="22"/>
      <c r="AD1289" s="22"/>
    </row>
    <row r="1290" spans="1:30" ht="15.75" customHeight="1" x14ac:dyDescent="0.15">
      <c r="A1290" s="22"/>
      <c r="B1290" s="22"/>
      <c r="C1290" s="22"/>
      <c r="D1290" s="22"/>
      <c r="E1290" s="22"/>
      <c r="F1290" s="28"/>
      <c r="G1290" s="28"/>
      <c r="H1290" s="28"/>
      <c r="I1290" s="28"/>
      <c r="J1290" s="28"/>
      <c r="K1290" s="28"/>
      <c r="L1290" s="28"/>
      <c r="M1290" s="22"/>
      <c r="N1290" s="22"/>
      <c r="O1290" s="22"/>
      <c r="P1290" s="22"/>
      <c r="Q1290" s="22"/>
      <c r="R1290" s="28"/>
      <c r="S1290" s="28"/>
      <c r="T1290" s="28"/>
      <c r="U1290" s="28"/>
      <c r="V1290" s="22"/>
      <c r="W1290" s="22"/>
      <c r="X1290" s="22"/>
      <c r="Y1290" s="22"/>
      <c r="Z1290" s="22"/>
      <c r="AA1290" s="22"/>
      <c r="AB1290" s="22"/>
      <c r="AC1290" s="22"/>
      <c r="AD1290" s="22"/>
    </row>
    <row r="1291" spans="1:30" ht="15.75" customHeight="1" x14ac:dyDescent="0.15">
      <c r="A1291" s="22"/>
      <c r="B1291" s="22"/>
      <c r="C1291" s="22"/>
      <c r="D1291" s="22"/>
      <c r="E1291" s="22"/>
      <c r="F1291" s="28"/>
      <c r="G1291" s="28"/>
      <c r="H1291" s="28"/>
      <c r="I1291" s="28"/>
      <c r="J1291" s="28"/>
      <c r="K1291" s="28"/>
      <c r="L1291" s="28"/>
      <c r="M1291" s="22"/>
      <c r="N1291" s="22"/>
      <c r="O1291" s="22"/>
      <c r="P1291" s="22"/>
      <c r="Q1291" s="22"/>
      <c r="R1291" s="28"/>
      <c r="S1291" s="28"/>
      <c r="T1291" s="28"/>
      <c r="U1291" s="28"/>
      <c r="V1291" s="22"/>
      <c r="W1291" s="22"/>
      <c r="X1291" s="22"/>
      <c r="Y1291" s="22"/>
      <c r="Z1291" s="22"/>
      <c r="AA1291" s="22"/>
      <c r="AB1291" s="22"/>
      <c r="AC1291" s="22"/>
      <c r="AD1291" s="22"/>
    </row>
    <row r="1292" spans="1:30" ht="15.75" customHeight="1" x14ac:dyDescent="0.15">
      <c r="A1292" s="22"/>
      <c r="B1292" s="22"/>
      <c r="C1292" s="22"/>
      <c r="D1292" s="22"/>
      <c r="E1292" s="22"/>
      <c r="F1292" s="28"/>
      <c r="G1292" s="28"/>
      <c r="H1292" s="28"/>
      <c r="I1292" s="28"/>
      <c r="J1292" s="28"/>
      <c r="K1292" s="28"/>
      <c r="L1292" s="28"/>
      <c r="M1292" s="22"/>
      <c r="N1292" s="22"/>
      <c r="O1292" s="22"/>
      <c r="P1292" s="22"/>
      <c r="Q1292" s="22"/>
      <c r="R1292" s="28"/>
      <c r="S1292" s="28"/>
      <c r="T1292" s="28"/>
      <c r="U1292" s="28"/>
      <c r="V1292" s="22"/>
      <c r="W1292" s="22"/>
      <c r="X1292" s="22"/>
      <c r="Y1292" s="22"/>
      <c r="Z1292" s="22"/>
      <c r="AA1292" s="22"/>
      <c r="AB1292" s="22"/>
      <c r="AC1292" s="22"/>
      <c r="AD1292" s="22"/>
    </row>
    <row r="1293" spans="1:30" ht="15.75" customHeight="1" x14ac:dyDescent="0.15">
      <c r="A1293" s="22"/>
      <c r="B1293" s="22"/>
      <c r="C1293" s="22"/>
      <c r="D1293" s="22"/>
      <c r="E1293" s="22"/>
      <c r="F1293" s="28"/>
      <c r="G1293" s="28"/>
      <c r="H1293" s="28"/>
      <c r="I1293" s="28"/>
      <c r="J1293" s="28"/>
      <c r="K1293" s="28"/>
      <c r="L1293" s="28"/>
      <c r="M1293" s="22"/>
      <c r="N1293" s="22"/>
      <c r="O1293" s="22"/>
      <c r="P1293" s="22"/>
      <c r="Q1293" s="22"/>
      <c r="R1293" s="28"/>
      <c r="S1293" s="28"/>
      <c r="T1293" s="28"/>
      <c r="U1293" s="28"/>
      <c r="V1293" s="22"/>
      <c r="W1293" s="22"/>
      <c r="X1293" s="22"/>
      <c r="Y1293" s="22"/>
      <c r="Z1293" s="22"/>
      <c r="AA1293" s="22"/>
      <c r="AB1293" s="22"/>
      <c r="AC1293" s="22"/>
      <c r="AD1293" s="22"/>
    </row>
    <row r="1294" spans="1:30" ht="15.75" customHeight="1" x14ac:dyDescent="0.15">
      <c r="A1294" s="22"/>
      <c r="B1294" s="22"/>
      <c r="C1294" s="22"/>
      <c r="D1294" s="22"/>
      <c r="E1294" s="22"/>
      <c r="F1294" s="28"/>
      <c r="G1294" s="28"/>
      <c r="H1294" s="28"/>
      <c r="I1294" s="28"/>
      <c r="J1294" s="28"/>
      <c r="K1294" s="28"/>
      <c r="L1294" s="28"/>
      <c r="M1294" s="22"/>
      <c r="N1294" s="22"/>
      <c r="O1294" s="22"/>
      <c r="P1294" s="22"/>
      <c r="Q1294" s="22"/>
      <c r="R1294" s="28"/>
      <c r="S1294" s="28"/>
      <c r="T1294" s="28"/>
      <c r="U1294" s="28"/>
      <c r="V1294" s="22"/>
      <c r="W1294" s="22"/>
      <c r="X1294" s="22"/>
      <c r="Y1294" s="22"/>
      <c r="Z1294" s="22"/>
      <c r="AA1294" s="22"/>
      <c r="AB1294" s="22"/>
      <c r="AC1294" s="22"/>
      <c r="AD1294" s="22"/>
    </row>
    <row r="1295" spans="1:30" ht="15.75" customHeight="1" x14ac:dyDescent="0.15">
      <c r="A1295" s="22"/>
      <c r="B1295" s="22"/>
      <c r="C1295" s="22"/>
      <c r="D1295" s="22"/>
      <c r="E1295" s="22"/>
      <c r="F1295" s="28"/>
      <c r="G1295" s="28"/>
      <c r="H1295" s="28"/>
      <c r="I1295" s="28"/>
      <c r="J1295" s="28"/>
      <c r="K1295" s="28"/>
      <c r="L1295" s="28"/>
      <c r="M1295" s="22"/>
      <c r="N1295" s="22"/>
      <c r="O1295" s="22"/>
      <c r="P1295" s="22"/>
      <c r="Q1295" s="22"/>
      <c r="R1295" s="28"/>
      <c r="S1295" s="28"/>
      <c r="T1295" s="28"/>
      <c r="U1295" s="28"/>
      <c r="V1295" s="22"/>
      <c r="W1295" s="22"/>
      <c r="X1295" s="22"/>
      <c r="Y1295" s="22"/>
      <c r="Z1295" s="22"/>
      <c r="AA1295" s="22"/>
      <c r="AB1295" s="22"/>
      <c r="AC1295" s="22"/>
      <c r="AD1295" s="22"/>
    </row>
    <row r="1296" spans="1:30" ht="15.75" customHeight="1" x14ac:dyDescent="0.15">
      <c r="A1296" s="22"/>
      <c r="B1296" s="22"/>
      <c r="C1296" s="22"/>
      <c r="D1296" s="22"/>
      <c r="E1296" s="22"/>
      <c r="F1296" s="28"/>
      <c r="G1296" s="28"/>
      <c r="H1296" s="28"/>
      <c r="I1296" s="28"/>
      <c r="J1296" s="28"/>
      <c r="K1296" s="28"/>
      <c r="L1296" s="28"/>
      <c r="M1296" s="22"/>
      <c r="N1296" s="22"/>
      <c r="O1296" s="22"/>
      <c r="P1296" s="22"/>
      <c r="Q1296" s="22"/>
      <c r="R1296" s="28"/>
      <c r="S1296" s="28"/>
      <c r="T1296" s="28"/>
      <c r="U1296" s="28"/>
      <c r="V1296" s="22"/>
      <c r="W1296" s="22"/>
      <c r="X1296" s="22"/>
      <c r="Y1296" s="22"/>
      <c r="Z1296" s="22"/>
      <c r="AA1296" s="22"/>
      <c r="AB1296" s="22"/>
      <c r="AC1296" s="22"/>
      <c r="AD1296" s="22"/>
    </row>
    <row r="1297" spans="1:30" ht="15.75" customHeight="1" x14ac:dyDescent="0.15">
      <c r="A1297" s="22"/>
      <c r="B1297" s="22"/>
      <c r="C1297" s="22"/>
      <c r="D1297" s="22"/>
      <c r="E1297" s="22"/>
      <c r="F1297" s="28"/>
      <c r="G1297" s="28"/>
      <c r="H1297" s="28"/>
      <c r="I1297" s="28"/>
      <c r="J1297" s="28"/>
      <c r="K1297" s="28"/>
      <c r="L1297" s="28"/>
      <c r="M1297" s="22"/>
      <c r="N1297" s="22"/>
      <c r="O1297" s="22"/>
      <c r="P1297" s="22"/>
      <c r="Q1297" s="22"/>
      <c r="R1297" s="28"/>
      <c r="S1297" s="28"/>
      <c r="T1297" s="28"/>
      <c r="U1297" s="28"/>
      <c r="V1297" s="22"/>
      <c r="W1297" s="22"/>
      <c r="X1297" s="22"/>
      <c r="Y1297" s="22"/>
      <c r="Z1297" s="22"/>
      <c r="AA1297" s="22"/>
      <c r="AB1297" s="22"/>
      <c r="AC1297" s="22"/>
      <c r="AD1297" s="22"/>
    </row>
    <row r="1298" spans="1:30" ht="15.75" customHeight="1" x14ac:dyDescent="0.15">
      <c r="A1298" s="22"/>
      <c r="B1298" s="22"/>
      <c r="C1298" s="22"/>
      <c r="D1298" s="22"/>
      <c r="E1298" s="22"/>
      <c r="F1298" s="28"/>
      <c r="G1298" s="28"/>
      <c r="H1298" s="28"/>
      <c r="I1298" s="28"/>
      <c r="J1298" s="28"/>
      <c r="K1298" s="28"/>
      <c r="L1298" s="28"/>
      <c r="M1298" s="22"/>
      <c r="N1298" s="22"/>
      <c r="O1298" s="22"/>
      <c r="P1298" s="22"/>
      <c r="Q1298" s="22"/>
      <c r="R1298" s="28"/>
      <c r="S1298" s="28"/>
      <c r="T1298" s="28"/>
      <c r="U1298" s="28"/>
      <c r="V1298" s="22"/>
      <c r="W1298" s="22"/>
      <c r="X1298" s="22"/>
      <c r="Y1298" s="22"/>
      <c r="Z1298" s="22"/>
      <c r="AA1298" s="22"/>
      <c r="AB1298" s="22"/>
      <c r="AC1298" s="22"/>
      <c r="AD1298" s="22"/>
    </row>
    <row r="1299" spans="1:30" ht="15.75" customHeight="1" x14ac:dyDescent="0.15">
      <c r="A1299" s="22"/>
      <c r="B1299" s="22"/>
      <c r="C1299" s="22"/>
      <c r="D1299" s="22"/>
      <c r="E1299" s="22"/>
      <c r="F1299" s="28"/>
      <c r="G1299" s="28"/>
      <c r="H1299" s="28"/>
      <c r="I1299" s="28"/>
      <c r="J1299" s="28"/>
      <c r="K1299" s="28"/>
      <c r="L1299" s="28"/>
      <c r="M1299" s="22"/>
      <c r="N1299" s="22"/>
      <c r="O1299" s="22"/>
      <c r="P1299" s="22"/>
      <c r="Q1299" s="22"/>
      <c r="R1299" s="28"/>
      <c r="S1299" s="28"/>
      <c r="T1299" s="28"/>
      <c r="U1299" s="28"/>
      <c r="V1299" s="22"/>
      <c r="W1299" s="22"/>
      <c r="X1299" s="22"/>
      <c r="Y1299" s="22"/>
      <c r="Z1299" s="22"/>
      <c r="AA1299" s="22"/>
      <c r="AB1299" s="22"/>
      <c r="AC1299" s="22"/>
      <c r="AD1299" s="22"/>
    </row>
    <row r="1300" spans="1:30" ht="15.75" customHeight="1" x14ac:dyDescent="0.15">
      <c r="A1300" s="22"/>
      <c r="B1300" s="22"/>
      <c r="C1300" s="22"/>
      <c r="D1300" s="22"/>
      <c r="E1300" s="22"/>
      <c r="F1300" s="28"/>
      <c r="G1300" s="28"/>
      <c r="H1300" s="28"/>
      <c r="I1300" s="28"/>
      <c r="J1300" s="28"/>
      <c r="K1300" s="28"/>
      <c r="L1300" s="28"/>
      <c r="M1300" s="22"/>
      <c r="N1300" s="22"/>
      <c r="O1300" s="22"/>
      <c r="P1300" s="22"/>
      <c r="Q1300" s="22"/>
      <c r="R1300" s="28"/>
      <c r="S1300" s="28"/>
      <c r="T1300" s="28"/>
      <c r="U1300" s="28"/>
      <c r="V1300" s="22"/>
      <c r="W1300" s="22"/>
      <c r="X1300" s="22"/>
      <c r="Y1300" s="22"/>
      <c r="Z1300" s="22"/>
      <c r="AA1300" s="22"/>
      <c r="AB1300" s="22"/>
      <c r="AC1300" s="22"/>
      <c r="AD1300" s="22"/>
    </row>
    <row r="1301" spans="1:30" ht="15.75" customHeight="1" x14ac:dyDescent="0.15">
      <c r="A1301" s="22"/>
      <c r="B1301" s="22"/>
      <c r="C1301" s="22"/>
      <c r="D1301" s="22"/>
      <c r="E1301" s="22"/>
      <c r="F1301" s="28"/>
      <c r="G1301" s="28"/>
      <c r="H1301" s="28"/>
      <c r="I1301" s="28"/>
      <c r="J1301" s="28"/>
      <c r="K1301" s="28"/>
      <c r="L1301" s="28"/>
      <c r="M1301" s="22"/>
      <c r="N1301" s="22"/>
      <c r="O1301" s="22"/>
      <c r="P1301" s="22"/>
      <c r="Q1301" s="22"/>
      <c r="R1301" s="28"/>
      <c r="S1301" s="28"/>
      <c r="T1301" s="28"/>
      <c r="U1301" s="28"/>
      <c r="V1301" s="22"/>
      <c r="W1301" s="22"/>
      <c r="X1301" s="22"/>
      <c r="Y1301" s="22"/>
      <c r="Z1301" s="22"/>
      <c r="AA1301" s="22"/>
      <c r="AB1301" s="22"/>
      <c r="AC1301" s="22"/>
      <c r="AD1301" s="22"/>
    </row>
    <row r="1302" spans="1:30" ht="15.75" customHeight="1" x14ac:dyDescent="0.15">
      <c r="A1302" s="22"/>
      <c r="B1302" s="22"/>
      <c r="C1302" s="22"/>
      <c r="D1302" s="22"/>
      <c r="E1302" s="22"/>
      <c r="F1302" s="28"/>
      <c r="G1302" s="28"/>
      <c r="H1302" s="28"/>
      <c r="I1302" s="28"/>
      <c r="J1302" s="28"/>
      <c r="K1302" s="28"/>
      <c r="L1302" s="28"/>
      <c r="M1302" s="22"/>
      <c r="N1302" s="22"/>
      <c r="O1302" s="22"/>
      <c r="P1302" s="22"/>
      <c r="Q1302" s="22"/>
      <c r="R1302" s="28"/>
      <c r="S1302" s="28"/>
      <c r="T1302" s="28"/>
      <c r="U1302" s="28"/>
      <c r="V1302" s="22"/>
      <c r="W1302" s="22"/>
      <c r="X1302" s="22"/>
      <c r="Y1302" s="22"/>
      <c r="Z1302" s="22"/>
      <c r="AA1302" s="22"/>
      <c r="AB1302" s="22"/>
      <c r="AC1302" s="22"/>
      <c r="AD1302" s="22"/>
    </row>
    <row r="1303" spans="1:30" ht="15.75" customHeight="1" x14ac:dyDescent="0.15">
      <c r="A1303" s="22"/>
      <c r="B1303" s="22"/>
      <c r="C1303" s="22"/>
      <c r="D1303" s="22"/>
      <c r="E1303" s="22"/>
      <c r="F1303" s="28"/>
      <c r="G1303" s="28"/>
      <c r="H1303" s="28"/>
      <c r="I1303" s="28"/>
      <c r="J1303" s="28"/>
      <c r="K1303" s="28"/>
      <c r="L1303" s="28"/>
      <c r="M1303" s="22"/>
      <c r="N1303" s="22"/>
      <c r="O1303" s="22"/>
      <c r="P1303" s="22"/>
      <c r="Q1303" s="22"/>
      <c r="R1303" s="28"/>
      <c r="S1303" s="28"/>
      <c r="T1303" s="28"/>
      <c r="U1303" s="28"/>
      <c r="V1303" s="22"/>
      <c r="W1303" s="22"/>
      <c r="X1303" s="22"/>
      <c r="Y1303" s="22"/>
      <c r="Z1303" s="22"/>
      <c r="AA1303" s="22"/>
      <c r="AB1303" s="22"/>
      <c r="AC1303" s="22"/>
      <c r="AD1303" s="22"/>
    </row>
    <row r="1304" spans="1:30" ht="15.75" customHeight="1" x14ac:dyDescent="0.15">
      <c r="A1304" s="22"/>
      <c r="B1304" s="22"/>
      <c r="C1304" s="22"/>
      <c r="D1304" s="22"/>
      <c r="E1304" s="22"/>
      <c r="F1304" s="28"/>
      <c r="G1304" s="28"/>
      <c r="H1304" s="28"/>
      <c r="I1304" s="28"/>
      <c r="J1304" s="28"/>
      <c r="K1304" s="28"/>
      <c r="L1304" s="28"/>
      <c r="M1304" s="22"/>
      <c r="N1304" s="22"/>
      <c r="O1304" s="22"/>
      <c r="P1304" s="22"/>
      <c r="Q1304" s="22"/>
      <c r="R1304" s="28"/>
      <c r="S1304" s="28"/>
      <c r="T1304" s="28"/>
      <c r="U1304" s="28"/>
      <c r="V1304" s="22"/>
      <c r="W1304" s="22"/>
      <c r="X1304" s="22"/>
      <c r="Y1304" s="22"/>
      <c r="Z1304" s="22"/>
      <c r="AA1304" s="22"/>
      <c r="AB1304" s="22"/>
      <c r="AC1304" s="22"/>
      <c r="AD1304" s="22"/>
    </row>
    <row r="1305" spans="1:30" ht="15.75" customHeight="1" x14ac:dyDescent="0.15">
      <c r="A1305" s="22"/>
      <c r="B1305" s="22"/>
      <c r="C1305" s="22"/>
      <c r="D1305" s="22"/>
      <c r="E1305" s="22"/>
      <c r="F1305" s="28"/>
      <c r="G1305" s="28"/>
      <c r="H1305" s="28"/>
      <c r="I1305" s="28"/>
      <c r="J1305" s="28"/>
      <c r="K1305" s="28"/>
      <c r="L1305" s="28"/>
      <c r="M1305" s="22"/>
      <c r="N1305" s="22"/>
      <c r="O1305" s="22"/>
      <c r="P1305" s="22"/>
      <c r="Q1305" s="22"/>
      <c r="R1305" s="28"/>
      <c r="S1305" s="28"/>
      <c r="T1305" s="28"/>
      <c r="U1305" s="28"/>
      <c r="V1305" s="22"/>
      <c r="W1305" s="22"/>
      <c r="X1305" s="22"/>
      <c r="Y1305" s="22"/>
      <c r="Z1305" s="22"/>
      <c r="AA1305" s="22"/>
      <c r="AB1305" s="22"/>
      <c r="AC1305" s="22"/>
      <c r="AD1305" s="22"/>
    </row>
    <row r="1306" spans="1:30" ht="15.75" customHeight="1" x14ac:dyDescent="0.15">
      <c r="A1306" s="22"/>
      <c r="B1306" s="22"/>
      <c r="C1306" s="22"/>
      <c r="D1306" s="22"/>
      <c r="E1306" s="22"/>
      <c r="F1306" s="28"/>
      <c r="G1306" s="28"/>
      <c r="H1306" s="28"/>
      <c r="I1306" s="28"/>
      <c r="J1306" s="28"/>
      <c r="K1306" s="28"/>
      <c r="L1306" s="28"/>
      <c r="M1306" s="22"/>
      <c r="N1306" s="22"/>
      <c r="O1306" s="22"/>
      <c r="P1306" s="22"/>
      <c r="Q1306" s="22"/>
      <c r="R1306" s="28"/>
      <c r="S1306" s="28"/>
      <c r="T1306" s="28"/>
      <c r="U1306" s="28"/>
      <c r="V1306" s="22"/>
      <c r="W1306" s="22"/>
      <c r="X1306" s="22"/>
      <c r="Y1306" s="22"/>
      <c r="Z1306" s="22"/>
      <c r="AA1306" s="22"/>
      <c r="AB1306" s="22"/>
      <c r="AC1306" s="22"/>
      <c r="AD1306" s="22"/>
    </row>
    <row r="1307" spans="1:30" ht="15.75" customHeight="1" x14ac:dyDescent="0.15">
      <c r="A1307" s="22"/>
      <c r="B1307" s="22"/>
      <c r="C1307" s="22"/>
      <c r="D1307" s="22"/>
      <c r="E1307" s="22"/>
      <c r="F1307" s="28"/>
      <c r="G1307" s="28"/>
      <c r="H1307" s="28"/>
      <c r="I1307" s="28"/>
      <c r="J1307" s="28"/>
      <c r="K1307" s="28"/>
      <c r="L1307" s="28"/>
      <c r="M1307" s="22"/>
      <c r="N1307" s="22"/>
      <c r="O1307" s="22"/>
      <c r="P1307" s="22"/>
      <c r="Q1307" s="22"/>
      <c r="R1307" s="28"/>
      <c r="S1307" s="28"/>
      <c r="T1307" s="28"/>
      <c r="U1307" s="28"/>
      <c r="V1307" s="22"/>
      <c r="W1307" s="22"/>
      <c r="X1307" s="22"/>
      <c r="Y1307" s="22"/>
      <c r="Z1307" s="22"/>
      <c r="AA1307" s="22"/>
      <c r="AB1307" s="22"/>
      <c r="AC1307" s="22"/>
      <c r="AD1307" s="22"/>
    </row>
    <row r="1308" spans="1:30" ht="15.75" customHeight="1" x14ac:dyDescent="0.15">
      <c r="A1308" s="22"/>
      <c r="B1308" s="22"/>
      <c r="C1308" s="22"/>
      <c r="D1308" s="22"/>
      <c r="E1308" s="22"/>
      <c r="F1308" s="28"/>
      <c r="G1308" s="28"/>
      <c r="H1308" s="28"/>
      <c r="I1308" s="28"/>
      <c r="J1308" s="28"/>
      <c r="K1308" s="28"/>
      <c r="L1308" s="28"/>
      <c r="M1308" s="22"/>
      <c r="N1308" s="22"/>
      <c r="O1308" s="22"/>
      <c r="P1308" s="22"/>
      <c r="Q1308" s="22"/>
      <c r="R1308" s="28"/>
      <c r="S1308" s="28"/>
      <c r="T1308" s="28"/>
      <c r="U1308" s="28"/>
      <c r="V1308" s="22"/>
      <c r="W1308" s="22"/>
      <c r="X1308" s="22"/>
      <c r="Y1308" s="22"/>
      <c r="Z1308" s="22"/>
      <c r="AA1308" s="22"/>
      <c r="AB1308" s="22"/>
      <c r="AC1308" s="22"/>
      <c r="AD1308" s="22"/>
    </row>
    <row r="1309" spans="1:30" ht="15.75" customHeight="1" x14ac:dyDescent="0.15">
      <c r="A1309" s="22"/>
      <c r="B1309" s="22"/>
      <c r="C1309" s="22"/>
      <c r="D1309" s="22"/>
      <c r="E1309" s="22"/>
      <c r="F1309" s="28"/>
      <c r="G1309" s="28"/>
      <c r="H1309" s="28"/>
      <c r="I1309" s="28"/>
      <c r="J1309" s="28"/>
      <c r="K1309" s="28"/>
      <c r="L1309" s="28"/>
      <c r="M1309" s="22"/>
      <c r="N1309" s="22"/>
      <c r="O1309" s="22"/>
      <c r="P1309" s="22"/>
      <c r="Q1309" s="22"/>
      <c r="R1309" s="28"/>
      <c r="S1309" s="28"/>
      <c r="T1309" s="28"/>
      <c r="U1309" s="28"/>
      <c r="V1309" s="22"/>
      <c r="W1309" s="22"/>
      <c r="X1309" s="22"/>
      <c r="Y1309" s="22"/>
      <c r="Z1309" s="22"/>
      <c r="AA1309" s="22"/>
      <c r="AB1309" s="22"/>
      <c r="AC1309" s="22"/>
      <c r="AD1309" s="22"/>
    </row>
    <row r="1310" spans="1:30" ht="15.75" customHeight="1" x14ac:dyDescent="0.15">
      <c r="A1310" s="22"/>
      <c r="B1310" s="22"/>
      <c r="C1310" s="22"/>
      <c r="D1310" s="22"/>
      <c r="E1310" s="22"/>
      <c r="F1310" s="28"/>
      <c r="G1310" s="28"/>
      <c r="H1310" s="28"/>
      <c r="I1310" s="28"/>
      <c r="J1310" s="28"/>
      <c r="K1310" s="28"/>
      <c r="L1310" s="28"/>
      <c r="M1310" s="22"/>
      <c r="N1310" s="22"/>
      <c r="O1310" s="22"/>
      <c r="P1310" s="22"/>
      <c r="Q1310" s="22"/>
      <c r="R1310" s="28"/>
      <c r="S1310" s="28"/>
      <c r="T1310" s="28"/>
      <c r="U1310" s="28"/>
      <c r="V1310" s="22"/>
      <c r="W1310" s="22"/>
      <c r="X1310" s="22"/>
      <c r="Y1310" s="22"/>
      <c r="Z1310" s="22"/>
      <c r="AA1310" s="22"/>
      <c r="AB1310" s="22"/>
      <c r="AC1310" s="22"/>
      <c r="AD1310" s="22"/>
    </row>
    <row r="1311" spans="1:30" ht="15.75" customHeight="1" x14ac:dyDescent="0.15">
      <c r="A1311" s="22"/>
      <c r="B1311" s="22"/>
      <c r="C1311" s="22"/>
      <c r="D1311" s="22"/>
      <c r="E1311" s="22"/>
      <c r="F1311" s="28"/>
      <c r="G1311" s="28"/>
      <c r="H1311" s="28"/>
      <c r="I1311" s="28"/>
      <c r="J1311" s="28"/>
      <c r="K1311" s="28"/>
      <c r="L1311" s="28"/>
      <c r="M1311" s="22"/>
      <c r="N1311" s="22"/>
      <c r="O1311" s="22"/>
      <c r="P1311" s="22"/>
      <c r="Q1311" s="22"/>
      <c r="R1311" s="28"/>
      <c r="S1311" s="28"/>
      <c r="T1311" s="28"/>
      <c r="U1311" s="28"/>
      <c r="V1311" s="22"/>
      <c r="W1311" s="22"/>
      <c r="X1311" s="22"/>
      <c r="Y1311" s="22"/>
      <c r="Z1311" s="22"/>
      <c r="AA1311" s="22"/>
      <c r="AB1311" s="22"/>
      <c r="AC1311" s="22"/>
      <c r="AD1311" s="22"/>
    </row>
    <row r="1312" spans="1:30" ht="15.75" customHeight="1" x14ac:dyDescent="0.15">
      <c r="A1312" s="22"/>
      <c r="B1312" s="22"/>
      <c r="C1312" s="22"/>
      <c r="D1312" s="22"/>
      <c r="E1312" s="22"/>
      <c r="F1312" s="28"/>
      <c r="G1312" s="28"/>
      <c r="H1312" s="28"/>
      <c r="I1312" s="28"/>
      <c r="J1312" s="28"/>
      <c r="K1312" s="28"/>
      <c r="L1312" s="28"/>
      <c r="M1312" s="22"/>
      <c r="N1312" s="22"/>
      <c r="O1312" s="22"/>
      <c r="P1312" s="22"/>
      <c r="Q1312" s="22"/>
      <c r="R1312" s="28"/>
      <c r="S1312" s="28"/>
      <c r="T1312" s="28"/>
      <c r="U1312" s="28"/>
      <c r="V1312" s="22"/>
      <c r="W1312" s="22"/>
      <c r="X1312" s="22"/>
      <c r="Y1312" s="22"/>
      <c r="Z1312" s="22"/>
      <c r="AA1312" s="22"/>
      <c r="AB1312" s="22"/>
      <c r="AC1312" s="22"/>
      <c r="AD1312" s="22"/>
    </row>
    <row r="1313" spans="1:30" ht="15.75" customHeight="1" x14ac:dyDescent="0.15">
      <c r="A1313" s="22"/>
      <c r="B1313" s="22"/>
      <c r="C1313" s="22"/>
      <c r="D1313" s="22"/>
      <c r="E1313" s="22"/>
      <c r="F1313" s="28"/>
      <c r="G1313" s="28"/>
      <c r="H1313" s="28"/>
      <c r="I1313" s="28"/>
      <c r="J1313" s="28"/>
      <c r="K1313" s="28"/>
      <c r="L1313" s="28"/>
      <c r="M1313" s="22"/>
      <c r="N1313" s="22"/>
      <c r="O1313" s="22"/>
      <c r="P1313" s="22"/>
      <c r="Q1313" s="22"/>
      <c r="R1313" s="28"/>
      <c r="S1313" s="28"/>
      <c r="T1313" s="28"/>
      <c r="U1313" s="28"/>
      <c r="V1313" s="22"/>
      <c r="W1313" s="22"/>
      <c r="X1313" s="22"/>
      <c r="Y1313" s="22"/>
      <c r="Z1313" s="22"/>
      <c r="AA1313" s="22"/>
      <c r="AB1313" s="22"/>
      <c r="AC1313" s="22"/>
      <c r="AD1313" s="22"/>
    </row>
    <row r="1314" spans="1:30" ht="15.75" customHeight="1" x14ac:dyDescent="0.15">
      <c r="A1314" s="22"/>
      <c r="B1314" s="22"/>
      <c r="C1314" s="22"/>
      <c r="D1314" s="22"/>
      <c r="E1314" s="22"/>
      <c r="F1314" s="28"/>
      <c r="G1314" s="28"/>
      <c r="H1314" s="28"/>
      <c r="I1314" s="28"/>
      <c r="J1314" s="28"/>
      <c r="K1314" s="28"/>
      <c r="L1314" s="28"/>
      <c r="M1314" s="22"/>
      <c r="N1314" s="22"/>
      <c r="O1314" s="22"/>
      <c r="P1314" s="22"/>
      <c r="Q1314" s="22"/>
      <c r="R1314" s="28"/>
      <c r="S1314" s="28"/>
      <c r="T1314" s="28"/>
      <c r="U1314" s="28"/>
      <c r="V1314" s="22"/>
      <c r="W1314" s="22"/>
      <c r="X1314" s="22"/>
      <c r="Y1314" s="22"/>
      <c r="Z1314" s="22"/>
      <c r="AA1314" s="22"/>
      <c r="AB1314" s="22"/>
      <c r="AC1314" s="22"/>
      <c r="AD1314" s="22"/>
    </row>
    <row r="1315" spans="1:30" ht="15.75" customHeight="1" x14ac:dyDescent="0.15">
      <c r="A1315" s="22"/>
      <c r="B1315" s="22"/>
      <c r="C1315" s="22"/>
      <c r="D1315" s="22"/>
      <c r="E1315" s="22"/>
      <c r="F1315" s="28"/>
      <c r="G1315" s="28"/>
      <c r="H1315" s="28"/>
      <c r="I1315" s="28"/>
      <c r="J1315" s="28"/>
      <c r="K1315" s="28"/>
      <c r="L1315" s="28"/>
      <c r="M1315" s="22"/>
      <c r="N1315" s="22"/>
      <c r="O1315" s="22"/>
      <c r="P1315" s="22"/>
      <c r="Q1315" s="22"/>
      <c r="R1315" s="28"/>
      <c r="S1315" s="28"/>
      <c r="T1315" s="28"/>
      <c r="U1315" s="28"/>
      <c r="V1315" s="22"/>
      <c r="W1315" s="22"/>
      <c r="X1315" s="22"/>
      <c r="Y1315" s="22"/>
      <c r="Z1315" s="22"/>
      <c r="AA1315" s="22"/>
      <c r="AB1315" s="22"/>
      <c r="AC1315" s="22"/>
      <c r="AD1315" s="22"/>
    </row>
    <row r="1316" spans="1:30" ht="15.75" customHeight="1" x14ac:dyDescent="0.15">
      <c r="A1316" s="22"/>
      <c r="B1316" s="22"/>
      <c r="C1316" s="22"/>
      <c r="D1316" s="22"/>
      <c r="E1316" s="22"/>
      <c r="F1316" s="28"/>
      <c r="G1316" s="28"/>
      <c r="H1316" s="28"/>
      <c r="I1316" s="28"/>
      <c r="J1316" s="28"/>
      <c r="K1316" s="28"/>
      <c r="L1316" s="28"/>
      <c r="M1316" s="22"/>
      <c r="N1316" s="22"/>
      <c r="O1316" s="22"/>
      <c r="P1316" s="22"/>
      <c r="Q1316" s="22"/>
      <c r="R1316" s="28"/>
      <c r="S1316" s="28"/>
      <c r="T1316" s="28"/>
      <c r="U1316" s="28"/>
      <c r="V1316" s="22"/>
      <c r="W1316" s="22"/>
      <c r="X1316" s="22"/>
      <c r="Y1316" s="22"/>
      <c r="Z1316" s="22"/>
      <c r="AA1316" s="22"/>
      <c r="AB1316" s="22"/>
      <c r="AC1316" s="22"/>
      <c r="AD1316" s="22"/>
    </row>
    <row r="1317" spans="1:30" ht="15.75" customHeight="1" x14ac:dyDescent="0.15">
      <c r="A1317" s="22"/>
      <c r="B1317" s="22"/>
      <c r="C1317" s="22"/>
      <c r="D1317" s="22"/>
      <c r="E1317" s="22"/>
      <c r="F1317" s="28"/>
      <c r="G1317" s="28"/>
      <c r="H1317" s="28"/>
      <c r="I1317" s="28"/>
      <c r="J1317" s="28"/>
      <c r="K1317" s="28"/>
      <c r="L1317" s="28"/>
      <c r="M1317" s="22"/>
      <c r="N1317" s="22"/>
      <c r="O1317" s="22"/>
      <c r="P1317" s="22"/>
      <c r="Q1317" s="22"/>
      <c r="R1317" s="28"/>
      <c r="S1317" s="28"/>
      <c r="T1317" s="28"/>
      <c r="U1317" s="28"/>
      <c r="V1317" s="22"/>
      <c r="W1317" s="22"/>
      <c r="X1317" s="22"/>
      <c r="Y1317" s="22"/>
      <c r="Z1317" s="22"/>
      <c r="AA1317" s="22"/>
      <c r="AB1317" s="22"/>
      <c r="AC1317" s="22"/>
      <c r="AD1317" s="22"/>
    </row>
    <row r="1318" spans="1:30" ht="15.75" customHeight="1" x14ac:dyDescent="0.15">
      <c r="A1318" s="22"/>
      <c r="B1318" s="22"/>
      <c r="C1318" s="22"/>
      <c r="D1318" s="22"/>
      <c r="E1318" s="22"/>
      <c r="F1318" s="28"/>
      <c r="G1318" s="28"/>
      <c r="H1318" s="28"/>
      <c r="I1318" s="28"/>
      <c r="J1318" s="28"/>
      <c r="K1318" s="28"/>
      <c r="L1318" s="28"/>
      <c r="M1318" s="22"/>
      <c r="N1318" s="22"/>
      <c r="O1318" s="22"/>
      <c r="P1318" s="22"/>
      <c r="Q1318" s="22"/>
      <c r="R1318" s="28"/>
      <c r="S1318" s="28"/>
      <c r="T1318" s="28"/>
      <c r="U1318" s="28"/>
      <c r="V1318" s="22"/>
      <c r="W1318" s="22"/>
      <c r="X1318" s="22"/>
      <c r="Y1318" s="22"/>
      <c r="Z1318" s="22"/>
      <c r="AA1318" s="22"/>
      <c r="AB1318" s="22"/>
      <c r="AC1318" s="22"/>
      <c r="AD1318" s="22"/>
    </row>
    <row r="1319" spans="1:30" ht="15.75" customHeight="1" x14ac:dyDescent="0.15">
      <c r="A1319" s="22"/>
      <c r="B1319" s="22"/>
      <c r="C1319" s="22"/>
      <c r="D1319" s="22"/>
      <c r="E1319" s="22"/>
      <c r="F1319" s="28"/>
      <c r="G1319" s="28"/>
      <c r="H1319" s="28"/>
      <c r="I1319" s="28"/>
      <c r="J1319" s="28"/>
      <c r="K1319" s="28"/>
      <c r="L1319" s="28"/>
      <c r="M1319" s="22"/>
      <c r="N1319" s="22"/>
      <c r="O1319" s="22"/>
      <c r="P1319" s="22"/>
      <c r="Q1319" s="22"/>
      <c r="R1319" s="28"/>
      <c r="S1319" s="28"/>
      <c r="T1319" s="28"/>
      <c r="U1319" s="28"/>
      <c r="V1319" s="22"/>
      <c r="W1319" s="22"/>
      <c r="X1319" s="22"/>
      <c r="Y1319" s="22"/>
      <c r="Z1319" s="22"/>
      <c r="AA1319" s="22"/>
      <c r="AB1319" s="22"/>
      <c r="AC1319" s="22"/>
      <c r="AD1319" s="22"/>
    </row>
    <row r="1320" spans="1:30" ht="15.75" customHeight="1" x14ac:dyDescent="0.15">
      <c r="A1320" s="22"/>
      <c r="B1320" s="22"/>
      <c r="C1320" s="22"/>
      <c r="D1320" s="22"/>
      <c r="E1320" s="22"/>
      <c r="F1320" s="28"/>
      <c r="G1320" s="28"/>
      <c r="H1320" s="28"/>
      <c r="I1320" s="28"/>
      <c r="J1320" s="28"/>
      <c r="K1320" s="28"/>
      <c r="L1320" s="28"/>
      <c r="M1320" s="22"/>
      <c r="N1320" s="22"/>
      <c r="O1320" s="22"/>
      <c r="P1320" s="22"/>
      <c r="Q1320" s="22"/>
      <c r="R1320" s="28"/>
      <c r="S1320" s="28"/>
      <c r="T1320" s="28"/>
      <c r="U1320" s="28"/>
      <c r="V1320" s="22"/>
      <c r="W1320" s="22"/>
      <c r="X1320" s="22"/>
      <c r="Y1320" s="22"/>
      <c r="Z1320" s="22"/>
      <c r="AA1320" s="22"/>
      <c r="AB1320" s="22"/>
      <c r="AC1320" s="22"/>
      <c r="AD1320" s="22"/>
    </row>
    <row r="1321" spans="1:30" ht="15.75" customHeight="1" x14ac:dyDescent="0.15">
      <c r="A1321" s="22"/>
      <c r="B1321" s="22"/>
      <c r="C1321" s="22"/>
      <c r="D1321" s="22"/>
      <c r="E1321" s="22"/>
      <c r="F1321" s="28"/>
      <c r="G1321" s="28"/>
      <c r="H1321" s="28"/>
      <c r="I1321" s="28"/>
      <c r="J1321" s="28"/>
      <c r="K1321" s="28"/>
      <c r="L1321" s="28"/>
      <c r="M1321" s="22"/>
      <c r="N1321" s="22"/>
      <c r="O1321" s="22"/>
      <c r="P1321" s="22"/>
      <c r="Q1321" s="22"/>
      <c r="R1321" s="28"/>
      <c r="S1321" s="28"/>
      <c r="T1321" s="28"/>
      <c r="U1321" s="28"/>
      <c r="V1321" s="22"/>
      <c r="W1321" s="22"/>
      <c r="X1321" s="22"/>
      <c r="Y1321" s="22"/>
      <c r="Z1321" s="22"/>
      <c r="AA1321" s="22"/>
      <c r="AB1321" s="22"/>
      <c r="AC1321" s="22"/>
      <c r="AD1321" s="22"/>
    </row>
    <row r="1322" spans="1:30" ht="15.75" customHeight="1" x14ac:dyDescent="0.15">
      <c r="A1322" s="22"/>
      <c r="B1322" s="22"/>
      <c r="C1322" s="22"/>
      <c r="D1322" s="22"/>
      <c r="E1322" s="22"/>
      <c r="F1322" s="28"/>
      <c r="G1322" s="28"/>
      <c r="H1322" s="28"/>
      <c r="I1322" s="28"/>
      <c r="J1322" s="28"/>
      <c r="K1322" s="28"/>
      <c r="L1322" s="28"/>
      <c r="M1322" s="22"/>
      <c r="N1322" s="22"/>
      <c r="O1322" s="22"/>
      <c r="P1322" s="22"/>
      <c r="Q1322" s="22"/>
      <c r="R1322" s="28"/>
      <c r="S1322" s="28"/>
      <c r="T1322" s="28"/>
      <c r="U1322" s="28"/>
      <c r="V1322" s="22"/>
      <c r="W1322" s="22"/>
      <c r="X1322" s="22"/>
      <c r="Y1322" s="22"/>
      <c r="Z1322" s="22"/>
      <c r="AA1322" s="22"/>
      <c r="AB1322" s="22"/>
      <c r="AC1322" s="22"/>
      <c r="AD1322" s="22"/>
    </row>
    <row r="1323" spans="1:30" ht="15.75" customHeight="1" x14ac:dyDescent="0.15">
      <c r="A1323" s="22"/>
      <c r="B1323" s="22"/>
      <c r="C1323" s="22"/>
      <c r="D1323" s="22"/>
      <c r="E1323" s="22"/>
      <c r="F1323" s="28"/>
      <c r="G1323" s="28"/>
      <c r="H1323" s="28"/>
      <c r="I1323" s="28"/>
      <c r="J1323" s="28"/>
      <c r="K1323" s="28"/>
      <c r="L1323" s="28"/>
      <c r="M1323" s="22"/>
      <c r="N1323" s="22"/>
      <c r="O1323" s="22"/>
      <c r="P1323" s="22"/>
      <c r="Q1323" s="22"/>
      <c r="R1323" s="28"/>
      <c r="S1323" s="28"/>
      <c r="T1323" s="28"/>
      <c r="U1323" s="28"/>
      <c r="V1323" s="22"/>
      <c r="W1323" s="22"/>
      <c r="X1323" s="22"/>
      <c r="Y1323" s="22"/>
      <c r="Z1323" s="22"/>
      <c r="AA1323" s="22"/>
      <c r="AB1323" s="22"/>
      <c r="AC1323" s="22"/>
      <c r="AD1323" s="22"/>
    </row>
    <row r="1324" spans="1:30" ht="15.75" customHeight="1" x14ac:dyDescent="0.15">
      <c r="A1324" s="22"/>
      <c r="B1324" s="22"/>
      <c r="C1324" s="22"/>
      <c r="D1324" s="22"/>
      <c r="E1324" s="22"/>
      <c r="F1324" s="28"/>
      <c r="G1324" s="28"/>
      <c r="H1324" s="28"/>
      <c r="I1324" s="28"/>
      <c r="J1324" s="28"/>
      <c r="K1324" s="28"/>
      <c r="L1324" s="28"/>
      <c r="M1324" s="22"/>
      <c r="N1324" s="22"/>
      <c r="O1324" s="22"/>
      <c r="P1324" s="22"/>
      <c r="Q1324" s="22"/>
      <c r="R1324" s="28"/>
      <c r="S1324" s="28"/>
      <c r="T1324" s="28"/>
      <c r="U1324" s="28"/>
      <c r="V1324" s="22"/>
      <c r="W1324" s="22"/>
      <c r="X1324" s="22"/>
      <c r="Y1324" s="22"/>
      <c r="Z1324" s="22"/>
      <c r="AA1324" s="22"/>
      <c r="AB1324" s="22"/>
      <c r="AC1324" s="22"/>
      <c r="AD1324" s="22"/>
    </row>
    <row r="1325" spans="1:30" ht="15.75" customHeight="1" x14ac:dyDescent="0.15">
      <c r="A1325" s="22"/>
      <c r="B1325" s="22"/>
      <c r="C1325" s="22"/>
      <c r="D1325" s="22"/>
      <c r="E1325" s="22"/>
      <c r="F1325" s="28"/>
      <c r="G1325" s="28"/>
      <c r="H1325" s="28"/>
      <c r="I1325" s="28"/>
      <c r="J1325" s="28"/>
      <c r="K1325" s="28"/>
      <c r="L1325" s="28"/>
      <c r="M1325" s="22"/>
      <c r="N1325" s="22"/>
      <c r="O1325" s="22"/>
      <c r="P1325" s="22"/>
      <c r="Q1325" s="22"/>
      <c r="R1325" s="28"/>
      <c r="S1325" s="28"/>
      <c r="T1325" s="28"/>
      <c r="U1325" s="28"/>
      <c r="V1325" s="22"/>
      <c r="W1325" s="22"/>
      <c r="X1325" s="22"/>
      <c r="Y1325" s="22"/>
      <c r="Z1325" s="22"/>
      <c r="AA1325" s="22"/>
      <c r="AB1325" s="22"/>
      <c r="AC1325" s="22"/>
      <c r="AD1325" s="22"/>
    </row>
    <row r="1326" spans="1:30" ht="15.75" customHeight="1" x14ac:dyDescent="0.15">
      <c r="A1326" s="22"/>
      <c r="B1326" s="22"/>
      <c r="C1326" s="22"/>
      <c r="D1326" s="22"/>
      <c r="E1326" s="22"/>
      <c r="F1326" s="28"/>
      <c r="G1326" s="28"/>
      <c r="H1326" s="28"/>
      <c r="I1326" s="28"/>
      <c r="J1326" s="28"/>
      <c r="K1326" s="28"/>
      <c r="L1326" s="28"/>
      <c r="M1326" s="22"/>
      <c r="N1326" s="22"/>
      <c r="O1326" s="22"/>
      <c r="P1326" s="22"/>
      <c r="Q1326" s="22"/>
      <c r="R1326" s="28"/>
      <c r="S1326" s="28"/>
      <c r="T1326" s="28"/>
      <c r="U1326" s="28"/>
      <c r="V1326" s="22"/>
      <c r="W1326" s="22"/>
      <c r="X1326" s="22"/>
      <c r="Y1326" s="22"/>
      <c r="Z1326" s="22"/>
      <c r="AA1326" s="22"/>
      <c r="AB1326" s="22"/>
      <c r="AC1326" s="22"/>
      <c r="AD1326" s="22"/>
    </row>
    <row r="1327" spans="1:30" ht="15.75" customHeight="1" x14ac:dyDescent="0.15">
      <c r="A1327" s="22"/>
      <c r="B1327" s="22"/>
      <c r="C1327" s="22"/>
      <c r="D1327" s="22"/>
      <c r="E1327" s="22"/>
      <c r="F1327" s="28"/>
      <c r="G1327" s="28"/>
      <c r="H1327" s="28"/>
      <c r="I1327" s="28"/>
      <c r="J1327" s="28"/>
      <c r="K1327" s="28"/>
      <c r="L1327" s="28"/>
      <c r="M1327" s="22"/>
      <c r="N1327" s="22"/>
      <c r="O1327" s="22"/>
      <c r="P1327" s="22"/>
      <c r="Q1327" s="22"/>
      <c r="R1327" s="28"/>
      <c r="S1327" s="28"/>
      <c r="T1327" s="28"/>
      <c r="U1327" s="28"/>
      <c r="V1327" s="22"/>
      <c r="W1327" s="22"/>
      <c r="X1327" s="22"/>
      <c r="Y1327" s="22"/>
      <c r="Z1327" s="22"/>
      <c r="AA1327" s="22"/>
      <c r="AB1327" s="22"/>
      <c r="AC1327" s="22"/>
      <c r="AD1327" s="22"/>
    </row>
    <row r="1328" spans="1:30" ht="15.75" customHeight="1" x14ac:dyDescent="0.15">
      <c r="A1328" s="22"/>
      <c r="B1328" s="22"/>
      <c r="C1328" s="22"/>
      <c r="D1328" s="22"/>
      <c r="E1328" s="22"/>
      <c r="F1328" s="28"/>
      <c r="G1328" s="28"/>
      <c r="H1328" s="28"/>
      <c r="I1328" s="28"/>
      <c r="J1328" s="28"/>
      <c r="K1328" s="28"/>
      <c r="L1328" s="28"/>
      <c r="M1328" s="22"/>
      <c r="N1328" s="22"/>
      <c r="O1328" s="22"/>
      <c r="P1328" s="22"/>
      <c r="Q1328" s="22"/>
      <c r="R1328" s="28"/>
      <c r="S1328" s="28"/>
      <c r="T1328" s="28"/>
      <c r="U1328" s="28"/>
      <c r="V1328" s="22"/>
      <c r="W1328" s="22"/>
      <c r="X1328" s="22"/>
      <c r="Y1328" s="22"/>
      <c r="Z1328" s="22"/>
      <c r="AA1328" s="22"/>
      <c r="AB1328" s="22"/>
      <c r="AC1328" s="22"/>
      <c r="AD1328" s="22"/>
    </row>
    <row r="1329" spans="1:30" ht="15.75" customHeight="1" x14ac:dyDescent="0.15">
      <c r="A1329" s="22"/>
      <c r="B1329" s="22"/>
      <c r="C1329" s="22"/>
      <c r="D1329" s="22"/>
      <c r="E1329" s="22"/>
      <c r="F1329" s="28"/>
      <c r="G1329" s="28"/>
      <c r="H1329" s="28"/>
      <c r="I1329" s="28"/>
      <c r="J1329" s="28"/>
      <c r="K1329" s="28"/>
      <c r="L1329" s="28"/>
      <c r="M1329" s="22"/>
      <c r="N1329" s="22"/>
      <c r="O1329" s="22"/>
      <c r="P1329" s="22"/>
      <c r="Q1329" s="22"/>
      <c r="R1329" s="28"/>
      <c r="S1329" s="28"/>
      <c r="T1329" s="28"/>
      <c r="U1329" s="28"/>
      <c r="V1329" s="22"/>
      <c r="W1329" s="22"/>
      <c r="X1329" s="22"/>
      <c r="Y1329" s="22"/>
      <c r="Z1329" s="22"/>
      <c r="AA1329" s="22"/>
      <c r="AB1329" s="22"/>
      <c r="AC1329" s="22"/>
      <c r="AD1329" s="22"/>
    </row>
    <row r="1330" spans="1:30" ht="15.75" customHeight="1" x14ac:dyDescent="0.15">
      <c r="A1330" s="22"/>
      <c r="B1330" s="22"/>
      <c r="C1330" s="22"/>
      <c r="D1330" s="22"/>
      <c r="E1330" s="22"/>
      <c r="F1330" s="28"/>
      <c r="G1330" s="28"/>
      <c r="H1330" s="28"/>
      <c r="I1330" s="28"/>
      <c r="J1330" s="28"/>
      <c r="K1330" s="28"/>
      <c r="L1330" s="28"/>
      <c r="M1330" s="22"/>
      <c r="N1330" s="22"/>
      <c r="O1330" s="22"/>
      <c r="P1330" s="22"/>
      <c r="Q1330" s="22"/>
      <c r="R1330" s="28"/>
      <c r="S1330" s="28"/>
      <c r="T1330" s="28"/>
      <c r="U1330" s="28"/>
      <c r="V1330" s="22"/>
      <c r="W1330" s="22"/>
      <c r="X1330" s="22"/>
      <c r="Y1330" s="22"/>
      <c r="Z1330" s="22"/>
      <c r="AA1330" s="22"/>
      <c r="AB1330" s="22"/>
      <c r="AC1330" s="22"/>
      <c r="AD1330" s="22"/>
    </row>
    <row r="1331" spans="1:30" ht="15.75" customHeight="1" x14ac:dyDescent="0.15">
      <c r="A1331" s="22"/>
      <c r="B1331" s="22"/>
      <c r="C1331" s="22"/>
      <c r="D1331" s="22"/>
      <c r="E1331" s="22"/>
      <c r="F1331" s="28"/>
      <c r="G1331" s="28"/>
      <c r="H1331" s="28"/>
      <c r="I1331" s="28"/>
      <c r="J1331" s="28"/>
      <c r="K1331" s="28"/>
      <c r="L1331" s="28"/>
      <c r="M1331" s="22"/>
      <c r="N1331" s="22"/>
      <c r="O1331" s="22"/>
      <c r="P1331" s="22"/>
      <c r="Q1331" s="22"/>
      <c r="R1331" s="28"/>
      <c r="S1331" s="28"/>
      <c r="T1331" s="28"/>
      <c r="U1331" s="28"/>
      <c r="V1331" s="22"/>
      <c r="W1331" s="22"/>
      <c r="X1331" s="22"/>
      <c r="Y1331" s="22"/>
      <c r="Z1331" s="22"/>
      <c r="AA1331" s="22"/>
      <c r="AB1331" s="22"/>
      <c r="AC1331" s="22"/>
      <c r="AD1331" s="22"/>
    </row>
    <row r="1332" spans="1:30" ht="15.75" customHeight="1" x14ac:dyDescent="0.15">
      <c r="A1332" s="22"/>
      <c r="B1332" s="22"/>
      <c r="C1332" s="22"/>
      <c r="D1332" s="22"/>
      <c r="E1332" s="22"/>
      <c r="F1332" s="28"/>
      <c r="G1332" s="28"/>
      <c r="H1332" s="28"/>
      <c r="I1332" s="28"/>
      <c r="J1332" s="28"/>
      <c r="K1332" s="28"/>
      <c r="L1332" s="28"/>
      <c r="M1332" s="22"/>
      <c r="N1332" s="22"/>
      <c r="O1332" s="22"/>
      <c r="P1332" s="22"/>
      <c r="Q1332" s="22"/>
      <c r="R1332" s="28"/>
      <c r="S1332" s="28"/>
      <c r="T1332" s="28"/>
      <c r="U1332" s="28"/>
      <c r="V1332" s="22"/>
      <c r="W1332" s="22"/>
      <c r="X1332" s="22"/>
      <c r="Y1332" s="22"/>
      <c r="Z1332" s="22"/>
      <c r="AA1332" s="22"/>
      <c r="AB1332" s="22"/>
      <c r="AC1332" s="22"/>
      <c r="AD1332" s="22"/>
    </row>
    <row r="1333" spans="1:30" ht="15.75" customHeight="1" x14ac:dyDescent="0.15">
      <c r="A1333" s="22"/>
      <c r="B1333" s="22"/>
      <c r="C1333" s="22"/>
      <c r="D1333" s="22"/>
      <c r="E1333" s="22"/>
      <c r="F1333" s="28"/>
      <c r="G1333" s="28"/>
      <c r="H1333" s="28"/>
      <c r="I1333" s="28"/>
      <c r="J1333" s="28"/>
      <c r="K1333" s="28"/>
      <c r="L1333" s="28"/>
      <c r="M1333" s="22"/>
      <c r="N1333" s="22"/>
      <c r="O1333" s="22"/>
      <c r="P1333" s="22"/>
      <c r="Q1333" s="22"/>
      <c r="R1333" s="28"/>
      <c r="S1333" s="28"/>
      <c r="T1333" s="28"/>
      <c r="U1333" s="28"/>
      <c r="V1333" s="22"/>
      <c r="W1333" s="22"/>
      <c r="X1333" s="22"/>
      <c r="Y1333" s="22"/>
      <c r="Z1333" s="22"/>
      <c r="AA1333" s="22"/>
      <c r="AB1333" s="22"/>
      <c r="AC1333" s="22"/>
      <c r="AD1333" s="22"/>
    </row>
    <row r="1334" spans="1:30" ht="15.75" customHeight="1" x14ac:dyDescent="0.15">
      <c r="A1334" s="22"/>
      <c r="B1334" s="22"/>
      <c r="C1334" s="22"/>
      <c r="D1334" s="22"/>
      <c r="E1334" s="22"/>
      <c r="F1334" s="28"/>
      <c r="G1334" s="28"/>
      <c r="H1334" s="28"/>
      <c r="I1334" s="28"/>
      <c r="J1334" s="28"/>
      <c r="K1334" s="28"/>
      <c r="L1334" s="28"/>
      <c r="M1334" s="22"/>
      <c r="N1334" s="22"/>
      <c r="O1334" s="22"/>
      <c r="P1334" s="22"/>
      <c r="Q1334" s="22"/>
      <c r="R1334" s="28"/>
      <c r="S1334" s="28"/>
      <c r="T1334" s="28"/>
      <c r="U1334" s="28"/>
      <c r="V1334" s="22"/>
      <c r="W1334" s="22"/>
      <c r="X1334" s="22"/>
      <c r="Y1334" s="22"/>
      <c r="Z1334" s="22"/>
      <c r="AA1334" s="22"/>
      <c r="AB1334" s="22"/>
      <c r="AC1334" s="22"/>
      <c r="AD1334" s="22"/>
    </row>
    <row r="1335" spans="1:30" ht="15.75" customHeight="1" x14ac:dyDescent="0.15">
      <c r="A1335" s="22"/>
      <c r="B1335" s="22"/>
      <c r="C1335" s="22"/>
      <c r="D1335" s="22"/>
      <c r="E1335" s="22"/>
      <c r="F1335" s="28"/>
      <c r="G1335" s="28"/>
      <c r="H1335" s="28"/>
      <c r="I1335" s="28"/>
      <c r="J1335" s="28"/>
      <c r="K1335" s="28"/>
      <c r="L1335" s="28"/>
      <c r="M1335" s="22"/>
      <c r="N1335" s="22"/>
      <c r="O1335" s="22"/>
      <c r="P1335" s="22"/>
      <c r="Q1335" s="22"/>
      <c r="R1335" s="28"/>
      <c r="S1335" s="28"/>
      <c r="T1335" s="28"/>
      <c r="U1335" s="28"/>
      <c r="V1335" s="22"/>
      <c r="W1335" s="22"/>
      <c r="X1335" s="22"/>
      <c r="Y1335" s="22"/>
      <c r="Z1335" s="22"/>
      <c r="AA1335" s="22"/>
      <c r="AB1335" s="22"/>
      <c r="AC1335" s="22"/>
      <c r="AD1335" s="22"/>
    </row>
    <row r="1336" spans="1:30" ht="15.75" customHeight="1" x14ac:dyDescent="0.15">
      <c r="A1336" s="22"/>
      <c r="B1336" s="22"/>
      <c r="C1336" s="22"/>
      <c r="D1336" s="22"/>
      <c r="E1336" s="22"/>
      <c r="F1336" s="28"/>
      <c r="G1336" s="28"/>
      <c r="H1336" s="28"/>
      <c r="I1336" s="28"/>
      <c r="J1336" s="28"/>
      <c r="K1336" s="28"/>
      <c r="L1336" s="28"/>
      <c r="M1336" s="22"/>
      <c r="N1336" s="22"/>
      <c r="O1336" s="22"/>
      <c r="P1336" s="22"/>
      <c r="Q1336" s="22"/>
      <c r="R1336" s="28"/>
      <c r="S1336" s="28"/>
      <c r="T1336" s="28"/>
      <c r="U1336" s="28"/>
      <c r="V1336" s="22"/>
      <c r="W1336" s="22"/>
      <c r="X1336" s="22"/>
      <c r="Y1336" s="22"/>
      <c r="Z1336" s="22"/>
      <c r="AA1336" s="22"/>
      <c r="AB1336" s="22"/>
      <c r="AC1336" s="22"/>
      <c r="AD1336" s="22"/>
    </row>
    <row r="1337" spans="1:30" ht="15.75" customHeight="1" x14ac:dyDescent="0.15">
      <c r="A1337" s="22"/>
      <c r="B1337" s="22"/>
      <c r="C1337" s="22"/>
      <c r="D1337" s="22"/>
      <c r="E1337" s="22"/>
      <c r="F1337" s="28"/>
      <c r="G1337" s="28"/>
      <c r="H1337" s="28"/>
      <c r="I1337" s="28"/>
      <c r="J1337" s="28"/>
      <c r="K1337" s="28"/>
      <c r="L1337" s="28"/>
      <c r="M1337" s="22"/>
      <c r="N1337" s="22"/>
      <c r="O1337" s="22"/>
      <c r="P1337" s="22"/>
      <c r="Q1337" s="22"/>
      <c r="R1337" s="28"/>
      <c r="S1337" s="28"/>
      <c r="T1337" s="28"/>
      <c r="U1337" s="28"/>
      <c r="V1337" s="22"/>
      <c r="W1337" s="22"/>
      <c r="X1337" s="22"/>
      <c r="Y1337" s="22"/>
      <c r="Z1337" s="22"/>
      <c r="AA1337" s="22"/>
      <c r="AB1337" s="22"/>
      <c r="AC1337" s="22"/>
      <c r="AD1337" s="22"/>
    </row>
    <row r="1338" spans="1:30" ht="15.75" customHeight="1" x14ac:dyDescent="0.15">
      <c r="A1338" s="22"/>
      <c r="B1338" s="22"/>
      <c r="C1338" s="22"/>
      <c r="D1338" s="22"/>
      <c r="E1338" s="22"/>
      <c r="F1338" s="28"/>
      <c r="G1338" s="28"/>
      <c r="H1338" s="28"/>
      <c r="I1338" s="28"/>
      <c r="J1338" s="28"/>
      <c r="K1338" s="28"/>
      <c r="L1338" s="28"/>
      <c r="M1338" s="22"/>
      <c r="N1338" s="22"/>
      <c r="O1338" s="22"/>
      <c r="P1338" s="22"/>
      <c r="Q1338" s="22"/>
      <c r="R1338" s="28"/>
      <c r="S1338" s="28"/>
      <c r="T1338" s="28"/>
      <c r="U1338" s="28"/>
      <c r="V1338" s="22"/>
      <c r="W1338" s="22"/>
      <c r="X1338" s="22"/>
      <c r="Y1338" s="22"/>
      <c r="Z1338" s="22"/>
      <c r="AA1338" s="22"/>
      <c r="AB1338" s="22"/>
      <c r="AC1338" s="22"/>
      <c r="AD1338" s="22"/>
    </row>
    <row r="1339" spans="1:30" ht="15.75" customHeight="1" x14ac:dyDescent="0.15">
      <c r="A1339" s="22"/>
      <c r="B1339" s="22"/>
      <c r="C1339" s="22"/>
      <c r="D1339" s="22"/>
      <c r="E1339" s="22"/>
      <c r="F1339" s="28"/>
      <c r="G1339" s="28"/>
      <c r="H1339" s="28"/>
      <c r="I1339" s="28"/>
      <c r="J1339" s="28"/>
      <c r="K1339" s="28"/>
      <c r="L1339" s="28"/>
      <c r="M1339" s="22"/>
      <c r="N1339" s="22"/>
      <c r="O1339" s="22"/>
      <c r="P1339" s="22"/>
      <c r="Q1339" s="22"/>
      <c r="R1339" s="28"/>
      <c r="S1339" s="28"/>
      <c r="T1339" s="28"/>
      <c r="U1339" s="28"/>
      <c r="V1339" s="22"/>
      <c r="W1339" s="22"/>
      <c r="X1339" s="22"/>
      <c r="Y1339" s="22"/>
      <c r="Z1339" s="22"/>
      <c r="AA1339" s="22"/>
      <c r="AB1339" s="22"/>
      <c r="AC1339" s="22"/>
      <c r="AD1339" s="22"/>
    </row>
    <row r="1340" spans="1:30" ht="15.75" customHeight="1" x14ac:dyDescent="0.15">
      <c r="A1340" s="22"/>
      <c r="B1340" s="22"/>
      <c r="C1340" s="22"/>
      <c r="D1340" s="22"/>
      <c r="E1340" s="22"/>
      <c r="F1340" s="28"/>
      <c r="G1340" s="28"/>
      <c r="H1340" s="28"/>
      <c r="I1340" s="28"/>
      <c r="J1340" s="28"/>
      <c r="K1340" s="28"/>
      <c r="L1340" s="28"/>
      <c r="M1340" s="22"/>
      <c r="N1340" s="22"/>
      <c r="O1340" s="22"/>
      <c r="P1340" s="22"/>
      <c r="Q1340" s="22"/>
      <c r="R1340" s="28"/>
      <c r="S1340" s="28"/>
      <c r="T1340" s="28"/>
      <c r="U1340" s="28"/>
      <c r="V1340" s="22"/>
      <c r="W1340" s="22"/>
      <c r="X1340" s="22"/>
      <c r="Y1340" s="22"/>
      <c r="Z1340" s="22"/>
      <c r="AA1340" s="22"/>
      <c r="AB1340" s="22"/>
      <c r="AC1340" s="22"/>
      <c r="AD1340" s="22"/>
    </row>
    <row r="1341" spans="1:30" ht="15.75" customHeight="1" x14ac:dyDescent="0.15">
      <c r="A1341" s="22"/>
      <c r="B1341" s="22"/>
      <c r="C1341" s="22"/>
      <c r="D1341" s="22"/>
      <c r="E1341" s="22"/>
      <c r="F1341" s="28"/>
      <c r="G1341" s="28"/>
      <c r="H1341" s="28"/>
      <c r="I1341" s="28"/>
      <c r="J1341" s="28"/>
      <c r="K1341" s="28"/>
      <c r="L1341" s="28"/>
      <c r="M1341" s="22"/>
      <c r="N1341" s="22"/>
      <c r="O1341" s="22"/>
      <c r="P1341" s="22"/>
      <c r="Q1341" s="22"/>
      <c r="R1341" s="28"/>
      <c r="S1341" s="28"/>
      <c r="T1341" s="28"/>
      <c r="U1341" s="28"/>
      <c r="V1341" s="22"/>
      <c r="W1341" s="22"/>
      <c r="X1341" s="22"/>
      <c r="Y1341" s="22"/>
      <c r="Z1341" s="22"/>
      <c r="AA1341" s="22"/>
      <c r="AB1341" s="22"/>
      <c r="AC1341" s="22"/>
      <c r="AD1341" s="22"/>
    </row>
    <row r="1342" spans="1:30" ht="15.75" customHeight="1" x14ac:dyDescent="0.15">
      <c r="A1342" s="22"/>
      <c r="B1342" s="22"/>
      <c r="C1342" s="22"/>
      <c r="D1342" s="22"/>
      <c r="E1342" s="22"/>
      <c r="F1342" s="28"/>
      <c r="G1342" s="28"/>
      <c r="H1342" s="28"/>
      <c r="I1342" s="28"/>
      <c r="J1342" s="28"/>
      <c r="K1342" s="28"/>
      <c r="L1342" s="28"/>
      <c r="M1342" s="22"/>
      <c r="N1342" s="22"/>
      <c r="O1342" s="22"/>
      <c r="P1342" s="22"/>
      <c r="Q1342" s="22"/>
      <c r="R1342" s="28"/>
      <c r="S1342" s="28"/>
      <c r="T1342" s="28"/>
      <c r="U1342" s="28"/>
      <c r="V1342" s="22"/>
      <c r="W1342" s="22"/>
      <c r="X1342" s="22"/>
      <c r="Y1342" s="22"/>
      <c r="Z1342" s="22"/>
      <c r="AA1342" s="22"/>
      <c r="AB1342" s="22"/>
      <c r="AC1342" s="22"/>
      <c r="AD1342" s="22"/>
    </row>
    <row r="1343" spans="1:30" ht="15.75" customHeight="1" x14ac:dyDescent="0.15">
      <c r="A1343" s="22"/>
      <c r="B1343" s="22"/>
      <c r="C1343" s="22"/>
      <c r="D1343" s="22"/>
      <c r="E1343" s="22"/>
      <c r="F1343" s="28"/>
      <c r="G1343" s="28"/>
      <c r="H1343" s="28"/>
      <c r="I1343" s="28"/>
      <c r="J1343" s="28"/>
      <c r="K1343" s="28"/>
      <c r="L1343" s="28"/>
      <c r="M1343" s="22"/>
      <c r="N1343" s="22"/>
      <c r="O1343" s="22"/>
      <c r="P1343" s="22"/>
      <c r="Q1343" s="22"/>
      <c r="R1343" s="28"/>
      <c r="S1343" s="28"/>
      <c r="T1343" s="28"/>
      <c r="U1343" s="28"/>
      <c r="V1343" s="22"/>
      <c r="W1343" s="22"/>
      <c r="X1343" s="22"/>
      <c r="Y1343" s="22"/>
      <c r="Z1343" s="22"/>
      <c r="AA1343" s="22"/>
      <c r="AB1343" s="22"/>
      <c r="AC1343" s="22"/>
      <c r="AD1343" s="22"/>
    </row>
    <row r="1344" spans="1:30" ht="15.75" customHeight="1" x14ac:dyDescent="0.15">
      <c r="A1344" s="22"/>
      <c r="B1344" s="22"/>
      <c r="C1344" s="22"/>
      <c r="D1344" s="22"/>
      <c r="E1344" s="22"/>
      <c r="F1344" s="28"/>
      <c r="G1344" s="28"/>
      <c r="H1344" s="28"/>
      <c r="I1344" s="28"/>
      <c r="J1344" s="28"/>
      <c r="K1344" s="28"/>
      <c r="L1344" s="28"/>
      <c r="M1344" s="22"/>
      <c r="N1344" s="22"/>
      <c r="O1344" s="22"/>
      <c r="P1344" s="22"/>
      <c r="Q1344" s="22"/>
      <c r="R1344" s="28"/>
      <c r="S1344" s="28"/>
      <c r="T1344" s="28"/>
      <c r="U1344" s="28"/>
      <c r="V1344" s="22"/>
      <c r="W1344" s="22"/>
      <c r="X1344" s="22"/>
      <c r="Y1344" s="22"/>
      <c r="Z1344" s="22"/>
      <c r="AA1344" s="22"/>
      <c r="AB1344" s="22"/>
      <c r="AC1344" s="22"/>
      <c r="AD1344" s="22"/>
    </row>
    <row r="1345" spans="1:30" ht="15.75" customHeight="1" x14ac:dyDescent="0.15">
      <c r="A1345" s="22"/>
      <c r="B1345" s="22"/>
      <c r="C1345" s="22"/>
      <c r="D1345" s="22"/>
      <c r="E1345" s="22"/>
      <c r="F1345" s="28"/>
      <c r="G1345" s="28"/>
      <c r="H1345" s="28"/>
      <c r="I1345" s="28"/>
      <c r="J1345" s="28"/>
      <c r="K1345" s="28"/>
      <c r="L1345" s="28"/>
      <c r="M1345" s="22"/>
      <c r="N1345" s="22"/>
      <c r="O1345" s="22"/>
      <c r="P1345" s="22"/>
      <c r="Q1345" s="22"/>
      <c r="R1345" s="28"/>
      <c r="S1345" s="28"/>
      <c r="T1345" s="28"/>
      <c r="U1345" s="28"/>
      <c r="V1345" s="22"/>
      <c r="W1345" s="22"/>
      <c r="X1345" s="22"/>
      <c r="Y1345" s="22"/>
      <c r="Z1345" s="22"/>
      <c r="AA1345" s="22"/>
      <c r="AB1345" s="22"/>
      <c r="AC1345" s="22"/>
      <c r="AD1345" s="22"/>
    </row>
    <row r="1346" spans="1:30" ht="15.75" customHeight="1" x14ac:dyDescent="0.15">
      <c r="A1346" s="22"/>
      <c r="B1346" s="22"/>
      <c r="C1346" s="22"/>
      <c r="D1346" s="22"/>
      <c r="E1346" s="22"/>
      <c r="F1346" s="28"/>
      <c r="G1346" s="28"/>
      <c r="H1346" s="28"/>
      <c r="I1346" s="28"/>
      <c r="J1346" s="28"/>
      <c r="K1346" s="28"/>
      <c r="L1346" s="28"/>
      <c r="M1346" s="22"/>
      <c r="N1346" s="22"/>
      <c r="O1346" s="22"/>
      <c r="P1346" s="22"/>
      <c r="Q1346" s="22"/>
      <c r="R1346" s="28"/>
      <c r="S1346" s="28"/>
      <c r="T1346" s="28"/>
      <c r="U1346" s="28"/>
      <c r="V1346" s="22"/>
      <c r="W1346" s="22"/>
      <c r="X1346" s="22"/>
      <c r="Y1346" s="22"/>
      <c r="Z1346" s="22"/>
      <c r="AA1346" s="22"/>
      <c r="AB1346" s="22"/>
      <c r="AC1346" s="22"/>
      <c r="AD1346" s="22"/>
    </row>
    <row r="1347" spans="1:30" ht="15.75" customHeight="1" x14ac:dyDescent="0.15">
      <c r="A1347" s="22"/>
      <c r="B1347" s="22"/>
      <c r="C1347" s="22"/>
      <c r="D1347" s="22"/>
      <c r="E1347" s="22"/>
      <c r="F1347" s="28"/>
      <c r="G1347" s="28"/>
      <c r="H1347" s="28"/>
      <c r="I1347" s="28"/>
      <c r="J1347" s="28"/>
      <c r="K1347" s="28"/>
      <c r="L1347" s="28"/>
      <c r="M1347" s="22"/>
      <c r="N1347" s="22"/>
      <c r="O1347" s="22"/>
      <c r="P1347" s="22"/>
      <c r="Q1347" s="22"/>
      <c r="R1347" s="28"/>
      <c r="S1347" s="28"/>
      <c r="T1347" s="28"/>
      <c r="U1347" s="28"/>
      <c r="V1347" s="22"/>
      <c r="W1347" s="22"/>
      <c r="X1347" s="22"/>
      <c r="Y1347" s="22"/>
      <c r="Z1347" s="22"/>
      <c r="AA1347" s="22"/>
      <c r="AB1347" s="22"/>
      <c r="AC1347" s="22"/>
      <c r="AD1347" s="22"/>
    </row>
    <row r="1348" spans="1:30" ht="15.75" customHeight="1" x14ac:dyDescent="0.15">
      <c r="A1348" s="22"/>
      <c r="B1348" s="22"/>
      <c r="C1348" s="22"/>
      <c r="D1348" s="22"/>
      <c r="E1348" s="22"/>
      <c r="F1348" s="28"/>
      <c r="G1348" s="28"/>
      <c r="H1348" s="28"/>
      <c r="I1348" s="28"/>
      <c r="J1348" s="28"/>
      <c r="K1348" s="28"/>
      <c r="L1348" s="28"/>
      <c r="M1348" s="22"/>
      <c r="N1348" s="22"/>
      <c r="O1348" s="22"/>
      <c r="P1348" s="22"/>
      <c r="Q1348" s="22"/>
      <c r="R1348" s="28"/>
      <c r="S1348" s="28"/>
      <c r="T1348" s="28"/>
      <c r="U1348" s="28"/>
      <c r="V1348" s="22"/>
      <c r="W1348" s="22"/>
      <c r="X1348" s="22"/>
      <c r="Y1348" s="22"/>
      <c r="Z1348" s="22"/>
      <c r="AA1348" s="22"/>
      <c r="AB1348" s="22"/>
      <c r="AC1348" s="22"/>
      <c r="AD1348" s="22"/>
    </row>
    <row r="1349" spans="1:30" ht="15.75" customHeight="1" x14ac:dyDescent="0.15">
      <c r="A1349" s="22"/>
      <c r="B1349" s="22"/>
      <c r="C1349" s="22"/>
      <c r="D1349" s="22"/>
      <c r="E1349" s="22"/>
      <c r="F1349" s="28"/>
      <c r="G1349" s="28"/>
      <c r="H1349" s="28"/>
      <c r="I1349" s="28"/>
      <c r="J1349" s="28"/>
      <c r="K1349" s="28"/>
      <c r="L1349" s="28"/>
      <c r="M1349" s="22"/>
      <c r="N1349" s="22"/>
      <c r="O1349" s="22"/>
      <c r="P1349" s="22"/>
      <c r="Q1349" s="22"/>
      <c r="R1349" s="28"/>
      <c r="S1349" s="28"/>
      <c r="T1349" s="28"/>
      <c r="U1349" s="28"/>
      <c r="V1349" s="22"/>
      <c r="W1349" s="22"/>
      <c r="X1349" s="22"/>
      <c r="Y1349" s="22"/>
      <c r="Z1349" s="22"/>
      <c r="AA1349" s="22"/>
      <c r="AB1349" s="22"/>
      <c r="AC1349" s="22"/>
      <c r="AD1349" s="22"/>
    </row>
    <row r="1350" spans="1:30" ht="15.75" customHeight="1" x14ac:dyDescent="0.15">
      <c r="A1350" s="22"/>
      <c r="B1350" s="22"/>
      <c r="C1350" s="22"/>
      <c r="D1350" s="22"/>
      <c r="E1350" s="22"/>
      <c r="F1350" s="28"/>
      <c r="G1350" s="28"/>
      <c r="H1350" s="28"/>
      <c r="I1350" s="28"/>
      <c r="J1350" s="28"/>
      <c r="K1350" s="28"/>
      <c r="L1350" s="28"/>
      <c r="M1350" s="22"/>
      <c r="N1350" s="22"/>
      <c r="O1350" s="22"/>
      <c r="P1350" s="22"/>
      <c r="Q1350" s="22"/>
      <c r="R1350" s="28"/>
      <c r="S1350" s="28"/>
      <c r="T1350" s="28"/>
      <c r="U1350" s="28"/>
      <c r="V1350" s="22"/>
      <c r="W1350" s="22"/>
      <c r="X1350" s="22"/>
      <c r="Y1350" s="22"/>
      <c r="Z1350" s="22"/>
      <c r="AA1350" s="22"/>
      <c r="AB1350" s="22"/>
      <c r="AC1350" s="22"/>
      <c r="AD1350" s="22"/>
    </row>
    <row r="1351" spans="1:30" ht="15.75" customHeight="1" x14ac:dyDescent="0.15">
      <c r="A1351" s="22"/>
      <c r="B1351" s="22"/>
      <c r="C1351" s="22"/>
      <c r="D1351" s="22"/>
      <c r="E1351" s="22"/>
      <c r="F1351" s="28"/>
      <c r="G1351" s="28"/>
      <c r="H1351" s="28"/>
      <c r="I1351" s="28"/>
      <c r="J1351" s="28"/>
      <c r="K1351" s="28"/>
      <c r="L1351" s="28"/>
      <c r="M1351" s="22"/>
      <c r="N1351" s="22"/>
      <c r="O1351" s="22"/>
      <c r="P1351" s="22"/>
      <c r="Q1351" s="22"/>
      <c r="R1351" s="28"/>
      <c r="S1351" s="28"/>
      <c r="T1351" s="28"/>
      <c r="U1351" s="28"/>
      <c r="V1351" s="22"/>
      <c r="W1351" s="22"/>
      <c r="X1351" s="22"/>
      <c r="Y1351" s="22"/>
      <c r="Z1351" s="22"/>
      <c r="AA1351" s="22"/>
      <c r="AB1351" s="22"/>
      <c r="AC1351" s="22"/>
      <c r="AD1351" s="22"/>
    </row>
    <row r="1352" spans="1:30" ht="15.75" customHeight="1" x14ac:dyDescent="0.15">
      <c r="A1352" s="22"/>
      <c r="B1352" s="22"/>
      <c r="C1352" s="22"/>
      <c r="D1352" s="22"/>
      <c r="E1352" s="22"/>
      <c r="F1352" s="28"/>
      <c r="G1352" s="28"/>
      <c r="H1352" s="28"/>
      <c r="I1352" s="28"/>
      <c r="J1352" s="28"/>
      <c r="K1352" s="28"/>
      <c r="L1352" s="28"/>
      <c r="M1352" s="22"/>
      <c r="N1352" s="22"/>
      <c r="O1352" s="22"/>
      <c r="P1352" s="22"/>
      <c r="Q1352" s="22"/>
      <c r="R1352" s="28"/>
      <c r="S1352" s="28"/>
      <c r="T1352" s="28"/>
      <c r="U1352" s="28"/>
      <c r="V1352" s="22"/>
      <c r="W1352" s="22"/>
      <c r="X1352" s="22"/>
      <c r="Y1352" s="22"/>
      <c r="Z1352" s="22"/>
      <c r="AA1352" s="22"/>
      <c r="AB1352" s="22"/>
      <c r="AC1352" s="22"/>
      <c r="AD1352" s="22"/>
    </row>
    <row r="1353" spans="1:30" ht="15.75" customHeight="1" x14ac:dyDescent="0.15">
      <c r="A1353" s="22"/>
      <c r="B1353" s="22"/>
      <c r="C1353" s="22"/>
      <c r="D1353" s="22"/>
      <c r="E1353" s="22"/>
      <c r="F1353" s="28"/>
      <c r="G1353" s="28"/>
      <c r="H1353" s="28"/>
      <c r="I1353" s="28"/>
      <c r="J1353" s="28"/>
      <c r="K1353" s="28"/>
      <c r="L1353" s="28"/>
      <c r="M1353" s="22"/>
      <c r="N1353" s="22"/>
      <c r="O1353" s="22"/>
      <c r="P1353" s="22"/>
      <c r="Q1353" s="22"/>
      <c r="R1353" s="28"/>
      <c r="S1353" s="28"/>
      <c r="T1353" s="28"/>
      <c r="U1353" s="28"/>
      <c r="V1353" s="22"/>
      <c r="W1353" s="22"/>
      <c r="X1353" s="22"/>
      <c r="Y1353" s="22"/>
      <c r="Z1353" s="22"/>
      <c r="AA1353" s="22"/>
      <c r="AB1353" s="22"/>
      <c r="AC1353" s="22"/>
      <c r="AD1353" s="22"/>
    </row>
    <row r="1354" spans="1:30" ht="15.75" customHeight="1" x14ac:dyDescent="0.15">
      <c r="A1354" s="22"/>
      <c r="B1354" s="22"/>
      <c r="C1354" s="22"/>
      <c r="D1354" s="22"/>
      <c r="E1354" s="22"/>
      <c r="F1354" s="28"/>
      <c r="G1354" s="28"/>
      <c r="H1354" s="28"/>
      <c r="I1354" s="28"/>
      <c r="J1354" s="28"/>
      <c r="K1354" s="28"/>
      <c r="L1354" s="28"/>
      <c r="M1354" s="22"/>
      <c r="N1354" s="22"/>
      <c r="O1354" s="22"/>
      <c r="P1354" s="22"/>
      <c r="Q1354" s="22"/>
      <c r="R1354" s="28"/>
      <c r="S1354" s="28"/>
      <c r="T1354" s="28"/>
      <c r="U1354" s="28"/>
      <c r="V1354" s="22"/>
      <c r="W1354" s="22"/>
      <c r="X1354" s="22"/>
      <c r="Y1354" s="22"/>
      <c r="Z1354" s="22"/>
      <c r="AA1354" s="22"/>
      <c r="AB1354" s="22"/>
      <c r="AC1354" s="22"/>
      <c r="AD1354" s="22"/>
    </row>
    <row r="1355" spans="1:30" ht="15.75" customHeight="1" x14ac:dyDescent="0.15">
      <c r="A1355" s="22"/>
      <c r="B1355" s="22"/>
      <c r="C1355" s="22"/>
      <c r="D1355" s="22"/>
      <c r="E1355" s="22"/>
      <c r="F1355" s="28"/>
      <c r="G1355" s="28"/>
      <c r="H1355" s="28"/>
      <c r="I1355" s="28"/>
      <c r="J1355" s="28"/>
      <c r="K1355" s="28"/>
      <c r="L1355" s="28"/>
      <c r="M1355" s="22"/>
      <c r="N1355" s="22"/>
      <c r="O1355" s="22"/>
      <c r="P1355" s="22"/>
      <c r="Q1355" s="22"/>
      <c r="R1355" s="28"/>
      <c r="S1355" s="28"/>
      <c r="T1355" s="28"/>
      <c r="U1355" s="28"/>
      <c r="V1355" s="22"/>
      <c r="W1355" s="22"/>
      <c r="X1355" s="22"/>
      <c r="Y1355" s="22"/>
      <c r="Z1355" s="22"/>
      <c r="AA1355" s="22"/>
      <c r="AB1355" s="22"/>
      <c r="AC1355" s="22"/>
      <c r="AD1355" s="22"/>
    </row>
    <row r="1356" spans="1:30" ht="15.75" customHeight="1" x14ac:dyDescent="0.15">
      <c r="A1356" s="22"/>
      <c r="B1356" s="22"/>
      <c r="C1356" s="22"/>
      <c r="D1356" s="22"/>
      <c r="E1356" s="22"/>
      <c r="F1356" s="28"/>
      <c r="G1356" s="28"/>
      <c r="H1356" s="28"/>
      <c r="I1356" s="28"/>
      <c r="J1356" s="28"/>
      <c r="K1356" s="28"/>
      <c r="L1356" s="28"/>
      <c r="M1356" s="22"/>
      <c r="N1356" s="22"/>
      <c r="O1356" s="22"/>
      <c r="P1356" s="22"/>
      <c r="Q1356" s="22"/>
      <c r="R1356" s="28"/>
      <c r="S1356" s="28"/>
      <c r="T1356" s="28"/>
      <c r="U1356" s="28"/>
      <c r="V1356" s="22"/>
      <c r="W1356" s="22"/>
      <c r="X1356" s="22"/>
      <c r="Y1356" s="22"/>
      <c r="Z1356" s="22"/>
      <c r="AA1356" s="22"/>
      <c r="AB1356" s="22"/>
      <c r="AC1356" s="22"/>
      <c r="AD1356" s="22"/>
    </row>
    <row r="1357" spans="1:30" ht="15.75" customHeight="1" x14ac:dyDescent="0.15">
      <c r="A1357" s="22"/>
      <c r="B1357" s="22"/>
      <c r="C1357" s="22"/>
      <c r="D1357" s="22"/>
      <c r="E1357" s="22"/>
      <c r="F1357" s="28"/>
      <c r="G1357" s="28"/>
      <c r="H1357" s="28"/>
      <c r="I1357" s="28"/>
      <c r="J1357" s="28"/>
      <c r="K1357" s="28"/>
      <c r="L1357" s="28"/>
      <c r="M1357" s="22"/>
      <c r="N1357" s="22"/>
      <c r="O1357" s="22"/>
      <c r="P1357" s="22"/>
      <c r="Q1357" s="22"/>
      <c r="R1357" s="28"/>
      <c r="S1357" s="28"/>
      <c r="T1357" s="28"/>
      <c r="U1357" s="28"/>
      <c r="V1357" s="22"/>
      <c r="W1357" s="22"/>
      <c r="X1357" s="22"/>
      <c r="Y1357" s="22"/>
      <c r="Z1357" s="22"/>
      <c r="AA1357" s="22"/>
      <c r="AB1357" s="22"/>
      <c r="AC1357" s="22"/>
      <c r="AD1357" s="22"/>
    </row>
    <row r="1358" spans="1:30" ht="15.75" customHeight="1" x14ac:dyDescent="0.15">
      <c r="A1358" s="22"/>
      <c r="B1358" s="22"/>
      <c r="C1358" s="22"/>
      <c r="D1358" s="22"/>
      <c r="E1358" s="22"/>
      <c r="F1358" s="28"/>
      <c r="G1358" s="28"/>
      <c r="H1358" s="28"/>
      <c r="I1358" s="28"/>
      <c r="J1358" s="28"/>
      <c r="K1358" s="28"/>
      <c r="L1358" s="28"/>
      <c r="M1358" s="22"/>
      <c r="N1358" s="22"/>
      <c r="O1358" s="22"/>
      <c r="P1358" s="22"/>
      <c r="Q1358" s="22"/>
      <c r="R1358" s="28"/>
      <c r="S1358" s="28"/>
      <c r="T1358" s="28"/>
      <c r="U1358" s="28"/>
      <c r="V1358" s="22"/>
      <c r="W1358" s="22"/>
      <c r="X1358" s="22"/>
      <c r="Y1358" s="22"/>
      <c r="Z1358" s="22"/>
      <c r="AA1358" s="22"/>
      <c r="AB1358" s="22"/>
      <c r="AC1358" s="22"/>
      <c r="AD1358" s="22"/>
    </row>
    <row r="1359" spans="1:30" ht="15.75" customHeight="1" x14ac:dyDescent="0.15">
      <c r="A1359" s="22"/>
      <c r="B1359" s="22"/>
      <c r="C1359" s="22"/>
      <c r="D1359" s="22"/>
      <c r="E1359" s="22"/>
      <c r="F1359" s="28"/>
      <c r="G1359" s="28"/>
      <c r="H1359" s="28"/>
      <c r="I1359" s="28"/>
      <c r="J1359" s="28"/>
      <c r="K1359" s="28"/>
      <c r="L1359" s="28"/>
      <c r="M1359" s="22"/>
      <c r="N1359" s="22"/>
      <c r="O1359" s="22"/>
      <c r="P1359" s="22"/>
      <c r="Q1359" s="22"/>
      <c r="R1359" s="28"/>
      <c r="S1359" s="28"/>
      <c r="T1359" s="28"/>
      <c r="U1359" s="28"/>
      <c r="V1359" s="22"/>
      <c r="W1359" s="22"/>
      <c r="X1359" s="22"/>
      <c r="Y1359" s="22"/>
      <c r="Z1359" s="22"/>
      <c r="AA1359" s="22"/>
      <c r="AB1359" s="22"/>
      <c r="AC1359" s="22"/>
      <c r="AD1359" s="22"/>
    </row>
    <row r="1360" spans="1:30" ht="15.75" customHeight="1" x14ac:dyDescent="0.15">
      <c r="A1360" s="22"/>
      <c r="B1360" s="22"/>
      <c r="C1360" s="22"/>
      <c r="D1360" s="22"/>
      <c r="E1360" s="22"/>
      <c r="F1360" s="28"/>
      <c r="G1360" s="28"/>
      <c r="H1360" s="28"/>
      <c r="I1360" s="28"/>
      <c r="J1360" s="28"/>
      <c r="K1360" s="28"/>
      <c r="L1360" s="28"/>
      <c r="M1360" s="22"/>
      <c r="N1360" s="22"/>
      <c r="O1360" s="22"/>
      <c r="P1360" s="22"/>
      <c r="Q1360" s="22"/>
      <c r="R1360" s="28"/>
      <c r="S1360" s="28"/>
      <c r="T1360" s="28"/>
      <c r="U1360" s="28"/>
      <c r="V1360" s="22"/>
      <c r="W1360" s="22"/>
      <c r="X1360" s="22"/>
      <c r="Y1360" s="22"/>
      <c r="Z1360" s="22"/>
      <c r="AA1360" s="22"/>
      <c r="AB1360" s="22"/>
      <c r="AC1360" s="22"/>
      <c r="AD1360" s="22"/>
    </row>
    <row r="1361" spans="1:30" ht="15.75" customHeight="1" x14ac:dyDescent="0.15">
      <c r="A1361" s="22"/>
      <c r="B1361" s="22"/>
      <c r="C1361" s="22"/>
      <c r="D1361" s="22"/>
      <c r="E1361" s="22"/>
      <c r="F1361" s="28"/>
      <c r="G1361" s="28"/>
      <c r="H1361" s="28"/>
      <c r="I1361" s="28"/>
      <c r="J1361" s="28"/>
      <c r="K1361" s="28"/>
      <c r="L1361" s="28"/>
      <c r="M1361" s="22"/>
      <c r="N1361" s="22"/>
      <c r="O1361" s="22"/>
      <c r="P1361" s="22"/>
      <c r="Q1361" s="22"/>
      <c r="R1361" s="28"/>
      <c r="S1361" s="28"/>
      <c r="T1361" s="28"/>
      <c r="U1361" s="28"/>
      <c r="V1361" s="22"/>
      <c r="W1361" s="22"/>
      <c r="X1361" s="22"/>
      <c r="Y1361" s="22"/>
      <c r="Z1361" s="22"/>
      <c r="AA1361" s="22"/>
      <c r="AB1361" s="22"/>
      <c r="AC1361" s="22"/>
      <c r="AD1361" s="22"/>
    </row>
    <row r="1362" spans="1:30" ht="15.75" customHeight="1" x14ac:dyDescent="0.15">
      <c r="A1362" s="22"/>
      <c r="B1362" s="22"/>
      <c r="C1362" s="22"/>
      <c r="D1362" s="22"/>
      <c r="E1362" s="22"/>
      <c r="F1362" s="28"/>
      <c r="G1362" s="28"/>
      <c r="H1362" s="28"/>
      <c r="I1362" s="28"/>
      <c r="J1362" s="28"/>
      <c r="K1362" s="28"/>
      <c r="L1362" s="28"/>
      <c r="M1362" s="22"/>
      <c r="N1362" s="22"/>
      <c r="O1362" s="22"/>
      <c r="P1362" s="22"/>
      <c r="Q1362" s="22"/>
      <c r="R1362" s="28"/>
      <c r="S1362" s="28"/>
      <c r="T1362" s="28"/>
      <c r="U1362" s="28"/>
      <c r="V1362" s="22"/>
      <c r="W1362" s="22"/>
      <c r="X1362" s="22"/>
      <c r="Y1362" s="22"/>
      <c r="Z1362" s="22"/>
      <c r="AA1362" s="22"/>
      <c r="AB1362" s="22"/>
      <c r="AC1362" s="22"/>
      <c r="AD1362" s="22"/>
    </row>
    <row r="1363" spans="1:30" ht="15.75" customHeight="1" x14ac:dyDescent="0.15">
      <c r="A1363" s="22"/>
      <c r="B1363" s="22"/>
      <c r="C1363" s="22"/>
      <c r="D1363" s="22"/>
      <c r="E1363" s="22"/>
      <c r="F1363" s="28"/>
      <c r="G1363" s="28"/>
      <c r="H1363" s="28"/>
      <c r="I1363" s="28"/>
      <c r="J1363" s="28"/>
      <c r="K1363" s="28"/>
      <c r="L1363" s="28"/>
      <c r="M1363" s="22"/>
      <c r="N1363" s="22"/>
      <c r="O1363" s="22"/>
      <c r="P1363" s="22"/>
      <c r="Q1363" s="22"/>
      <c r="R1363" s="28"/>
      <c r="S1363" s="28"/>
      <c r="T1363" s="28"/>
      <c r="U1363" s="28"/>
      <c r="V1363" s="22"/>
      <c r="W1363" s="22"/>
      <c r="X1363" s="22"/>
      <c r="Y1363" s="22"/>
      <c r="Z1363" s="22"/>
      <c r="AA1363" s="22"/>
      <c r="AB1363" s="22"/>
      <c r="AC1363" s="22"/>
      <c r="AD1363" s="22"/>
    </row>
    <row r="1364" spans="1:30" ht="15.75" customHeight="1" x14ac:dyDescent="0.15">
      <c r="A1364" s="22"/>
      <c r="B1364" s="22"/>
      <c r="C1364" s="22"/>
      <c r="D1364" s="22"/>
      <c r="E1364" s="22"/>
      <c r="F1364" s="28"/>
      <c r="G1364" s="28"/>
      <c r="H1364" s="28"/>
      <c r="I1364" s="28"/>
      <c r="J1364" s="28"/>
      <c r="K1364" s="28"/>
      <c r="L1364" s="28"/>
      <c r="M1364" s="22"/>
      <c r="N1364" s="22"/>
      <c r="O1364" s="22"/>
      <c r="P1364" s="22"/>
      <c r="Q1364" s="22"/>
      <c r="R1364" s="28"/>
      <c r="S1364" s="28"/>
      <c r="T1364" s="28"/>
      <c r="U1364" s="28"/>
      <c r="V1364" s="22"/>
      <c r="W1364" s="22"/>
      <c r="X1364" s="22"/>
      <c r="Y1364" s="22"/>
      <c r="Z1364" s="22"/>
      <c r="AA1364" s="22"/>
      <c r="AB1364" s="22"/>
      <c r="AC1364" s="22"/>
      <c r="AD1364" s="22"/>
    </row>
    <row r="1365" spans="1:30" ht="15.75" customHeight="1" x14ac:dyDescent="0.15">
      <c r="A1365" s="22"/>
      <c r="B1365" s="22"/>
      <c r="C1365" s="22"/>
      <c r="D1365" s="22"/>
      <c r="E1365" s="22"/>
      <c r="F1365" s="28"/>
      <c r="G1365" s="28"/>
      <c r="H1365" s="28"/>
      <c r="I1365" s="28"/>
      <c r="J1365" s="28"/>
      <c r="K1365" s="28"/>
      <c r="L1365" s="28"/>
      <c r="M1365" s="22"/>
      <c r="N1365" s="22"/>
      <c r="O1365" s="22"/>
      <c r="P1365" s="22"/>
      <c r="Q1365" s="22"/>
      <c r="R1365" s="28"/>
      <c r="S1365" s="28"/>
      <c r="T1365" s="28"/>
      <c r="U1365" s="28"/>
      <c r="V1365" s="22"/>
      <c r="W1365" s="22"/>
      <c r="X1365" s="22"/>
      <c r="Y1365" s="22"/>
      <c r="Z1365" s="22"/>
      <c r="AA1365" s="22"/>
      <c r="AB1365" s="22"/>
      <c r="AC1365" s="22"/>
      <c r="AD1365" s="22"/>
    </row>
    <row r="1366" spans="1:30" ht="15.75" customHeight="1" x14ac:dyDescent="0.15">
      <c r="A1366" s="22"/>
      <c r="B1366" s="22"/>
      <c r="C1366" s="22"/>
      <c r="D1366" s="22"/>
      <c r="E1366" s="22"/>
      <c r="F1366" s="28"/>
      <c r="G1366" s="28"/>
      <c r="H1366" s="28"/>
      <c r="I1366" s="28"/>
      <c r="J1366" s="28"/>
      <c r="K1366" s="28"/>
      <c r="L1366" s="28"/>
      <c r="M1366" s="22"/>
      <c r="N1366" s="22"/>
      <c r="O1366" s="22"/>
      <c r="P1366" s="22"/>
      <c r="Q1366" s="22"/>
      <c r="R1366" s="28"/>
      <c r="S1366" s="28"/>
      <c r="T1366" s="28"/>
      <c r="U1366" s="28"/>
      <c r="V1366" s="22"/>
      <c r="W1366" s="22"/>
      <c r="X1366" s="22"/>
      <c r="Y1366" s="22"/>
      <c r="Z1366" s="22"/>
      <c r="AA1366" s="22"/>
      <c r="AB1366" s="22"/>
      <c r="AC1366" s="22"/>
      <c r="AD1366" s="22"/>
    </row>
    <row r="1367" spans="1:30" ht="15.75" customHeight="1" x14ac:dyDescent="0.15">
      <c r="A1367" s="22"/>
      <c r="B1367" s="22"/>
      <c r="C1367" s="22"/>
      <c r="D1367" s="22"/>
      <c r="E1367" s="22"/>
      <c r="F1367" s="28"/>
      <c r="G1367" s="28"/>
      <c r="H1367" s="28"/>
      <c r="I1367" s="28"/>
      <c r="J1367" s="28"/>
      <c r="K1367" s="28"/>
      <c r="L1367" s="28"/>
      <c r="M1367" s="22"/>
      <c r="N1367" s="22"/>
      <c r="O1367" s="22"/>
      <c r="P1367" s="22"/>
      <c r="Q1367" s="22"/>
      <c r="R1367" s="28"/>
      <c r="S1367" s="28"/>
      <c r="T1367" s="28"/>
      <c r="U1367" s="28"/>
      <c r="V1367" s="22"/>
      <c r="W1367" s="22"/>
      <c r="X1367" s="22"/>
      <c r="Y1367" s="22"/>
      <c r="Z1367" s="22"/>
      <c r="AA1367" s="22"/>
      <c r="AB1367" s="22"/>
      <c r="AC1367" s="22"/>
      <c r="AD1367" s="22"/>
    </row>
    <row r="1368" spans="1:30" ht="15.75" customHeight="1" x14ac:dyDescent="0.15">
      <c r="A1368" s="22"/>
      <c r="B1368" s="22"/>
      <c r="C1368" s="22"/>
      <c r="D1368" s="22"/>
      <c r="E1368" s="22"/>
      <c r="F1368" s="28"/>
      <c r="G1368" s="28"/>
      <c r="H1368" s="28"/>
      <c r="I1368" s="28"/>
      <c r="J1368" s="28"/>
      <c r="K1368" s="28"/>
      <c r="L1368" s="28"/>
      <c r="M1368" s="22"/>
      <c r="N1368" s="22"/>
      <c r="O1368" s="22"/>
      <c r="P1368" s="22"/>
      <c r="Q1368" s="22"/>
      <c r="R1368" s="28"/>
      <c r="S1368" s="28"/>
      <c r="T1368" s="28"/>
      <c r="U1368" s="28"/>
      <c r="V1368" s="22"/>
      <c r="W1368" s="22"/>
      <c r="X1368" s="22"/>
      <c r="Y1368" s="22"/>
      <c r="Z1368" s="22"/>
      <c r="AA1368" s="22"/>
      <c r="AB1368" s="22"/>
      <c r="AC1368" s="22"/>
      <c r="AD1368" s="22"/>
    </row>
    <row r="1369" spans="1:30" ht="15.75" customHeight="1" x14ac:dyDescent="0.15">
      <c r="A1369" s="22"/>
      <c r="B1369" s="22"/>
      <c r="C1369" s="22"/>
      <c r="D1369" s="22"/>
      <c r="E1369" s="22"/>
      <c r="F1369" s="28"/>
      <c r="G1369" s="28"/>
      <c r="H1369" s="28"/>
      <c r="I1369" s="28"/>
      <c r="J1369" s="28"/>
      <c r="K1369" s="28"/>
      <c r="L1369" s="28"/>
      <c r="M1369" s="22"/>
      <c r="N1369" s="22"/>
      <c r="O1369" s="22"/>
      <c r="P1369" s="22"/>
      <c r="Q1369" s="22"/>
      <c r="R1369" s="28"/>
      <c r="S1369" s="28"/>
      <c r="T1369" s="28"/>
      <c r="U1369" s="28"/>
      <c r="V1369" s="22"/>
      <c r="W1369" s="22"/>
      <c r="X1369" s="22"/>
      <c r="Y1369" s="22"/>
      <c r="Z1369" s="22"/>
      <c r="AA1369" s="22"/>
      <c r="AB1369" s="22"/>
      <c r="AC1369" s="22"/>
      <c r="AD1369" s="22"/>
    </row>
    <row r="1370" spans="1:30" ht="15.75" customHeight="1" x14ac:dyDescent="0.15">
      <c r="A1370" s="22"/>
      <c r="B1370" s="22"/>
      <c r="C1370" s="22"/>
      <c r="D1370" s="22"/>
      <c r="E1370" s="22"/>
      <c r="F1370" s="28"/>
      <c r="G1370" s="28"/>
      <c r="H1370" s="28"/>
      <c r="I1370" s="28"/>
      <c r="J1370" s="28"/>
      <c r="K1370" s="28"/>
      <c r="L1370" s="28"/>
      <c r="M1370" s="22"/>
      <c r="N1370" s="22"/>
      <c r="O1370" s="22"/>
      <c r="P1370" s="22"/>
      <c r="Q1370" s="22"/>
      <c r="R1370" s="28"/>
      <c r="S1370" s="28"/>
      <c r="T1370" s="28"/>
      <c r="U1370" s="28"/>
      <c r="V1370" s="22"/>
      <c r="W1370" s="22"/>
      <c r="X1370" s="22"/>
      <c r="Y1370" s="22"/>
      <c r="Z1370" s="22"/>
      <c r="AA1370" s="22"/>
      <c r="AB1370" s="22"/>
      <c r="AC1370" s="22"/>
      <c r="AD1370" s="22"/>
    </row>
    <row r="1371" spans="1:30" ht="15.75" customHeight="1" x14ac:dyDescent="0.15">
      <c r="A1371" s="22"/>
      <c r="B1371" s="22"/>
      <c r="C1371" s="22"/>
      <c r="D1371" s="22"/>
      <c r="E1371" s="22"/>
      <c r="F1371" s="28"/>
      <c r="G1371" s="28"/>
      <c r="H1371" s="28"/>
      <c r="I1371" s="28"/>
      <c r="J1371" s="28"/>
      <c r="K1371" s="28"/>
      <c r="L1371" s="28"/>
      <c r="M1371" s="22"/>
      <c r="N1371" s="22"/>
      <c r="O1371" s="22"/>
      <c r="P1371" s="22"/>
      <c r="Q1371" s="22"/>
      <c r="R1371" s="28"/>
      <c r="S1371" s="28"/>
      <c r="T1371" s="28"/>
      <c r="U1371" s="28"/>
      <c r="V1371" s="22"/>
      <c r="W1371" s="22"/>
      <c r="X1371" s="22"/>
      <c r="Y1371" s="22"/>
      <c r="Z1371" s="22"/>
      <c r="AA1371" s="22"/>
      <c r="AB1371" s="22"/>
      <c r="AC1371" s="22"/>
      <c r="AD1371" s="22"/>
    </row>
    <row r="1372" spans="1:30" ht="15.75" customHeight="1" x14ac:dyDescent="0.15">
      <c r="A1372" s="22"/>
      <c r="B1372" s="22"/>
      <c r="C1372" s="22"/>
      <c r="D1372" s="22"/>
      <c r="E1372" s="22"/>
      <c r="F1372" s="28"/>
      <c r="G1372" s="28"/>
      <c r="H1372" s="28"/>
      <c r="I1372" s="28"/>
      <c r="J1372" s="28"/>
      <c r="K1372" s="28"/>
      <c r="L1372" s="28"/>
      <c r="M1372" s="22"/>
      <c r="N1372" s="22"/>
      <c r="O1372" s="22"/>
      <c r="P1372" s="22"/>
      <c r="Q1372" s="22"/>
      <c r="R1372" s="28"/>
      <c r="S1372" s="28"/>
      <c r="T1372" s="28"/>
      <c r="U1372" s="28"/>
      <c r="V1372" s="22"/>
      <c r="W1372" s="22"/>
      <c r="X1372" s="22"/>
      <c r="Y1372" s="22"/>
      <c r="Z1372" s="22"/>
      <c r="AA1372" s="22"/>
      <c r="AB1372" s="22"/>
      <c r="AC1372" s="22"/>
      <c r="AD1372" s="22"/>
    </row>
    <row r="1373" spans="1:30" ht="15.75" customHeight="1" x14ac:dyDescent="0.15">
      <c r="A1373" s="22"/>
      <c r="B1373" s="22"/>
      <c r="C1373" s="22"/>
      <c r="D1373" s="22"/>
      <c r="E1373" s="22"/>
      <c r="F1373" s="28"/>
      <c r="G1373" s="28"/>
      <c r="H1373" s="28"/>
      <c r="I1373" s="28"/>
      <c r="J1373" s="28"/>
      <c r="K1373" s="28"/>
      <c r="L1373" s="28"/>
      <c r="M1373" s="22"/>
      <c r="N1373" s="22"/>
      <c r="O1373" s="22"/>
      <c r="P1373" s="22"/>
      <c r="Q1373" s="22"/>
      <c r="R1373" s="28"/>
      <c r="S1373" s="28"/>
      <c r="T1373" s="28"/>
      <c r="U1373" s="28"/>
      <c r="V1373" s="22"/>
      <c r="W1373" s="22"/>
      <c r="X1373" s="22"/>
      <c r="Y1373" s="22"/>
      <c r="Z1373" s="22"/>
      <c r="AA1373" s="22"/>
      <c r="AB1373" s="22"/>
      <c r="AC1373" s="22"/>
      <c r="AD1373" s="22"/>
    </row>
    <row r="1374" spans="1:30" ht="15.75" customHeight="1" x14ac:dyDescent="0.15">
      <c r="A1374" s="22"/>
      <c r="B1374" s="22"/>
      <c r="C1374" s="22"/>
      <c r="D1374" s="22"/>
      <c r="E1374" s="22"/>
      <c r="F1374" s="28"/>
      <c r="G1374" s="28"/>
      <c r="H1374" s="28"/>
      <c r="I1374" s="28"/>
      <c r="J1374" s="28"/>
      <c r="K1374" s="28"/>
      <c r="L1374" s="28"/>
      <c r="M1374" s="22"/>
      <c r="N1374" s="22"/>
      <c r="O1374" s="22"/>
      <c r="P1374" s="22"/>
      <c r="Q1374" s="22"/>
      <c r="R1374" s="28"/>
      <c r="S1374" s="28"/>
      <c r="T1374" s="28"/>
      <c r="U1374" s="28"/>
      <c r="V1374" s="22"/>
      <c r="W1374" s="22"/>
      <c r="X1374" s="22"/>
      <c r="Y1374" s="22"/>
      <c r="Z1374" s="22"/>
      <c r="AA1374" s="22"/>
      <c r="AB1374" s="22"/>
      <c r="AC1374" s="22"/>
      <c r="AD1374" s="22"/>
    </row>
    <row r="1375" spans="1:30" ht="15.75" customHeight="1" x14ac:dyDescent="0.15">
      <c r="A1375" s="22"/>
      <c r="B1375" s="22"/>
      <c r="C1375" s="22"/>
      <c r="D1375" s="22"/>
      <c r="E1375" s="22"/>
      <c r="F1375" s="28"/>
      <c r="G1375" s="28"/>
      <c r="H1375" s="28"/>
      <c r="I1375" s="28"/>
      <c r="J1375" s="28"/>
      <c r="K1375" s="28"/>
      <c r="L1375" s="28"/>
      <c r="M1375" s="22"/>
      <c r="N1375" s="22"/>
      <c r="O1375" s="22"/>
      <c r="P1375" s="22"/>
      <c r="Q1375" s="22"/>
      <c r="R1375" s="28"/>
      <c r="S1375" s="28"/>
      <c r="T1375" s="28"/>
      <c r="U1375" s="28"/>
      <c r="V1375" s="22"/>
      <c r="W1375" s="22"/>
      <c r="X1375" s="22"/>
      <c r="Y1375" s="22"/>
      <c r="Z1375" s="22"/>
      <c r="AA1375" s="22"/>
      <c r="AB1375" s="22"/>
      <c r="AC1375" s="22"/>
      <c r="AD1375" s="22"/>
    </row>
    <row r="1376" spans="1:30" ht="15.75" customHeight="1" x14ac:dyDescent="0.15">
      <c r="A1376" s="22"/>
      <c r="B1376" s="22"/>
      <c r="C1376" s="22"/>
      <c r="D1376" s="22"/>
      <c r="E1376" s="22"/>
      <c r="F1376" s="28"/>
      <c r="G1376" s="28"/>
      <c r="H1376" s="28"/>
      <c r="I1376" s="28"/>
      <c r="J1376" s="28"/>
      <c r="K1376" s="28"/>
      <c r="L1376" s="28"/>
      <c r="M1376" s="22"/>
      <c r="N1376" s="22"/>
      <c r="O1376" s="22"/>
      <c r="P1376" s="22"/>
      <c r="Q1376" s="22"/>
      <c r="R1376" s="28"/>
      <c r="S1376" s="28"/>
      <c r="T1376" s="28"/>
      <c r="U1376" s="28"/>
      <c r="V1376" s="22"/>
      <c r="W1376" s="22"/>
      <c r="X1376" s="22"/>
      <c r="Y1376" s="22"/>
      <c r="Z1376" s="22"/>
      <c r="AA1376" s="22"/>
      <c r="AB1376" s="22"/>
      <c r="AC1376" s="22"/>
      <c r="AD1376" s="22"/>
    </row>
    <row r="1377" spans="1:30" ht="15.75" customHeight="1" x14ac:dyDescent="0.15">
      <c r="A1377" s="22"/>
      <c r="B1377" s="22"/>
      <c r="C1377" s="22"/>
      <c r="D1377" s="22"/>
      <c r="E1377" s="22"/>
      <c r="F1377" s="28"/>
      <c r="G1377" s="28"/>
      <c r="H1377" s="28"/>
      <c r="I1377" s="28"/>
      <c r="J1377" s="28"/>
      <c r="K1377" s="28"/>
      <c r="L1377" s="28"/>
      <c r="M1377" s="22"/>
      <c r="N1377" s="22"/>
      <c r="O1377" s="22"/>
      <c r="P1377" s="22"/>
      <c r="Q1377" s="22"/>
      <c r="R1377" s="28"/>
      <c r="S1377" s="28"/>
      <c r="T1377" s="28"/>
      <c r="U1377" s="28"/>
      <c r="V1377" s="22"/>
      <c r="W1377" s="22"/>
      <c r="X1377" s="22"/>
      <c r="Y1377" s="22"/>
      <c r="Z1377" s="22"/>
      <c r="AA1377" s="22"/>
      <c r="AB1377" s="22"/>
      <c r="AC1377" s="22"/>
      <c r="AD1377" s="22"/>
    </row>
    <row r="1378" spans="1:30" ht="15.75" customHeight="1" x14ac:dyDescent="0.15">
      <c r="A1378" s="22"/>
      <c r="B1378" s="22"/>
      <c r="C1378" s="22"/>
      <c r="D1378" s="22"/>
      <c r="E1378" s="22"/>
      <c r="F1378" s="28"/>
      <c r="G1378" s="28"/>
      <c r="H1378" s="28"/>
      <c r="I1378" s="28"/>
      <c r="J1378" s="28"/>
      <c r="K1378" s="28"/>
      <c r="L1378" s="28"/>
      <c r="M1378" s="22"/>
      <c r="N1378" s="22"/>
      <c r="O1378" s="22"/>
      <c r="P1378" s="22"/>
      <c r="Q1378" s="22"/>
      <c r="R1378" s="28"/>
      <c r="S1378" s="28"/>
      <c r="T1378" s="28"/>
      <c r="U1378" s="28"/>
      <c r="V1378" s="22"/>
      <c r="W1378" s="22"/>
      <c r="X1378" s="22"/>
      <c r="Y1378" s="22"/>
      <c r="Z1378" s="22"/>
      <c r="AA1378" s="22"/>
      <c r="AB1378" s="22"/>
      <c r="AC1378" s="22"/>
      <c r="AD1378" s="22"/>
    </row>
    <row r="1379" spans="1:30" ht="15.75" customHeight="1" x14ac:dyDescent="0.15">
      <c r="A1379" s="22"/>
      <c r="B1379" s="22"/>
      <c r="C1379" s="22"/>
      <c r="D1379" s="22"/>
      <c r="E1379" s="22"/>
      <c r="F1379" s="28"/>
      <c r="G1379" s="28"/>
      <c r="H1379" s="28"/>
      <c r="I1379" s="28"/>
      <c r="J1379" s="28"/>
      <c r="K1379" s="28"/>
      <c r="L1379" s="28"/>
      <c r="M1379" s="22"/>
      <c r="N1379" s="22"/>
      <c r="O1379" s="22"/>
      <c r="P1379" s="22"/>
      <c r="Q1379" s="22"/>
      <c r="R1379" s="28"/>
      <c r="S1379" s="28"/>
      <c r="T1379" s="28"/>
      <c r="U1379" s="28"/>
      <c r="V1379" s="22"/>
      <c r="W1379" s="22"/>
      <c r="X1379" s="22"/>
      <c r="Y1379" s="22"/>
      <c r="Z1379" s="22"/>
      <c r="AA1379" s="22"/>
      <c r="AB1379" s="22"/>
      <c r="AC1379" s="22"/>
      <c r="AD1379" s="22"/>
    </row>
    <row r="1380" spans="1:30" ht="15.75" customHeight="1" x14ac:dyDescent="0.15">
      <c r="A1380" s="22"/>
      <c r="B1380" s="22"/>
      <c r="C1380" s="22"/>
      <c r="D1380" s="22"/>
      <c r="E1380" s="22"/>
      <c r="F1380" s="28"/>
      <c r="G1380" s="28"/>
      <c r="H1380" s="28"/>
      <c r="I1380" s="28"/>
      <c r="J1380" s="28"/>
      <c r="K1380" s="28"/>
      <c r="L1380" s="28"/>
      <c r="M1380" s="22"/>
      <c r="N1380" s="22"/>
      <c r="O1380" s="22"/>
      <c r="P1380" s="22"/>
      <c r="Q1380" s="22"/>
      <c r="R1380" s="28"/>
      <c r="S1380" s="28"/>
      <c r="T1380" s="28"/>
      <c r="U1380" s="28"/>
      <c r="V1380" s="22"/>
      <c r="W1380" s="22"/>
      <c r="X1380" s="22"/>
      <c r="Y1380" s="22"/>
      <c r="Z1380" s="22"/>
      <c r="AA1380" s="22"/>
      <c r="AB1380" s="22"/>
      <c r="AC1380" s="22"/>
      <c r="AD1380" s="22"/>
    </row>
    <row r="1381" spans="1:30" ht="15.75" customHeight="1" x14ac:dyDescent="0.15">
      <c r="A1381" s="22"/>
      <c r="B1381" s="22"/>
      <c r="C1381" s="22"/>
      <c r="D1381" s="22"/>
      <c r="E1381" s="22"/>
      <c r="F1381" s="28"/>
      <c r="G1381" s="28"/>
      <c r="H1381" s="28"/>
      <c r="I1381" s="28"/>
      <c r="J1381" s="28"/>
      <c r="K1381" s="28"/>
      <c r="L1381" s="28"/>
      <c r="M1381" s="22"/>
      <c r="N1381" s="22"/>
      <c r="O1381" s="22"/>
      <c r="P1381" s="22"/>
      <c r="Q1381" s="22"/>
      <c r="R1381" s="28"/>
      <c r="S1381" s="28"/>
      <c r="T1381" s="28"/>
      <c r="U1381" s="28"/>
      <c r="V1381" s="22"/>
      <c r="W1381" s="22"/>
      <c r="X1381" s="22"/>
      <c r="Y1381" s="22"/>
      <c r="Z1381" s="22"/>
      <c r="AA1381" s="22"/>
      <c r="AB1381" s="22"/>
      <c r="AC1381" s="22"/>
      <c r="AD1381" s="22"/>
    </row>
    <row r="1382" spans="1:30" ht="15.75" customHeight="1" x14ac:dyDescent="0.15">
      <c r="A1382" s="22"/>
      <c r="B1382" s="22"/>
      <c r="C1382" s="22"/>
      <c r="D1382" s="22"/>
      <c r="E1382" s="22"/>
      <c r="F1382" s="28"/>
      <c r="G1382" s="28"/>
      <c r="H1382" s="28"/>
      <c r="I1382" s="28"/>
      <c r="J1382" s="28"/>
      <c r="K1382" s="28"/>
      <c r="L1382" s="28"/>
      <c r="M1382" s="22"/>
      <c r="N1382" s="22"/>
      <c r="O1382" s="22"/>
      <c r="P1382" s="22"/>
      <c r="Q1382" s="22"/>
      <c r="R1382" s="28"/>
      <c r="S1382" s="28"/>
      <c r="T1382" s="28"/>
      <c r="U1382" s="28"/>
      <c r="V1382" s="22"/>
      <c r="W1382" s="22"/>
      <c r="X1382" s="22"/>
      <c r="Y1382" s="22"/>
      <c r="Z1382" s="22"/>
      <c r="AA1382" s="22"/>
      <c r="AB1382" s="22"/>
      <c r="AC1382" s="22"/>
      <c r="AD1382" s="22"/>
    </row>
    <row r="1383" spans="1:30" ht="15.75" customHeight="1" x14ac:dyDescent="0.15">
      <c r="A1383" s="22"/>
      <c r="B1383" s="22"/>
      <c r="C1383" s="22"/>
      <c r="D1383" s="22"/>
      <c r="E1383" s="22"/>
      <c r="F1383" s="28"/>
      <c r="G1383" s="28"/>
      <c r="H1383" s="28"/>
      <c r="I1383" s="28"/>
      <c r="J1383" s="28"/>
      <c r="K1383" s="28"/>
      <c r="L1383" s="28"/>
      <c r="M1383" s="22"/>
      <c r="N1383" s="22"/>
      <c r="O1383" s="22"/>
      <c r="P1383" s="22"/>
      <c r="Q1383" s="22"/>
      <c r="R1383" s="28"/>
      <c r="S1383" s="28"/>
      <c r="T1383" s="28"/>
      <c r="U1383" s="28"/>
      <c r="V1383" s="22"/>
      <c r="W1383" s="22"/>
      <c r="X1383" s="22"/>
      <c r="Y1383" s="22"/>
      <c r="Z1383" s="22"/>
      <c r="AA1383" s="22"/>
      <c r="AB1383" s="22"/>
      <c r="AC1383" s="22"/>
      <c r="AD1383" s="22"/>
    </row>
    <row r="1384" spans="1:30" ht="15.75" customHeight="1" x14ac:dyDescent="0.15">
      <c r="A1384" s="22"/>
      <c r="B1384" s="22"/>
      <c r="C1384" s="22"/>
      <c r="D1384" s="22"/>
      <c r="E1384" s="22"/>
      <c r="F1384" s="28"/>
      <c r="G1384" s="28"/>
      <c r="H1384" s="28"/>
      <c r="I1384" s="28"/>
      <c r="J1384" s="28"/>
      <c r="K1384" s="28"/>
      <c r="L1384" s="28"/>
      <c r="M1384" s="22"/>
      <c r="N1384" s="22"/>
      <c r="O1384" s="22"/>
      <c r="P1384" s="22"/>
      <c r="Q1384" s="22"/>
      <c r="R1384" s="28"/>
      <c r="S1384" s="28"/>
      <c r="T1384" s="28"/>
      <c r="U1384" s="28"/>
      <c r="V1384" s="22"/>
      <c r="W1384" s="22"/>
      <c r="X1384" s="22"/>
      <c r="Y1384" s="22"/>
      <c r="Z1384" s="22"/>
      <c r="AA1384" s="22"/>
      <c r="AB1384" s="22"/>
      <c r="AC1384" s="22"/>
      <c r="AD1384" s="22"/>
    </row>
    <row r="1385" spans="1:30" ht="15.75" customHeight="1" x14ac:dyDescent="0.15">
      <c r="A1385" s="22"/>
      <c r="B1385" s="22"/>
      <c r="C1385" s="22"/>
      <c r="D1385" s="22"/>
      <c r="E1385" s="22"/>
      <c r="F1385" s="28"/>
      <c r="G1385" s="28"/>
      <c r="H1385" s="28"/>
      <c r="I1385" s="28"/>
      <c r="J1385" s="28"/>
      <c r="K1385" s="28"/>
      <c r="L1385" s="28"/>
      <c r="M1385" s="22"/>
      <c r="N1385" s="22"/>
      <c r="O1385" s="22"/>
      <c r="P1385" s="22"/>
      <c r="Q1385" s="22"/>
      <c r="R1385" s="28"/>
      <c r="S1385" s="28"/>
      <c r="T1385" s="28"/>
      <c r="U1385" s="28"/>
      <c r="V1385" s="22"/>
      <c r="W1385" s="22"/>
      <c r="X1385" s="22"/>
      <c r="Y1385" s="22"/>
      <c r="Z1385" s="22"/>
      <c r="AA1385" s="22"/>
      <c r="AB1385" s="22"/>
      <c r="AC1385" s="22"/>
      <c r="AD1385" s="22"/>
    </row>
    <row r="1386" spans="1:30" ht="15.75" customHeight="1" x14ac:dyDescent="0.15">
      <c r="A1386" s="22"/>
      <c r="B1386" s="22"/>
      <c r="C1386" s="22"/>
      <c r="D1386" s="22"/>
      <c r="E1386" s="22"/>
      <c r="F1386" s="28"/>
      <c r="G1386" s="28"/>
      <c r="H1386" s="28"/>
      <c r="I1386" s="28"/>
      <c r="J1386" s="28"/>
      <c r="K1386" s="28"/>
      <c r="L1386" s="28"/>
      <c r="M1386" s="22"/>
      <c r="N1386" s="22"/>
      <c r="O1386" s="22"/>
      <c r="P1386" s="22"/>
      <c r="Q1386" s="22"/>
      <c r="R1386" s="28"/>
      <c r="S1386" s="28"/>
      <c r="T1386" s="28"/>
      <c r="U1386" s="28"/>
      <c r="V1386" s="22"/>
      <c r="W1386" s="22"/>
      <c r="X1386" s="22"/>
      <c r="Y1386" s="22"/>
      <c r="Z1386" s="22"/>
      <c r="AA1386" s="22"/>
      <c r="AB1386" s="22"/>
      <c r="AC1386" s="22"/>
      <c r="AD1386" s="22"/>
    </row>
    <row r="1387" spans="1:30" ht="15.75" customHeight="1" x14ac:dyDescent="0.15">
      <c r="A1387" s="22"/>
      <c r="B1387" s="22"/>
      <c r="C1387" s="22"/>
      <c r="D1387" s="22"/>
      <c r="E1387" s="22"/>
      <c r="F1387" s="28"/>
      <c r="G1387" s="28"/>
      <c r="H1387" s="28"/>
      <c r="I1387" s="28"/>
      <c r="J1387" s="28"/>
      <c r="K1387" s="28"/>
      <c r="L1387" s="28"/>
      <c r="M1387" s="22"/>
      <c r="N1387" s="22"/>
      <c r="O1387" s="22"/>
      <c r="P1387" s="22"/>
      <c r="Q1387" s="22"/>
      <c r="R1387" s="28"/>
      <c r="S1387" s="28"/>
      <c r="T1387" s="28"/>
      <c r="U1387" s="28"/>
      <c r="V1387" s="22"/>
      <c r="W1387" s="22"/>
      <c r="X1387" s="22"/>
      <c r="Y1387" s="22"/>
      <c r="Z1387" s="22"/>
      <c r="AA1387" s="22"/>
      <c r="AB1387" s="22"/>
      <c r="AC1387" s="22"/>
      <c r="AD1387" s="22"/>
    </row>
    <row r="1388" spans="1:30" ht="15.75" customHeight="1" x14ac:dyDescent="0.15">
      <c r="A1388" s="22"/>
      <c r="B1388" s="22"/>
      <c r="C1388" s="22"/>
      <c r="D1388" s="22"/>
      <c r="E1388" s="22"/>
      <c r="F1388" s="28"/>
      <c r="G1388" s="28"/>
      <c r="H1388" s="28"/>
      <c r="I1388" s="28"/>
      <c r="J1388" s="28"/>
      <c r="K1388" s="28"/>
      <c r="L1388" s="28"/>
      <c r="M1388" s="22"/>
      <c r="N1388" s="22"/>
      <c r="O1388" s="22"/>
      <c r="P1388" s="22"/>
      <c r="Q1388" s="22"/>
      <c r="R1388" s="28"/>
      <c r="S1388" s="28"/>
      <c r="T1388" s="28"/>
      <c r="U1388" s="28"/>
      <c r="V1388" s="22"/>
      <c r="W1388" s="22"/>
      <c r="X1388" s="22"/>
      <c r="Y1388" s="22"/>
      <c r="Z1388" s="22"/>
      <c r="AA1388" s="22"/>
      <c r="AB1388" s="22"/>
      <c r="AC1388" s="22"/>
      <c r="AD1388" s="22"/>
    </row>
    <row r="1389" spans="1:30" ht="15.75" customHeight="1" x14ac:dyDescent="0.15">
      <c r="A1389" s="22"/>
      <c r="B1389" s="22"/>
      <c r="C1389" s="22"/>
      <c r="D1389" s="22"/>
      <c r="E1389" s="22"/>
      <c r="F1389" s="28"/>
      <c r="G1389" s="28"/>
      <c r="H1389" s="28"/>
      <c r="I1389" s="28"/>
      <c r="J1389" s="28"/>
      <c r="K1389" s="28"/>
      <c r="L1389" s="28"/>
      <c r="M1389" s="22"/>
      <c r="N1389" s="22"/>
      <c r="O1389" s="22"/>
      <c r="P1389" s="22"/>
      <c r="Q1389" s="22"/>
      <c r="R1389" s="28"/>
      <c r="S1389" s="28"/>
      <c r="T1389" s="28"/>
      <c r="U1389" s="28"/>
      <c r="V1389" s="22"/>
      <c r="W1389" s="22"/>
      <c r="X1389" s="22"/>
      <c r="Y1389" s="22"/>
      <c r="Z1389" s="22"/>
      <c r="AA1389" s="22"/>
      <c r="AB1389" s="22"/>
      <c r="AC1389" s="22"/>
      <c r="AD1389" s="22"/>
    </row>
    <row r="1390" spans="1:30" ht="15.75" customHeight="1" x14ac:dyDescent="0.15">
      <c r="A1390" s="22"/>
      <c r="B1390" s="22"/>
      <c r="C1390" s="22"/>
      <c r="D1390" s="22"/>
      <c r="E1390" s="22"/>
      <c r="F1390" s="28"/>
      <c r="G1390" s="28"/>
      <c r="H1390" s="28"/>
      <c r="I1390" s="28"/>
      <c r="J1390" s="28"/>
      <c r="K1390" s="28"/>
      <c r="L1390" s="28"/>
      <c r="M1390" s="22"/>
      <c r="N1390" s="22"/>
      <c r="O1390" s="22"/>
      <c r="P1390" s="22"/>
      <c r="Q1390" s="22"/>
      <c r="R1390" s="28"/>
      <c r="S1390" s="28"/>
      <c r="T1390" s="28"/>
      <c r="U1390" s="28"/>
      <c r="V1390" s="22"/>
      <c r="W1390" s="22"/>
      <c r="X1390" s="22"/>
      <c r="Y1390" s="22"/>
      <c r="Z1390" s="22"/>
      <c r="AA1390" s="22"/>
      <c r="AB1390" s="22"/>
      <c r="AC1390" s="22"/>
      <c r="AD1390" s="22"/>
    </row>
    <row r="1391" spans="1:30" ht="15.75" customHeight="1" x14ac:dyDescent="0.15">
      <c r="A1391" s="22"/>
      <c r="B1391" s="22"/>
      <c r="C1391" s="22"/>
      <c r="D1391" s="22"/>
      <c r="E1391" s="22"/>
      <c r="F1391" s="28"/>
      <c r="G1391" s="28"/>
      <c r="H1391" s="28"/>
      <c r="I1391" s="28"/>
      <c r="J1391" s="28"/>
      <c r="K1391" s="28"/>
      <c r="L1391" s="28"/>
      <c r="M1391" s="22"/>
      <c r="N1391" s="22"/>
      <c r="O1391" s="22"/>
      <c r="P1391" s="22"/>
      <c r="Q1391" s="22"/>
      <c r="R1391" s="28"/>
      <c r="S1391" s="28"/>
      <c r="T1391" s="28"/>
      <c r="U1391" s="28"/>
      <c r="V1391" s="22"/>
      <c r="W1391" s="22"/>
      <c r="X1391" s="22"/>
      <c r="Y1391" s="22"/>
      <c r="Z1391" s="22"/>
      <c r="AA1391" s="22"/>
      <c r="AB1391" s="22"/>
      <c r="AC1391" s="22"/>
      <c r="AD1391" s="22"/>
    </row>
    <row r="1392" spans="1:30" ht="15.75" customHeight="1" x14ac:dyDescent="0.15">
      <c r="A1392" s="22"/>
      <c r="B1392" s="22"/>
      <c r="C1392" s="22"/>
      <c r="D1392" s="22"/>
      <c r="E1392" s="22"/>
      <c r="F1392" s="28"/>
      <c r="G1392" s="28"/>
      <c r="H1392" s="28"/>
      <c r="I1392" s="28"/>
      <c r="J1392" s="28"/>
      <c r="K1392" s="28"/>
      <c r="L1392" s="28"/>
      <c r="M1392" s="22"/>
      <c r="N1392" s="22"/>
      <c r="O1392" s="22"/>
      <c r="P1392" s="22"/>
      <c r="Q1392" s="22"/>
      <c r="R1392" s="28"/>
      <c r="S1392" s="28"/>
      <c r="T1392" s="28"/>
      <c r="U1392" s="28"/>
      <c r="V1392" s="22"/>
      <c r="W1392" s="22"/>
      <c r="X1392" s="22"/>
      <c r="Y1392" s="22"/>
      <c r="Z1392" s="22"/>
      <c r="AA1392" s="22"/>
      <c r="AB1392" s="22"/>
      <c r="AC1392" s="22"/>
      <c r="AD1392" s="22"/>
    </row>
    <row r="1393" spans="1:30" ht="15.75" customHeight="1" x14ac:dyDescent="0.15">
      <c r="A1393" s="22"/>
      <c r="B1393" s="22"/>
      <c r="C1393" s="22"/>
      <c r="D1393" s="22"/>
      <c r="E1393" s="22"/>
      <c r="F1393" s="28"/>
      <c r="G1393" s="28"/>
      <c r="H1393" s="28"/>
      <c r="I1393" s="28"/>
      <c r="J1393" s="28"/>
      <c r="K1393" s="28"/>
      <c r="L1393" s="28"/>
      <c r="M1393" s="22"/>
      <c r="N1393" s="22"/>
      <c r="O1393" s="22"/>
      <c r="P1393" s="22"/>
      <c r="Q1393" s="22"/>
      <c r="R1393" s="28"/>
      <c r="S1393" s="28"/>
      <c r="T1393" s="28"/>
      <c r="U1393" s="28"/>
      <c r="V1393" s="22"/>
      <c r="W1393" s="22"/>
      <c r="X1393" s="22"/>
      <c r="Y1393" s="22"/>
      <c r="Z1393" s="22"/>
      <c r="AA1393" s="22"/>
      <c r="AB1393" s="22"/>
      <c r="AC1393" s="22"/>
      <c r="AD1393" s="22"/>
    </row>
    <row r="1394" spans="1:30" ht="15.75" customHeight="1" x14ac:dyDescent="0.15">
      <c r="A1394" s="22"/>
      <c r="B1394" s="22"/>
      <c r="C1394" s="22"/>
      <c r="D1394" s="22"/>
      <c r="E1394" s="22"/>
      <c r="F1394" s="28"/>
      <c r="G1394" s="28"/>
      <c r="H1394" s="28"/>
      <c r="I1394" s="28"/>
      <c r="J1394" s="28"/>
      <c r="K1394" s="28"/>
      <c r="L1394" s="28"/>
      <c r="M1394" s="22"/>
      <c r="N1394" s="22"/>
      <c r="O1394" s="22"/>
      <c r="P1394" s="22"/>
      <c r="Q1394" s="22"/>
      <c r="R1394" s="28"/>
      <c r="S1394" s="28"/>
      <c r="T1394" s="28"/>
      <c r="U1394" s="28"/>
      <c r="V1394" s="22"/>
      <c r="W1394" s="22"/>
      <c r="X1394" s="22"/>
      <c r="Y1394" s="22"/>
      <c r="Z1394" s="22"/>
      <c r="AA1394" s="22"/>
      <c r="AB1394" s="22"/>
      <c r="AC1394" s="22"/>
      <c r="AD1394" s="22"/>
    </row>
    <row r="1395" spans="1:30" ht="15.75" customHeight="1" x14ac:dyDescent="0.15">
      <c r="A1395" s="22"/>
      <c r="B1395" s="22"/>
      <c r="C1395" s="22"/>
      <c r="D1395" s="22"/>
      <c r="E1395" s="22"/>
      <c r="F1395" s="28"/>
      <c r="G1395" s="28"/>
      <c r="H1395" s="28"/>
      <c r="I1395" s="28"/>
      <c r="J1395" s="28"/>
      <c r="K1395" s="28"/>
      <c r="L1395" s="28"/>
      <c r="M1395" s="22"/>
      <c r="N1395" s="22"/>
      <c r="O1395" s="22"/>
      <c r="P1395" s="22"/>
      <c r="Q1395" s="22"/>
      <c r="R1395" s="28"/>
      <c r="S1395" s="28"/>
      <c r="T1395" s="28"/>
      <c r="U1395" s="28"/>
      <c r="V1395" s="22"/>
      <c r="W1395" s="22"/>
      <c r="X1395" s="22"/>
      <c r="Y1395" s="22"/>
      <c r="Z1395" s="22"/>
      <c r="AA1395" s="22"/>
      <c r="AB1395" s="22"/>
      <c r="AC1395" s="22"/>
      <c r="AD1395" s="22"/>
    </row>
    <row r="1396" spans="1:30" ht="15.75" customHeight="1" x14ac:dyDescent="0.15">
      <c r="A1396" s="22"/>
      <c r="B1396" s="22"/>
      <c r="C1396" s="22"/>
      <c r="D1396" s="22"/>
      <c r="E1396" s="22"/>
      <c r="F1396" s="28"/>
      <c r="G1396" s="28"/>
      <c r="H1396" s="28"/>
      <c r="I1396" s="28"/>
      <c r="J1396" s="28"/>
      <c r="K1396" s="28"/>
      <c r="L1396" s="28"/>
      <c r="M1396" s="22"/>
      <c r="N1396" s="22"/>
      <c r="O1396" s="22"/>
      <c r="P1396" s="22"/>
      <c r="Q1396" s="22"/>
      <c r="R1396" s="28"/>
      <c r="S1396" s="28"/>
      <c r="T1396" s="28"/>
      <c r="U1396" s="28"/>
      <c r="V1396" s="22"/>
      <c r="W1396" s="22"/>
      <c r="X1396" s="22"/>
      <c r="Y1396" s="22"/>
      <c r="Z1396" s="22"/>
      <c r="AA1396" s="22"/>
      <c r="AB1396" s="22"/>
      <c r="AC1396" s="22"/>
      <c r="AD1396" s="22"/>
    </row>
    <row r="1397" spans="1:30" ht="15.75" customHeight="1" x14ac:dyDescent="0.15">
      <c r="A1397" s="22"/>
      <c r="B1397" s="22"/>
      <c r="C1397" s="22"/>
      <c r="D1397" s="22"/>
      <c r="E1397" s="22"/>
      <c r="F1397" s="28"/>
      <c r="G1397" s="28"/>
      <c r="H1397" s="28"/>
      <c r="I1397" s="28"/>
      <c r="J1397" s="28"/>
      <c r="K1397" s="28"/>
      <c r="L1397" s="28"/>
      <c r="M1397" s="22"/>
      <c r="N1397" s="22"/>
      <c r="O1397" s="22"/>
      <c r="P1397" s="22"/>
      <c r="Q1397" s="22"/>
      <c r="R1397" s="28"/>
      <c r="S1397" s="28"/>
      <c r="T1397" s="28"/>
      <c r="U1397" s="28"/>
      <c r="V1397" s="22"/>
      <c r="W1397" s="22"/>
      <c r="X1397" s="22"/>
      <c r="Y1397" s="22"/>
      <c r="Z1397" s="22"/>
      <c r="AA1397" s="22"/>
      <c r="AB1397" s="22"/>
      <c r="AC1397" s="22"/>
      <c r="AD1397" s="22"/>
    </row>
    <row r="1398" spans="1:30" ht="15.75" customHeight="1" x14ac:dyDescent="0.15">
      <c r="A1398" s="22"/>
      <c r="B1398" s="22"/>
      <c r="C1398" s="22"/>
      <c r="D1398" s="22"/>
      <c r="E1398" s="22"/>
      <c r="F1398" s="28"/>
      <c r="G1398" s="28"/>
      <c r="H1398" s="28"/>
      <c r="I1398" s="28"/>
      <c r="J1398" s="28"/>
      <c r="K1398" s="28"/>
      <c r="L1398" s="28"/>
      <c r="M1398" s="22"/>
      <c r="N1398" s="22"/>
      <c r="O1398" s="22"/>
      <c r="P1398" s="22"/>
      <c r="Q1398" s="22"/>
      <c r="R1398" s="28"/>
      <c r="S1398" s="28"/>
      <c r="T1398" s="28"/>
      <c r="U1398" s="28"/>
      <c r="V1398" s="22"/>
      <c r="W1398" s="22"/>
      <c r="X1398" s="22"/>
      <c r="Y1398" s="22"/>
      <c r="Z1398" s="22"/>
      <c r="AA1398" s="22"/>
      <c r="AB1398" s="22"/>
      <c r="AC1398" s="22"/>
      <c r="AD1398" s="22"/>
    </row>
    <row r="1399" spans="1:30" ht="15.75" customHeight="1" x14ac:dyDescent="0.15">
      <c r="A1399" s="22"/>
      <c r="B1399" s="22"/>
      <c r="C1399" s="22"/>
      <c r="D1399" s="22"/>
      <c r="E1399" s="22"/>
      <c r="F1399" s="28"/>
      <c r="G1399" s="28"/>
      <c r="H1399" s="28"/>
      <c r="I1399" s="28"/>
      <c r="J1399" s="28"/>
      <c r="K1399" s="28"/>
      <c r="L1399" s="28"/>
      <c r="M1399" s="22"/>
      <c r="N1399" s="22"/>
      <c r="O1399" s="22"/>
      <c r="P1399" s="22"/>
      <c r="Q1399" s="22"/>
      <c r="R1399" s="28"/>
      <c r="S1399" s="28"/>
      <c r="T1399" s="28"/>
      <c r="U1399" s="28"/>
      <c r="V1399" s="22"/>
      <c r="W1399" s="22"/>
      <c r="X1399" s="22"/>
      <c r="Y1399" s="22"/>
      <c r="Z1399" s="22"/>
      <c r="AA1399" s="22"/>
      <c r="AB1399" s="22"/>
      <c r="AC1399" s="22"/>
      <c r="AD1399" s="22"/>
    </row>
    <row r="1400" spans="1:30" ht="15.75" customHeight="1" x14ac:dyDescent="0.15">
      <c r="A1400" s="22"/>
      <c r="B1400" s="22"/>
      <c r="C1400" s="22"/>
      <c r="D1400" s="22"/>
      <c r="E1400" s="22"/>
      <c r="F1400" s="28"/>
      <c r="G1400" s="28"/>
      <c r="H1400" s="28"/>
      <c r="I1400" s="28"/>
      <c r="J1400" s="28"/>
      <c r="K1400" s="28"/>
      <c r="L1400" s="28"/>
      <c r="M1400" s="22"/>
      <c r="N1400" s="22"/>
      <c r="O1400" s="22"/>
      <c r="P1400" s="22"/>
      <c r="Q1400" s="22"/>
      <c r="R1400" s="28"/>
      <c r="S1400" s="28"/>
      <c r="T1400" s="28"/>
      <c r="U1400" s="28"/>
      <c r="V1400" s="22"/>
      <c r="W1400" s="22"/>
      <c r="X1400" s="22"/>
      <c r="Y1400" s="22"/>
      <c r="Z1400" s="22"/>
      <c r="AA1400" s="22"/>
      <c r="AB1400" s="22"/>
      <c r="AC1400" s="22"/>
      <c r="AD1400" s="22"/>
    </row>
    <row r="1401" spans="1:30" ht="15.75" customHeight="1" x14ac:dyDescent="0.15">
      <c r="A1401" s="22"/>
      <c r="B1401" s="22"/>
      <c r="C1401" s="22"/>
      <c r="D1401" s="22"/>
      <c r="E1401" s="22"/>
      <c r="F1401" s="28"/>
      <c r="G1401" s="28"/>
      <c r="H1401" s="28"/>
      <c r="I1401" s="28"/>
      <c r="J1401" s="28"/>
      <c r="K1401" s="28"/>
      <c r="L1401" s="28"/>
      <c r="M1401" s="22"/>
      <c r="N1401" s="22"/>
      <c r="O1401" s="22"/>
      <c r="P1401" s="22"/>
      <c r="Q1401" s="22"/>
      <c r="R1401" s="28"/>
      <c r="S1401" s="28"/>
      <c r="T1401" s="28"/>
      <c r="U1401" s="28"/>
      <c r="V1401" s="22"/>
      <c r="W1401" s="22"/>
      <c r="X1401" s="22"/>
      <c r="Y1401" s="22"/>
      <c r="Z1401" s="22"/>
      <c r="AA1401" s="22"/>
      <c r="AB1401" s="22"/>
      <c r="AC1401" s="22"/>
      <c r="AD1401" s="22"/>
    </row>
    <row r="1402" spans="1:30" ht="15.75" customHeight="1" x14ac:dyDescent="0.15">
      <c r="A1402" s="22"/>
      <c r="B1402" s="22"/>
      <c r="C1402" s="22"/>
      <c r="D1402" s="22"/>
      <c r="E1402" s="22"/>
      <c r="F1402" s="28"/>
      <c r="G1402" s="28"/>
      <c r="H1402" s="28"/>
      <c r="I1402" s="28"/>
      <c r="J1402" s="28"/>
      <c r="K1402" s="28"/>
      <c r="L1402" s="28"/>
      <c r="M1402" s="22"/>
      <c r="N1402" s="22"/>
      <c r="O1402" s="22"/>
      <c r="P1402" s="22"/>
      <c r="Q1402" s="22"/>
      <c r="R1402" s="28"/>
      <c r="S1402" s="28"/>
      <c r="T1402" s="28"/>
      <c r="U1402" s="28"/>
      <c r="V1402" s="22"/>
      <c r="W1402" s="22"/>
      <c r="X1402" s="22"/>
      <c r="Y1402" s="22"/>
      <c r="Z1402" s="22"/>
      <c r="AA1402" s="22"/>
      <c r="AB1402" s="22"/>
      <c r="AC1402" s="22"/>
      <c r="AD1402" s="22"/>
    </row>
    <row r="1403" spans="1:30" ht="15.75" customHeight="1" x14ac:dyDescent="0.15">
      <c r="A1403" s="22"/>
      <c r="B1403" s="22"/>
      <c r="C1403" s="22"/>
      <c r="D1403" s="22"/>
      <c r="E1403" s="22"/>
      <c r="F1403" s="28"/>
      <c r="G1403" s="28"/>
      <c r="H1403" s="28"/>
      <c r="I1403" s="28"/>
      <c r="J1403" s="28"/>
      <c r="K1403" s="28"/>
      <c r="L1403" s="28"/>
      <c r="M1403" s="22"/>
      <c r="N1403" s="22"/>
      <c r="O1403" s="22"/>
      <c r="P1403" s="22"/>
      <c r="Q1403" s="22"/>
      <c r="R1403" s="28"/>
      <c r="S1403" s="28"/>
      <c r="T1403" s="28"/>
      <c r="U1403" s="28"/>
      <c r="V1403" s="22"/>
      <c r="W1403" s="22"/>
      <c r="X1403" s="22"/>
      <c r="Y1403" s="22"/>
      <c r="Z1403" s="22"/>
      <c r="AA1403" s="22"/>
      <c r="AB1403" s="22"/>
      <c r="AC1403" s="22"/>
      <c r="AD1403" s="22"/>
    </row>
    <row r="1404" spans="1:30" ht="15.75" customHeight="1" x14ac:dyDescent="0.15">
      <c r="A1404" s="22"/>
      <c r="B1404" s="22"/>
      <c r="C1404" s="22"/>
      <c r="D1404" s="22"/>
      <c r="E1404" s="22"/>
      <c r="F1404" s="28"/>
      <c r="G1404" s="28"/>
      <c r="H1404" s="28"/>
      <c r="I1404" s="28"/>
      <c r="J1404" s="28"/>
      <c r="K1404" s="28"/>
      <c r="L1404" s="28"/>
      <c r="M1404" s="22"/>
      <c r="N1404" s="22"/>
      <c r="O1404" s="22"/>
      <c r="P1404" s="22"/>
      <c r="Q1404" s="22"/>
      <c r="R1404" s="28"/>
      <c r="S1404" s="28"/>
      <c r="T1404" s="28"/>
      <c r="U1404" s="28"/>
      <c r="V1404" s="22"/>
      <c r="W1404" s="22"/>
      <c r="X1404" s="22"/>
      <c r="Y1404" s="22"/>
      <c r="Z1404" s="22"/>
      <c r="AA1404" s="22"/>
      <c r="AB1404" s="22"/>
      <c r="AC1404" s="22"/>
      <c r="AD1404" s="22"/>
    </row>
    <row r="1405" spans="1:30" ht="15.75" customHeight="1" x14ac:dyDescent="0.15">
      <c r="A1405" s="22"/>
      <c r="B1405" s="22"/>
      <c r="C1405" s="22"/>
      <c r="D1405" s="22"/>
      <c r="E1405" s="22"/>
      <c r="F1405" s="28"/>
      <c r="G1405" s="28"/>
      <c r="H1405" s="28"/>
      <c r="I1405" s="28"/>
      <c r="J1405" s="28"/>
      <c r="K1405" s="28"/>
      <c r="L1405" s="28"/>
      <c r="M1405" s="22"/>
      <c r="N1405" s="22"/>
      <c r="O1405" s="22"/>
      <c r="P1405" s="22"/>
      <c r="Q1405" s="22"/>
      <c r="R1405" s="28"/>
      <c r="S1405" s="28"/>
      <c r="T1405" s="28"/>
      <c r="U1405" s="28"/>
      <c r="V1405" s="22"/>
      <c r="W1405" s="22"/>
      <c r="X1405" s="22"/>
      <c r="Y1405" s="22"/>
      <c r="Z1405" s="22"/>
      <c r="AA1405" s="22"/>
      <c r="AB1405" s="22"/>
      <c r="AC1405" s="22"/>
      <c r="AD1405" s="22"/>
    </row>
    <row r="1406" spans="1:30" ht="15.75" customHeight="1" x14ac:dyDescent="0.15">
      <c r="A1406" s="22"/>
      <c r="B1406" s="22"/>
      <c r="C1406" s="22"/>
      <c r="D1406" s="22"/>
      <c r="E1406" s="22"/>
      <c r="F1406" s="28"/>
      <c r="G1406" s="28"/>
      <c r="H1406" s="28"/>
      <c r="I1406" s="28"/>
      <c r="J1406" s="28"/>
      <c r="K1406" s="28"/>
      <c r="L1406" s="28"/>
      <c r="M1406" s="22"/>
      <c r="N1406" s="22"/>
      <c r="O1406" s="22"/>
      <c r="P1406" s="22"/>
      <c r="Q1406" s="22"/>
      <c r="R1406" s="28"/>
      <c r="S1406" s="28"/>
      <c r="T1406" s="28"/>
      <c r="U1406" s="28"/>
      <c r="V1406" s="22"/>
      <c r="W1406" s="22"/>
      <c r="X1406" s="22"/>
      <c r="Y1406" s="22"/>
      <c r="Z1406" s="22"/>
      <c r="AA1406" s="22"/>
      <c r="AB1406" s="22"/>
      <c r="AC1406" s="22"/>
      <c r="AD1406" s="22"/>
    </row>
    <row r="1407" spans="1:30" ht="15.75" customHeight="1" x14ac:dyDescent="0.15">
      <c r="A1407" s="22"/>
      <c r="B1407" s="22"/>
      <c r="C1407" s="22"/>
      <c r="D1407" s="22"/>
      <c r="E1407" s="22"/>
      <c r="F1407" s="28"/>
      <c r="G1407" s="28"/>
      <c r="H1407" s="28"/>
      <c r="I1407" s="28"/>
      <c r="J1407" s="28"/>
      <c r="K1407" s="28"/>
      <c r="L1407" s="28"/>
      <c r="M1407" s="22"/>
      <c r="N1407" s="22"/>
      <c r="O1407" s="22"/>
      <c r="P1407" s="22"/>
      <c r="Q1407" s="22"/>
      <c r="R1407" s="28"/>
      <c r="S1407" s="28"/>
      <c r="T1407" s="28"/>
      <c r="U1407" s="28"/>
      <c r="V1407" s="22"/>
      <c r="W1407" s="22"/>
      <c r="X1407" s="22"/>
      <c r="Y1407" s="22"/>
      <c r="Z1407" s="22"/>
      <c r="AA1407" s="22"/>
      <c r="AB1407" s="22"/>
      <c r="AC1407" s="22"/>
      <c r="AD1407" s="22"/>
    </row>
    <row r="1408" spans="1:30" ht="15.75" customHeight="1" x14ac:dyDescent="0.15">
      <c r="A1408" s="22"/>
      <c r="B1408" s="22"/>
      <c r="C1408" s="22"/>
      <c r="D1408" s="22"/>
      <c r="E1408" s="22"/>
      <c r="F1408" s="28"/>
      <c r="G1408" s="28"/>
      <c r="H1408" s="28"/>
      <c r="I1408" s="28"/>
      <c r="J1408" s="28"/>
      <c r="K1408" s="28"/>
      <c r="L1408" s="28"/>
      <c r="M1408" s="22"/>
      <c r="N1408" s="22"/>
      <c r="O1408" s="22"/>
      <c r="P1408" s="22"/>
      <c r="Q1408" s="22"/>
      <c r="R1408" s="28"/>
      <c r="S1408" s="28"/>
      <c r="T1408" s="28"/>
      <c r="U1408" s="28"/>
      <c r="V1408" s="22"/>
      <c r="W1408" s="22"/>
      <c r="X1408" s="22"/>
      <c r="Y1408" s="22"/>
      <c r="Z1408" s="22"/>
      <c r="AA1408" s="22"/>
      <c r="AB1408" s="22"/>
      <c r="AC1408" s="22"/>
      <c r="AD1408" s="22"/>
    </row>
    <row r="1409" spans="1:30" ht="15.75" customHeight="1" x14ac:dyDescent="0.15">
      <c r="A1409" s="22"/>
      <c r="B1409" s="22"/>
      <c r="C1409" s="22"/>
      <c r="D1409" s="22"/>
      <c r="E1409" s="22"/>
      <c r="F1409" s="28"/>
      <c r="G1409" s="28"/>
      <c r="H1409" s="28"/>
      <c r="I1409" s="28"/>
      <c r="J1409" s="28"/>
      <c r="K1409" s="28"/>
      <c r="L1409" s="28"/>
      <c r="M1409" s="22"/>
      <c r="N1409" s="22"/>
      <c r="O1409" s="22"/>
      <c r="P1409" s="22"/>
      <c r="Q1409" s="22"/>
      <c r="R1409" s="28"/>
      <c r="S1409" s="28"/>
      <c r="T1409" s="28"/>
      <c r="U1409" s="28"/>
      <c r="V1409" s="22"/>
      <c r="W1409" s="22"/>
      <c r="X1409" s="22"/>
      <c r="Y1409" s="22"/>
      <c r="Z1409" s="22"/>
      <c r="AA1409" s="22"/>
      <c r="AB1409" s="22"/>
      <c r="AC1409" s="22"/>
      <c r="AD1409" s="22"/>
    </row>
    <row r="1410" spans="1:30" ht="15.75" customHeight="1" x14ac:dyDescent="0.15">
      <c r="A1410" s="22"/>
      <c r="B1410" s="22"/>
      <c r="C1410" s="22"/>
      <c r="D1410" s="22"/>
      <c r="E1410" s="22"/>
      <c r="F1410" s="28"/>
      <c r="G1410" s="28"/>
      <c r="H1410" s="28"/>
      <c r="I1410" s="28"/>
      <c r="J1410" s="28"/>
      <c r="K1410" s="28"/>
      <c r="L1410" s="28"/>
      <c r="M1410" s="22"/>
      <c r="N1410" s="22"/>
      <c r="O1410" s="22"/>
      <c r="P1410" s="22"/>
      <c r="Q1410" s="22"/>
      <c r="R1410" s="28"/>
      <c r="S1410" s="28"/>
      <c r="T1410" s="28"/>
      <c r="U1410" s="28"/>
      <c r="V1410" s="22"/>
      <c r="W1410" s="22"/>
      <c r="X1410" s="22"/>
      <c r="Y1410" s="22"/>
      <c r="Z1410" s="22"/>
      <c r="AA1410" s="22"/>
      <c r="AB1410" s="22"/>
      <c r="AC1410" s="22"/>
      <c r="AD1410" s="22"/>
    </row>
    <row r="1411" spans="1:30" ht="15.75" customHeight="1" x14ac:dyDescent="0.15">
      <c r="A1411" s="22"/>
      <c r="B1411" s="22"/>
      <c r="C1411" s="22"/>
      <c r="D1411" s="22"/>
      <c r="E1411" s="22"/>
      <c r="F1411" s="28"/>
      <c r="G1411" s="28"/>
      <c r="H1411" s="28"/>
      <c r="I1411" s="28"/>
      <c r="J1411" s="28"/>
      <c r="K1411" s="28"/>
      <c r="L1411" s="28"/>
      <c r="M1411" s="22"/>
      <c r="N1411" s="22"/>
      <c r="O1411" s="22"/>
      <c r="P1411" s="22"/>
      <c r="Q1411" s="22"/>
      <c r="R1411" s="28"/>
      <c r="S1411" s="28"/>
      <c r="T1411" s="28"/>
      <c r="U1411" s="28"/>
      <c r="V1411" s="22"/>
      <c r="W1411" s="22"/>
      <c r="X1411" s="22"/>
      <c r="Y1411" s="22"/>
      <c r="Z1411" s="22"/>
      <c r="AA1411" s="22"/>
      <c r="AB1411" s="22"/>
      <c r="AC1411" s="22"/>
      <c r="AD1411" s="22"/>
    </row>
    <row r="1412" spans="1:30" ht="15.75" customHeight="1" x14ac:dyDescent="0.15">
      <c r="A1412" s="22"/>
      <c r="B1412" s="22"/>
      <c r="C1412" s="22"/>
      <c r="D1412" s="22"/>
      <c r="E1412" s="22"/>
      <c r="F1412" s="28"/>
      <c r="G1412" s="28"/>
      <c r="H1412" s="28"/>
      <c r="I1412" s="28"/>
      <c r="J1412" s="28"/>
      <c r="K1412" s="28"/>
      <c r="L1412" s="28"/>
      <c r="M1412" s="22"/>
      <c r="N1412" s="22"/>
      <c r="O1412" s="22"/>
      <c r="P1412" s="22"/>
      <c r="Q1412" s="22"/>
      <c r="R1412" s="28"/>
      <c r="S1412" s="28"/>
      <c r="T1412" s="28"/>
      <c r="U1412" s="28"/>
      <c r="V1412" s="22"/>
      <c r="W1412" s="22"/>
      <c r="X1412" s="22"/>
      <c r="Y1412" s="22"/>
      <c r="Z1412" s="22"/>
      <c r="AA1412" s="22"/>
      <c r="AB1412" s="22"/>
      <c r="AC1412" s="22"/>
      <c r="AD1412" s="22"/>
    </row>
    <row r="1413" spans="1:30" ht="15.75" customHeight="1" x14ac:dyDescent="0.15">
      <c r="A1413" s="22"/>
      <c r="B1413" s="22"/>
      <c r="C1413" s="22"/>
      <c r="D1413" s="22"/>
      <c r="E1413" s="22"/>
      <c r="F1413" s="28"/>
      <c r="G1413" s="28"/>
      <c r="H1413" s="28"/>
      <c r="I1413" s="28"/>
      <c r="J1413" s="28"/>
      <c r="K1413" s="28"/>
      <c r="L1413" s="28"/>
      <c r="M1413" s="22"/>
      <c r="N1413" s="22"/>
      <c r="O1413" s="22"/>
      <c r="P1413" s="22"/>
      <c r="Q1413" s="22"/>
      <c r="R1413" s="28"/>
      <c r="S1413" s="28"/>
      <c r="T1413" s="28"/>
      <c r="U1413" s="28"/>
      <c r="V1413" s="22"/>
      <c r="W1413" s="22"/>
      <c r="X1413" s="22"/>
      <c r="Y1413" s="22"/>
      <c r="Z1413" s="22"/>
      <c r="AA1413" s="22"/>
      <c r="AB1413" s="22"/>
      <c r="AC1413" s="22"/>
      <c r="AD1413" s="22"/>
    </row>
    <row r="1414" spans="1:30" ht="15.75" customHeight="1" x14ac:dyDescent="0.15">
      <c r="A1414" s="22"/>
      <c r="B1414" s="22"/>
      <c r="C1414" s="22"/>
      <c r="D1414" s="22"/>
      <c r="E1414" s="22"/>
      <c r="F1414" s="28"/>
      <c r="G1414" s="28"/>
      <c r="H1414" s="28"/>
      <c r="I1414" s="28"/>
      <c r="J1414" s="28"/>
      <c r="K1414" s="28"/>
      <c r="L1414" s="28"/>
      <c r="M1414" s="22"/>
      <c r="N1414" s="22"/>
      <c r="O1414" s="22"/>
      <c r="P1414" s="22"/>
      <c r="Q1414" s="22"/>
      <c r="R1414" s="28"/>
      <c r="S1414" s="28"/>
      <c r="T1414" s="28"/>
      <c r="U1414" s="28"/>
      <c r="V1414" s="22"/>
      <c r="W1414" s="22"/>
      <c r="X1414" s="22"/>
      <c r="Y1414" s="22"/>
      <c r="Z1414" s="22"/>
      <c r="AA1414" s="22"/>
      <c r="AB1414" s="22"/>
      <c r="AC1414" s="22"/>
      <c r="AD1414" s="22"/>
    </row>
    <row r="1415" spans="1:30" ht="15.75" customHeight="1" x14ac:dyDescent="0.15">
      <c r="A1415" s="22"/>
      <c r="B1415" s="22"/>
      <c r="C1415" s="22"/>
      <c r="D1415" s="22"/>
      <c r="E1415" s="22"/>
      <c r="F1415" s="28"/>
      <c r="G1415" s="28"/>
      <c r="H1415" s="28"/>
      <c r="I1415" s="28"/>
      <c r="J1415" s="28"/>
      <c r="K1415" s="28"/>
      <c r="L1415" s="28"/>
      <c r="M1415" s="22"/>
      <c r="N1415" s="22"/>
      <c r="O1415" s="22"/>
      <c r="P1415" s="22"/>
      <c r="Q1415" s="22"/>
      <c r="R1415" s="28"/>
      <c r="S1415" s="28"/>
      <c r="T1415" s="28"/>
      <c r="U1415" s="28"/>
      <c r="V1415" s="22"/>
      <c r="W1415" s="22"/>
      <c r="X1415" s="22"/>
      <c r="Y1415" s="22"/>
      <c r="Z1415" s="22"/>
      <c r="AA1415" s="22"/>
      <c r="AB1415" s="22"/>
      <c r="AC1415" s="22"/>
      <c r="AD1415" s="22"/>
    </row>
    <row r="1416" spans="1:30" ht="15.75" customHeight="1" x14ac:dyDescent="0.15">
      <c r="A1416" s="22"/>
      <c r="B1416" s="22"/>
      <c r="C1416" s="22"/>
      <c r="D1416" s="22"/>
      <c r="E1416" s="22"/>
      <c r="F1416" s="28"/>
      <c r="G1416" s="28"/>
      <c r="H1416" s="28"/>
      <c r="I1416" s="28"/>
      <c r="J1416" s="28"/>
      <c r="K1416" s="28"/>
      <c r="L1416" s="28"/>
      <c r="M1416" s="22"/>
      <c r="N1416" s="22"/>
      <c r="O1416" s="22"/>
      <c r="P1416" s="22"/>
      <c r="Q1416" s="22"/>
      <c r="R1416" s="28"/>
      <c r="S1416" s="28"/>
      <c r="T1416" s="28"/>
      <c r="U1416" s="28"/>
      <c r="V1416" s="22"/>
      <c r="W1416" s="22"/>
      <c r="X1416" s="22"/>
      <c r="Y1416" s="22"/>
      <c r="Z1416" s="22"/>
      <c r="AA1416" s="22"/>
      <c r="AB1416" s="22"/>
      <c r="AC1416" s="22"/>
      <c r="AD1416" s="22"/>
    </row>
    <row r="1417" spans="1:30" ht="15.75" customHeight="1" x14ac:dyDescent="0.15">
      <c r="A1417" s="22"/>
      <c r="B1417" s="22"/>
      <c r="C1417" s="22"/>
      <c r="D1417" s="22"/>
      <c r="E1417" s="22"/>
      <c r="F1417" s="28"/>
      <c r="G1417" s="28"/>
      <c r="H1417" s="28"/>
      <c r="I1417" s="28"/>
      <c r="J1417" s="28"/>
      <c r="K1417" s="28"/>
      <c r="L1417" s="28"/>
      <c r="M1417" s="22"/>
      <c r="N1417" s="22"/>
      <c r="O1417" s="22"/>
      <c r="P1417" s="22"/>
      <c r="Q1417" s="22"/>
      <c r="R1417" s="28"/>
      <c r="S1417" s="28"/>
      <c r="T1417" s="28"/>
      <c r="U1417" s="28"/>
      <c r="V1417" s="22"/>
      <c r="W1417" s="22"/>
      <c r="X1417" s="22"/>
      <c r="Y1417" s="22"/>
      <c r="Z1417" s="22"/>
      <c r="AA1417" s="22"/>
      <c r="AB1417" s="22"/>
      <c r="AC1417" s="22"/>
      <c r="AD1417" s="22"/>
    </row>
    <row r="1418" spans="1:30" ht="15.75" customHeight="1" x14ac:dyDescent="0.15">
      <c r="A1418" s="22"/>
      <c r="B1418" s="22"/>
      <c r="C1418" s="22"/>
      <c r="D1418" s="22"/>
      <c r="E1418" s="22"/>
      <c r="F1418" s="28"/>
      <c r="G1418" s="28"/>
      <c r="H1418" s="28"/>
      <c r="I1418" s="28"/>
      <c r="J1418" s="28"/>
      <c r="K1418" s="28"/>
      <c r="L1418" s="28"/>
      <c r="M1418" s="22"/>
      <c r="N1418" s="22"/>
      <c r="O1418" s="22"/>
      <c r="P1418" s="22"/>
      <c r="Q1418" s="22"/>
      <c r="R1418" s="28"/>
      <c r="S1418" s="28"/>
      <c r="T1418" s="28"/>
      <c r="U1418" s="28"/>
      <c r="V1418" s="22"/>
      <c r="W1418" s="22"/>
      <c r="X1418" s="22"/>
      <c r="Y1418" s="22"/>
      <c r="Z1418" s="22"/>
      <c r="AA1418" s="22"/>
      <c r="AB1418" s="22"/>
      <c r="AC1418" s="22"/>
      <c r="AD1418" s="22"/>
    </row>
    <row r="1419" spans="1:30" ht="15.75" customHeight="1" x14ac:dyDescent="0.15">
      <c r="A1419" s="22"/>
      <c r="B1419" s="22"/>
      <c r="C1419" s="22"/>
      <c r="D1419" s="22"/>
      <c r="E1419" s="22"/>
      <c r="F1419" s="28"/>
      <c r="G1419" s="28"/>
      <c r="H1419" s="28"/>
      <c r="I1419" s="28"/>
      <c r="J1419" s="28"/>
      <c r="K1419" s="28"/>
      <c r="L1419" s="28"/>
      <c r="M1419" s="22"/>
      <c r="N1419" s="22"/>
      <c r="O1419" s="22"/>
      <c r="P1419" s="22"/>
      <c r="Q1419" s="22"/>
      <c r="R1419" s="28"/>
      <c r="S1419" s="28"/>
      <c r="T1419" s="28"/>
      <c r="U1419" s="28"/>
      <c r="V1419" s="22"/>
      <c r="W1419" s="22"/>
      <c r="X1419" s="22"/>
      <c r="Y1419" s="22"/>
      <c r="Z1419" s="22"/>
      <c r="AA1419" s="22"/>
      <c r="AB1419" s="22"/>
      <c r="AC1419" s="22"/>
      <c r="AD1419" s="22"/>
    </row>
    <row r="1420" spans="1:30" ht="15.75" customHeight="1" x14ac:dyDescent="0.15">
      <c r="A1420" s="22"/>
      <c r="B1420" s="22"/>
      <c r="C1420" s="22"/>
      <c r="D1420" s="22"/>
      <c r="E1420" s="22"/>
      <c r="F1420" s="28"/>
      <c r="G1420" s="28"/>
      <c r="H1420" s="28"/>
      <c r="I1420" s="28"/>
      <c r="J1420" s="28"/>
      <c r="K1420" s="28"/>
      <c r="L1420" s="28"/>
      <c r="M1420" s="22"/>
      <c r="N1420" s="22"/>
      <c r="O1420" s="22"/>
      <c r="P1420" s="22"/>
      <c r="Q1420" s="22"/>
      <c r="R1420" s="28"/>
      <c r="S1420" s="28"/>
      <c r="T1420" s="28"/>
      <c r="U1420" s="28"/>
      <c r="V1420" s="22"/>
      <c r="W1420" s="22"/>
      <c r="X1420" s="22"/>
      <c r="Y1420" s="22"/>
      <c r="Z1420" s="22"/>
      <c r="AA1420" s="22"/>
      <c r="AB1420" s="22"/>
      <c r="AC1420" s="22"/>
      <c r="AD1420" s="22"/>
    </row>
    <row r="1421" spans="1:30" ht="15.75" customHeight="1" x14ac:dyDescent="0.15">
      <c r="A1421" s="22"/>
      <c r="B1421" s="22"/>
      <c r="C1421" s="22"/>
      <c r="D1421" s="22"/>
      <c r="E1421" s="22"/>
      <c r="F1421" s="28"/>
      <c r="G1421" s="28"/>
      <c r="H1421" s="28"/>
      <c r="I1421" s="28"/>
      <c r="J1421" s="28"/>
      <c r="K1421" s="28"/>
      <c r="L1421" s="28"/>
      <c r="M1421" s="22"/>
      <c r="N1421" s="22"/>
      <c r="O1421" s="22"/>
      <c r="P1421" s="22"/>
      <c r="Q1421" s="22"/>
      <c r="R1421" s="28"/>
      <c r="S1421" s="28"/>
      <c r="T1421" s="28"/>
      <c r="U1421" s="28"/>
      <c r="V1421" s="22"/>
      <c r="W1421" s="22"/>
      <c r="X1421" s="22"/>
      <c r="Y1421" s="22"/>
      <c r="Z1421" s="22"/>
      <c r="AA1421" s="22"/>
      <c r="AB1421" s="22"/>
      <c r="AC1421" s="22"/>
      <c r="AD1421" s="22"/>
    </row>
    <row r="1422" spans="1:30" ht="15.75" customHeight="1" x14ac:dyDescent="0.15">
      <c r="A1422" s="22"/>
      <c r="B1422" s="22"/>
      <c r="C1422" s="22"/>
      <c r="D1422" s="22"/>
      <c r="E1422" s="22"/>
      <c r="F1422" s="28"/>
      <c r="G1422" s="28"/>
      <c r="H1422" s="28"/>
      <c r="I1422" s="28"/>
      <c r="J1422" s="28"/>
      <c r="K1422" s="28"/>
      <c r="L1422" s="28"/>
      <c r="M1422" s="22"/>
      <c r="N1422" s="22"/>
      <c r="O1422" s="22"/>
      <c r="P1422" s="22"/>
      <c r="Q1422" s="22"/>
      <c r="R1422" s="28"/>
      <c r="S1422" s="28"/>
      <c r="T1422" s="28"/>
      <c r="U1422" s="28"/>
      <c r="V1422" s="22"/>
      <c r="W1422" s="22"/>
      <c r="X1422" s="22"/>
      <c r="Y1422" s="22"/>
      <c r="Z1422" s="22"/>
      <c r="AA1422" s="22"/>
      <c r="AB1422" s="22"/>
      <c r="AC1422" s="22"/>
      <c r="AD1422" s="22"/>
    </row>
    <row r="1423" spans="1:30" ht="15.75" customHeight="1" x14ac:dyDescent="0.15">
      <c r="A1423" s="22"/>
      <c r="B1423" s="22"/>
      <c r="C1423" s="22"/>
      <c r="D1423" s="22"/>
      <c r="E1423" s="22"/>
      <c r="F1423" s="28"/>
      <c r="G1423" s="28"/>
      <c r="H1423" s="28"/>
      <c r="I1423" s="28"/>
      <c r="J1423" s="28"/>
      <c r="K1423" s="28"/>
      <c r="L1423" s="28"/>
      <c r="M1423" s="22"/>
      <c r="N1423" s="22"/>
      <c r="O1423" s="22"/>
      <c r="P1423" s="22"/>
      <c r="Q1423" s="22"/>
      <c r="R1423" s="28"/>
      <c r="S1423" s="28"/>
      <c r="T1423" s="28"/>
      <c r="U1423" s="28"/>
      <c r="V1423" s="22"/>
      <c r="W1423" s="22"/>
      <c r="X1423" s="22"/>
      <c r="Y1423" s="22"/>
      <c r="Z1423" s="22"/>
      <c r="AA1423" s="22"/>
      <c r="AB1423" s="22"/>
      <c r="AC1423" s="22"/>
      <c r="AD1423" s="22"/>
    </row>
    <row r="1424" spans="1:30" ht="15.75" customHeight="1" x14ac:dyDescent="0.15">
      <c r="A1424" s="22"/>
      <c r="B1424" s="22"/>
      <c r="C1424" s="22"/>
      <c r="D1424" s="22"/>
      <c r="E1424" s="22"/>
      <c r="F1424" s="28"/>
      <c r="G1424" s="28"/>
      <c r="H1424" s="28"/>
      <c r="I1424" s="28"/>
      <c r="J1424" s="28"/>
      <c r="K1424" s="28"/>
      <c r="L1424" s="28"/>
      <c r="M1424" s="22"/>
      <c r="N1424" s="22"/>
      <c r="O1424" s="22"/>
      <c r="P1424" s="22"/>
      <c r="Q1424" s="22"/>
      <c r="R1424" s="28"/>
      <c r="S1424" s="28"/>
      <c r="T1424" s="28"/>
      <c r="U1424" s="28"/>
      <c r="V1424" s="22"/>
      <c r="W1424" s="22"/>
      <c r="X1424" s="22"/>
      <c r="Y1424" s="22"/>
      <c r="Z1424" s="22"/>
      <c r="AA1424" s="22"/>
      <c r="AB1424" s="22"/>
      <c r="AC1424" s="22"/>
      <c r="AD1424" s="22"/>
    </row>
    <row r="1425" spans="1:30" ht="15.75" customHeight="1" x14ac:dyDescent="0.15">
      <c r="A1425" s="22"/>
      <c r="B1425" s="22"/>
      <c r="C1425" s="22"/>
      <c r="D1425" s="22"/>
      <c r="E1425" s="22"/>
      <c r="F1425" s="28"/>
      <c r="G1425" s="28"/>
      <c r="H1425" s="28"/>
      <c r="I1425" s="28"/>
      <c r="J1425" s="28"/>
      <c r="K1425" s="28"/>
      <c r="L1425" s="28"/>
      <c r="M1425" s="22"/>
      <c r="N1425" s="22"/>
      <c r="O1425" s="22"/>
      <c r="P1425" s="22"/>
      <c r="Q1425" s="22"/>
      <c r="R1425" s="28"/>
      <c r="S1425" s="28"/>
      <c r="T1425" s="28"/>
      <c r="U1425" s="28"/>
      <c r="V1425" s="22"/>
      <c r="W1425" s="22"/>
      <c r="X1425" s="22"/>
      <c r="Y1425" s="22"/>
      <c r="Z1425" s="22"/>
      <c r="AA1425" s="22"/>
      <c r="AB1425" s="22"/>
      <c r="AC1425" s="22"/>
      <c r="AD1425" s="22"/>
    </row>
    <row r="1426" spans="1:30" ht="15.75" customHeight="1" x14ac:dyDescent="0.15">
      <c r="A1426" s="22"/>
      <c r="B1426" s="22"/>
      <c r="C1426" s="22"/>
      <c r="D1426" s="22"/>
      <c r="E1426" s="22"/>
      <c r="F1426" s="28"/>
      <c r="G1426" s="28"/>
      <c r="H1426" s="28"/>
      <c r="I1426" s="28"/>
      <c r="J1426" s="28"/>
      <c r="K1426" s="28"/>
      <c r="L1426" s="28"/>
      <c r="M1426" s="22"/>
      <c r="N1426" s="22"/>
      <c r="O1426" s="22"/>
      <c r="P1426" s="22"/>
      <c r="Q1426" s="22"/>
      <c r="R1426" s="28"/>
      <c r="S1426" s="28"/>
      <c r="T1426" s="28"/>
      <c r="U1426" s="28"/>
      <c r="V1426" s="22"/>
      <c r="W1426" s="22"/>
      <c r="X1426" s="22"/>
      <c r="Y1426" s="22"/>
      <c r="Z1426" s="22"/>
      <c r="AA1426" s="22"/>
      <c r="AB1426" s="22"/>
      <c r="AC1426" s="22"/>
      <c r="AD1426" s="22"/>
    </row>
    <row r="1427" spans="1:30" ht="15.75" customHeight="1" x14ac:dyDescent="0.15">
      <c r="A1427" s="22"/>
      <c r="B1427" s="22"/>
      <c r="C1427" s="22"/>
      <c r="D1427" s="22"/>
      <c r="E1427" s="22"/>
      <c r="F1427" s="28"/>
      <c r="G1427" s="28"/>
      <c r="H1427" s="28"/>
      <c r="I1427" s="28"/>
      <c r="J1427" s="28"/>
      <c r="K1427" s="28"/>
      <c r="L1427" s="28"/>
      <c r="M1427" s="22"/>
      <c r="N1427" s="22"/>
      <c r="O1427" s="22"/>
      <c r="P1427" s="22"/>
      <c r="Q1427" s="22"/>
      <c r="R1427" s="28"/>
      <c r="S1427" s="28"/>
      <c r="T1427" s="28"/>
      <c r="U1427" s="28"/>
      <c r="V1427" s="22"/>
      <c r="W1427" s="22"/>
      <c r="X1427" s="22"/>
      <c r="Y1427" s="22"/>
      <c r="Z1427" s="22"/>
      <c r="AA1427" s="22"/>
      <c r="AB1427" s="22"/>
      <c r="AC1427" s="22"/>
      <c r="AD1427" s="22"/>
    </row>
    <row r="1428" spans="1:30" ht="15.75" customHeight="1" x14ac:dyDescent="0.15">
      <c r="A1428" s="22"/>
      <c r="B1428" s="22"/>
      <c r="C1428" s="22"/>
      <c r="D1428" s="22"/>
      <c r="E1428" s="22"/>
      <c r="F1428" s="28"/>
      <c r="G1428" s="28"/>
      <c r="H1428" s="28"/>
      <c r="I1428" s="28"/>
      <c r="J1428" s="28"/>
      <c r="K1428" s="28"/>
      <c r="L1428" s="28"/>
      <c r="M1428" s="22"/>
      <c r="N1428" s="22"/>
      <c r="O1428" s="22"/>
      <c r="P1428" s="22"/>
      <c r="Q1428" s="22"/>
      <c r="R1428" s="28"/>
      <c r="S1428" s="28"/>
      <c r="T1428" s="28"/>
      <c r="U1428" s="28"/>
      <c r="V1428" s="22"/>
      <c r="W1428" s="22"/>
      <c r="X1428" s="22"/>
      <c r="Y1428" s="22"/>
      <c r="Z1428" s="22"/>
      <c r="AA1428" s="22"/>
      <c r="AB1428" s="22"/>
      <c r="AC1428" s="22"/>
      <c r="AD1428" s="22"/>
    </row>
    <row r="1429" spans="1:30" ht="15.75" customHeight="1" x14ac:dyDescent="0.15">
      <c r="A1429" s="22"/>
      <c r="B1429" s="22"/>
      <c r="C1429" s="22"/>
      <c r="D1429" s="22"/>
      <c r="E1429" s="22"/>
      <c r="F1429" s="28"/>
      <c r="G1429" s="28"/>
      <c r="H1429" s="28"/>
      <c r="I1429" s="28"/>
      <c r="J1429" s="28"/>
      <c r="K1429" s="28"/>
      <c r="L1429" s="28"/>
      <c r="M1429" s="22"/>
      <c r="N1429" s="22"/>
      <c r="O1429" s="22"/>
      <c r="P1429" s="22"/>
      <c r="Q1429" s="22"/>
      <c r="R1429" s="28"/>
      <c r="S1429" s="28"/>
      <c r="T1429" s="28"/>
      <c r="U1429" s="28"/>
      <c r="V1429" s="22"/>
      <c r="W1429" s="22"/>
      <c r="X1429" s="22"/>
      <c r="Y1429" s="22"/>
      <c r="Z1429" s="22"/>
      <c r="AA1429" s="22"/>
      <c r="AB1429" s="22"/>
      <c r="AC1429" s="22"/>
      <c r="AD1429" s="22"/>
    </row>
    <row r="1430" spans="1:30" ht="15.75" customHeight="1" x14ac:dyDescent="0.15">
      <c r="A1430" s="22"/>
      <c r="B1430" s="22"/>
      <c r="C1430" s="22"/>
      <c r="D1430" s="22"/>
      <c r="E1430" s="22"/>
      <c r="F1430" s="28"/>
      <c r="G1430" s="28"/>
      <c r="H1430" s="28"/>
      <c r="I1430" s="28"/>
      <c r="J1430" s="28"/>
      <c r="K1430" s="28"/>
      <c r="L1430" s="28"/>
      <c r="M1430" s="22"/>
      <c r="N1430" s="22"/>
      <c r="O1430" s="22"/>
      <c r="P1430" s="22"/>
      <c r="Q1430" s="22"/>
      <c r="R1430" s="28"/>
      <c r="S1430" s="28"/>
      <c r="T1430" s="28"/>
      <c r="U1430" s="28"/>
      <c r="V1430" s="22"/>
      <c r="W1430" s="22"/>
      <c r="X1430" s="22"/>
      <c r="Y1430" s="22"/>
      <c r="Z1430" s="22"/>
      <c r="AA1430" s="22"/>
      <c r="AB1430" s="22"/>
      <c r="AC1430" s="22"/>
      <c r="AD1430" s="22"/>
    </row>
    <row r="1431" spans="1:30" ht="15.75" customHeight="1" x14ac:dyDescent="0.15">
      <c r="A1431" s="22"/>
      <c r="B1431" s="22"/>
      <c r="C1431" s="22"/>
      <c r="D1431" s="22"/>
      <c r="E1431" s="22"/>
      <c r="F1431" s="28"/>
      <c r="G1431" s="28"/>
      <c r="H1431" s="28"/>
      <c r="I1431" s="28"/>
      <c r="J1431" s="28"/>
      <c r="K1431" s="28"/>
      <c r="L1431" s="28"/>
      <c r="M1431" s="22"/>
      <c r="N1431" s="22"/>
      <c r="O1431" s="22"/>
      <c r="P1431" s="22"/>
      <c r="Q1431" s="22"/>
      <c r="R1431" s="28"/>
      <c r="S1431" s="28"/>
      <c r="T1431" s="28"/>
      <c r="U1431" s="28"/>
      <c r="V1431" s="22"/>
      <c r="W1431" s="22"/>
      <c r="X1431" s="22"/>
      <c r="Y1431" s="22"/>
      <c r="Z1431" s="22"/>
      <c r="AA1431" s="22"/>
      <c r="AB1431" s="22"/>
      <c r="AC1431" s="22"/>
      <c r="AD1431" s="22"/>
    </row>
    <row r="1432" spans="1:30" ht="15.75" customHeight="1" x14ac:dyDescent="0.15">
      <c r="A1432" s="22"/>
      <c r="B1432" s="22"/>
      <c r="C1432" s="22"/>
      <c r="D1432" s="22"/>
      <c r="E1432" s="22"/>
      <c r="F1432" s="28"/>
      <c r="G1432" s="28"/>
      <c r="H1432" s="28"/>
      <c r="I1432" s="28"/>
      <c r="J1432" s="28"/>
      <c r="K1432" s="28"/>
      <c r="L1432" s="28"/>
      <c r="M1432" s="22"/>
      <c r="N1432" s="22"/>
      <c r="O1432" s="22"/>
      <c r="P1432" s="22"/>
      <c r="Q1432" s="22"/>
      <c r="R1432" s="28"/>
      <c r="S1432" s="28"/>
      <c r="T1432" s="28"/>
      <c r="U1432" s="28"/>
      <c r="V1432" s="22"/>
      <c r="W1432" s="22"/>
      <c r="X1432" s="22"/>
      <c r="Y1432" s="22"/>
      <c r="Z1432" s="22"/>
      <c r="AA1432" s="22"/>
      <c r="AB1432" s="22"/>
      <c r="AC1432" s="22"/>
      <c r="AD1432" s="22"/>
    </row>
    <row r="1433" spans="1:30" ht="15.75" customHeight="1" x14ac:dyDescent="0.15">
      <c r="A1433" s="22"/>
      <c r="B1433" s="22"/>
      <c r="C1433" s="22"/>
      <c r="D1433" s="22"/>
      <c r="E1433" s="22"/>
      <c r="F1433" s="28"/>
      <c r="G1433" s="28"/>
      <c r="H1433" s="28"/>
      <c r="I1433" s="28"/>
      <c r="J1433" s="28"/>
      <c r="K1433" s="28"/>
      <c r="L1433" s="28"/>
      <c r="M1433" s="22"/>
      <c r="N1433" s="22"/>
      <c r="O1433" s="22"/>
      <c r="P1433" s="22"/>
      <c r="Q1433" s="22"/>
      <c r="R1433" s="28"/>
      <c r="S1433" s="28"/>
      <c r="T1433" s="28"/>
      <c r="U1433" s="28"/>
      <c r="V1433" s="22"/>
      <c r="W1433" s="22"/>
      <c r="X1433" s="22"/>
      <c r="Y1433" s="22"/>
      <c r="Z1433" s="22"/>
      <c r="AA1433" s="22"/>
      <c r="AB1433" s="22"/>
      <c r="AC1433" s="22"/>
      <c r="AD1433" s="22"/>
    </row>
    <row r="1434" spans="1:30" ht="15.75" customHeight="1" x14ac:dyDescent="0.15">
      <c r="A1434" s="22"/>
      <c r="B1434" s="22"/>
      <c r="C1434" s="22"/>
      <c r="D1434" s="22"/>
      <c r="E1434" s="22"/>
      <c r="F1434" s="28"/>
      <c r="G1434" s="28"/>
      <c r="H1434" s="28"/>
      <c r="I1434" s="28"/>
      <c r="J1434" s="28"/>
      <c r="K1434" s="28"/>
      <c r="L1434" s="28"/>
      <c r="M1434" s="22"/>
      <c r="N1434" s="22"/>
      <c r="O1434" s="22"/>
      <c r="P1434" s="22"/>
      <c r="Q1434" s="22"/>
      <c r="R1434" s="28"/>
      <c r="S1434" s="28"/>
      <c r="T1434" s="28"/>
      <c r="U1434" s="28"/>
      <c r="V1434" s="22"/>
      <c r="W1434" s="22"/>
      <c r="X1434" s="22"/>
      <c r="Y1434" s="22"/>
      <c r="Z1434" s="22"/>
      <c r="AA1434" s="22"/>
      <c r="AB1434" s="22"/>
      <c r="AC1434" s="22"/>
      <c r="AD1434" s="22"/>
    </row>
    <row r="1435" spans="1:30" ht="15.75" customHeight="1" x14ac:dyDescent="0.15">
      <c r="A1435" s="22"/>
      <c r="B1435" s="22"/>
      <c r="C1435" s="22"/>
      <c r="D1435" s="22"/>
      <c r="E1435" s="22"/>
      <c r="F1435" s="28"/>
      <c r="G1435" s="28"/>
      <c r="H1435" s="28"/>
      <c r="I1435" s="28"/>
      <c r="J1435" s="28"/>
      <c r="K1435" s="28"/>
      <c r="L1435" s="28"/>
      <c r="M1435" s="22"/>
      <c r="N1435" s="22"/>
      <c r="O1435" s="22"/>
      <c r="P1435" s="22"/>
      <c r="Q1435" s="22"/>
      <c r="R1435" s="28"/>
      <c r="S1435" s="28"/>
      <c r="T1435" s="28"/>
      <c r="U1435" s="28"/>
      <c r="V1435" s="22"/>
      <c r="W1435" s="22"/>
      <c r="X1435" s="22"/>
      <c r="Y1435" s="22"/>
      <c r="Z1435" s="22"/>
      <c r="AA1435" s="22"/>
      <c r="AB1435" s="22"/>
      <c r="AC1435" s="22"/>
      <c r="AD1435" s="22"/>
    </row>
    <row r="1436" spans="1:30" ht="15.75" customHeight="1" x14ac:dyDescent="0.15">
      <c r="A1436" s="22"/>
      <c r="B1436" s="22"/>
      <c r="C1436" s="22"/>
      <c r="D1436" s="22"/>
      <c r="E1436" s="22"/>
      <c r="F1436" s="28"/>
      <c r="G1436" s="28"/>
      <c r="H1436" s="28"/>
      <c r="I1436" s="28"/>
      <c r="J1436" s="28"/>
      <c r="K1436" s="28"/>
      <c r="L1436" s="28"/>
      <c r="M1436" s="22"/>
      <c r="N1436" s="22"/>
      <c r="O1436" s="22"/>
      <c r="P1436" s="22"/>
      <c r="Q1436" s="22"/>
      <c r="R1436" s="28"/>
      <c r="S1436" s="28"/>
      <c r="T1436" s="28"/>
      <c r="U1436" s="28"/>
      <c r="V1436" s="22"/>
      <c r="W1436" s="22"/>
      <c r="X1436" s="22"/>
      <c r="Y1436" s="22"/>
      <c r="Z1436" s="22"/>
      <c r="AA1436" s="22"/>
      <c r="AB1436" s="22"/>
      <c r="AC1436" s="22"/>
      <c r="AD1436" s="22"/>
    </row>
    <row r="1437" spans="1:30" ht="15.75" customHeight="1" x14ac:dyDescent="0.15">
      <c r="A1437" s="22"/>
      <c r="B1437" s="22"/>
      <c r="C1437" s="22"/>
      <c r="D1437" s="22"/>
      <c r="E1437" s="22"/>
      <c r="F1437" s="28"/>
      <c r="G1437" s="28"/>
      <c r="H1437" s="28"/>
      <c r="I1437" s="28"/>
      <c r="J1437" s="28"/>
      <c r="K1437" s="28"/>
      <c r="L1437" s="28"/>
      <c r="M1437" s="22"/>
      <c r="N1437" s="22"/>
      <c r="O1437" s="22"/>
      <c r="P1437" s="22"/>
      <c r="Q1437" s="22"/>
      <c r="R1437" s="28"/>
      <c r="S1437" s="28"/>
      <c r="T1437" s="28"/>
      <c r="U1437" s="28"/>
      <c r="V1437" s="22"/>
      <c r="W1437" s="22"/>
      <c r="X1437" s="22"/>
      <c r="Y1437" s="22"/>
      <c r="Z1437" s="22"/>
      <c r="AA1437" s="22"/>
      <c r="AB1437" s="22"/>
      <c r="AC1437" s="22"/>
      <c r="AD1437" s="22"/>
    </row>
    <row r="1438" spans="1:30" ht="15.75" customHeight="1" x14ac:dyDescent="0.15">
      <c r="A1438" s="22"/>
      <c r="B1438" s="22"/>
      <c r="C1438" s="22"/>
      <c r="D1438" s="22"/>
      <c r="E1438" s="22"/>
      <c r="F1438" s="28"/>
      <c r="G1438" s="28"/>
      <c r="H1438" s="28"/>
      <c r="I1438" s="28"/>
      <c r="J1438" s="28"/>
      <c r="K1438" s="28"/>
      <c r="L1438" s="28"/>
      <c r="M1438" s="22"/>
      <c r="N1438" s="22"/>
      <c r="O1438" s="22"/>
      <c r="P1438" s="22"/>
      <c r="Q1438" s="22"/>
      <c r="R1438" s="28"/>
      <c r="S1438" s="28"/>
      <c r="T1438" s="28"/>
      <c r="U1438" s="28"/>
      <c r="V1438" s="22"/>
      <c r="W1438" s="22"/>
      <c r="X1438" s="22"/>
      <c r="Y1438" s="22"/>
      <c r="Z1438" s="22"/>
      <c r="AA1438" s="22"/>
      <c r="AB1438" s="22"/>
      <c r="AC1438" s="22"/>
      <c r="AD1438" s="22"/>
    </row>
    <row r="1439" spans="1:30" ht="15.75" customHeight="1" x14ac:dyDescent="0.15">
      <c r="A1439" s="22"/>
      <c r="B1439" s="22"/>
      <c r="C1439" s="22"/>
      <c r="D1439" s="22"/>
      <c r="E1439" s="22"/>
      <c r="F1439" s="28"/>
      <c r="G1439" s="28"/>
      <c r="H1439" s="28"/>
      <c r="I1439" s="28"/>
      <c r="J1439" s="28"/>
      <c r="K1439" s="28"/>
      <c r="L1439" s="28"/>
      <c r="M1439" s="22"/>
      <c r="N1439" s="22"/>
      <c r="O1439" s="22"/>
      <c r="P1439" s="22"/>
      <c r="Q1439" s="22"/>
      <c r="R1439" s="28"/>
      <c r="S1439" s="28"/>
      <c r="T1439" s="28"/>
      <c r="U1439" s="28"/>
      <c r="V1439" s="22"/>
      <c r="W1439" s="22"/>
      <c r="X1439" s="22"/>
      <c r="Y1439" s="22"/>
      <c r="Z1439" s="22"/>
      <c r="AA1439" s="22"/>
      <c r="AB1439" s="22"/>
      <c r="AC1439" s="22"/>
      <c r="AD1439" s="22"/>
    </row>
    <row r="1440" spans="1:30" ht="15.75" customHeight="1" x14ac:dyDescent="0.15">
      <c r="A1440" s="22"/>
      <c r="B1440" s="22"/>
      <c r="C1440" s="22"/>
      <c r="D1440" s="22"/>
      <c r="E1440" s="22"/>
      <c r="F1440" s="28"/>
      <c r="G1440" s="28"/>
      <c r="H1440" s="28"/>
      <c r="I1440" s="28"/>
      <c r="J1440" s="28"/>
      <c r="K1440" s="28"/>
      <c r="L1440" s="28"/>
      <c r="M1440" s="22"/>
      <c r="N1440" s="22"/>
      <c r="O1440" s="22"/>
      <c r="P1440" s="22"/>
      <c r="Q1440" s="22"/>
      <c r="R1440" s="28"/>
      <c r="S1440" s="28"/>
      <c r="T1440" s="28"/>
      <c r="U1440" s="28"/>
      <c r="V1440" s="22"/>
      <c r="W1440" s="22"/>
      <c r="X1440" s="22"/>
      <c r="Y1440" s="22"/>
      <c r="Z1440" s="22"/>
      <c r="AA1440" s="22"/>
      <c r="AB1440" s="22"/>
      <c r="AC1440" s="22"/>
      <c r="AD1440" s="22"/>
    </row>
    <row r="1441" spans="1:30" ht="15.75" customHeight="1" x14ac:dyDescent="0.15">
      <c r="A1441" s="22"/>
      <c r="B1441" s="22"/>
      <c r="C1441" s="22"/>
      <c r="D1441" s="22"/>
      <c r="E1441" s="22"/>
      <c r="F1441" s="28"/>
      <c r="G1441" s="28"/>
      <c r="H1441" s="28"/>
      <c r="I1441" s="28"/>
      <c r="J1441" s="28"/>
      <c r="K1441" s="28"/>
      <c r="L1441" s="28"/>
      <c r="M1441" s="22"/>
      <c r="N1441" s="22"/>
      <c r="O1441" s="22"/>
      <c r="P1441" s="22"/>
      <c r="Q1441" s="22"/>
      <c r="R1441" s="28"/>
      <c r="S1441" s="28"/>
      <c r="T1441" s="28"/>
      <c r="U1441" s="28"/>
      <c r="V1441" s="22"/>
      <c r="W1441" s="22"/>
      <c r="X1441" s="22"/>
      <c r="Y1441" s="22"/>
      <c r="Z1441" s="22"/>
      <c r="AA1441" s="22"/>
      <c r="AB1441" s="22"/>
      <c r="AC1441" s="22"/>
      <c r="AD1441" s="22"/>
    </row>
    <row r="1442" spans="1:30" ht="15.75" customHeight="1" x14ac:dyDescent="0.15">
      <c r="A1442" s="22"/>
      <c r="B1442" s="22"/>
      <c r="C1442" s="22"/>
      <c r="D1442" s="22"/>
      <c r="E1442" s="22"/>
      <c r="F1442" s="28"/>
      <c r="G1442" s="28"/>
      <c r="H1442" s="28"/>
      <c r="I1442" s="28"/>
      <c r="J1442" s="28"/>
      <c r="K1442" s="28"/>
      <c r="L1442" s="28"/>
      <c r="M1442" s="22"/>
      <c r="N1442" s="22"/>
      <c r="O1442" s="22"/>
      <c r="P1442" s="22"/>
      <c r="Q1442" s="22"/>
      <c r="R1442" s="28"/>
      <c r="S1442" s="28"/>
      <c r="T1442" s="28"/>
      <c r="U1442" s="28"/>
      <c r="V1442" s="22"/>
      <c r="W1442" s="22"/>
      <c r="X1442" s="22"/>
      <c r="Y1442" s="22"/>
      <c r="Z1442" s="22"/>
      <c r="AA1442" s="22"/>
      <c r="AB1442" s="22"/>
      <c r="AC1442" s="22"/>
      <c r="AD1442" s="22"/>
    </row>
    <row r="1443" spans="1:30" ht="15.75" customHeight="1" x14ac:dyDescent="0.15">
      <c r="A1443" s="22"/>
      <c r="B1443" s="22"/>
      <c r="C1443" s="22"/>
      <c r="D1443" s="22"/>
      <c r="E1443" s="22"/>
      <c r="F1443" s="28"/>
      <c r="G1443" s="28"/>
      <c r="H1443" s="28"/>
      <c r="I1443" s="28"/>
      <c r="J1443" s="28"/>
      <c r="K1443" s="28"/>
      <c r="L1443" s="28"/>
      <c r="M1443" s="22"/>
      <c r="N1443" s="22"/>
      <c r="O1443" s="22"/>
      <c r="P1443" s="22"/>
      <c r="Q1443" s="22"/>
      <c r="R1443" s="28"/>
      <c r="S1443" s="28"/>
      <c r="T1443" s="28"/>
      <c r="U1443" s="28"/>
      <c r="V1443" s="22"/>
      <c r="W1443" s="22"/>
      <c r="X1443" s="22"/>
      <c r="Y1443" s="22"/>
      <c r="Z1443" s="22"/>
      <c r="AA1443" s="22"/>
      <c r="AB1443" s="22"/>
      <c r="AC1443" s="22"/>
      <c r="AD1443" s="22"/>
    </row>
    <row r="1444" spans="1:30" ht="15.75" customHeight="1" x14ac:dyDescent="0.15">
      <c r="A1444" s="22"/>
      <c r="B1444" s="22"/>
      <c r="C1444" s="22"/>
      <c r="D1444" s="22"/>
      <c r="E1444" s="22"/>
      <c r="F1444" s="28"/>
      <c r="G1444" s="28"/>
      <c r="H1444" s="28"/>
      <c r="I1444" s="28"/>
      <c r="J1444" s="28"/>
      <c r="K1444" s="28"/>
      <c r="L1444" s="28"/>
      <c r="M1444" s="22"/>
      <c r="N1444" s="22"/>
      <c r="O1444" s="22"/>
      <c r="P1444" s="22"/>
      <c r="Q1444" s="22"/>
      <c r="R1444" s="28"/>
      <c r="S1444" s="28"/>
      <c r="T1444" s="28"/>
      <c r="U1444" s="28"/>
      <c r="V1444" s="22"/>
      <c r="W1444" s="22"/>
      <c r="X1444" s="22"/>
      <c r="Y1444" s="22"/>
      <c r="Z1444" s="22"/>
      <c r="AA1444" s="22"/>
      <c r="AB1444" s="22"/>
      <c r="AC1444" s="22"/>
      <c r="AD1444" s="22"/>
    </row>
    <row r="1445" spans="1:30" ht="15.75" customHeight="1" x14ac:dyDescent="0.15">
      <c r="A1445" s="22"/>
      <c r="B1445" s="22"/>
      <c r="C1445" s="22"/>
      <c r="D1445" s="22"/>
      <c r="E1445" s="22"/>
      <c r="F1445" s="28"/>
      <c r="G1445" s="28"/>
      <c r="H1445" s="28"/>
      <c r="I1445" s="28"/>
      <c r="J1445" s="28"/>
      <c r="K1445" s="28"/>
      <c r="L1445" s="28"/>
      <c r="M1445" s="22"/>
      <c r="N1445" s="22"/>
      <c r="O1445" s="22"/>
      <c r="P1445" s="22"/>
      <c r="Q1445" s="22"/>
      <c r="R1445" s="28"/>
      <c r="S1445" s="28"/>
      <c r="T1445" s="28"/>
      <c r="U1445" s="28"/>
      <c r="V1445" s="22"/>
      <c r="W1445" s="22"/>
      <c r="X1445" s="22"/>
      <c r="Y1445" s="22"/>
      <c r="Z1445" s="22"/>
      <c r="AA1445" s="22"/>
      <c r="AB1445" s="22"/>
      <c r="AC1445" s="22"/>
      <c r="AD1445" s="22"/>
    </row>
    <row r="1446" spans="1:30" ht="15.75" customHeight="1" x14ac:dyDescent="0.15">
      <c r="A1446" s="22"/>
      <c r="B1446" s="22"/>
      <c r="C1446" s="22"/>
      <c r="D1446" s="22"/>
      <c r="E1446" s="22"/>
      <c r="F1446" s="28"/>
      <c r="G1446" s="28"/>
      <c r="H1446" s="28"/>
      <c r="I1446" s="28"/>
      <c r="J1446" s="28"/>
      <c r="K1446" s="28"/>
      <c r="L1446" s="28"/>
      <c r="M1446" s="22"/>
      <c r="N1446" s="22"/>
      <c r="O1446" s="22"/>
      <c r="P1446" s="22"/>
      <c r="Q1446" s="22"/>
      <c r="R1446" s="28"/>
      <c r="S1446" s="28"/>
      <c r="T1446" s="28"/>
      <c r="U1446" s="28"/>
      <c r="V1446" s="22"/>
      <c r="W1446" s="22"/>
      <c r="X1446" s="22"/>
      <c r="Y1446" s="22"/>
      <c r="Z1446" s="22"/>
      <c r="AA1446" s="22"/>
      <c r="AB1446" s="22"/>
      <c r="AC1446" s="22"/>
      <c r="AD1446" s="22"/>
    </row>
    <row r="1447" spans="1:30" ht="15.75" customHeight="1" x14ac:dyDescent="0.15">
      <c r="A1447" s="22"/>
      <c r="B1447" s="22"/>
      <c r="C1447" s="22"/>
      <c r="D1447" s="22"/>
      <c r="E1447" s="22"/>
      <c r="F1447" s="28"/>
      <c r="G1447" s="28"/>
      <c r="H1447" s="28"/>
      <c r="I1447" s="28"/>
      <c r="J1447" s="28"/>
      <c r="K1447" s="28"/>
      <c r="L1447" s="28"/>
      <c r="M1447" s="22"/>
      <c r="N1447" s="22"/>
      <c r="O1447" s="22"/>
      <c r="P1447" s="22"/>
      <c r="Q1447" s="22"/>
      <c r="R1447" s="28"/>
      <c r="S1447" s="28"/>
      <c r="T1447" s="28"/>
      <c r="U1447" s="28"/>
      <c r="V1447" s="22"/>
      <c r="W1447" s="22"/>
      <c r="X1447" s="22"/>
      <c r="Y1447" s="22"/>
      <c r="Z1447" s="22"/>
      <c r="AA1447" s="22"/>
      <c r="AB1447" s="22"/>
      <c r="AC1447" s="22"/>
      <c r="AD1447" s="22"/>
    </row>
    <row r="1448" spans="1:30" ht="15.75" customHeight="1" x14ac:dyDescent="0.15">
      <c r="A1448" s="22"/>
      <c r="B1448" s="22"/>
      <c r="C1448" s="22"/>
      <c r="D1448" s="22"/>
      <c r="E1448" s="22"/>
      <c r="F1448" s="28"/>
      <c r="G1448" s="28"/>
      <c r="H1448" s="28"/>
      <c r="I1448" s="28"/>
      <c r="J1448" s="28"/>
      <c r="K1448" s="28"/>
      <c r="L1448" s="28"/>
      <c r="M1448" s="22"/>
      <c r="N1448" s="22"/>
      <c r="O1448" s="22"/>
      <c r="P1448" s="22"/>
      <c r="Q1448" s="22"/>
      <c r="R1448" s="28"/>
      <c r="S1448" s="28"/>
      <c r="T1448" s="28"/>
      <c r="U1448" s="28"/>
      <c r="V1448" s="22"/>
      <c r="W1448" s="22"/>
      <c r="X1448" s="22"/>
      <c r="Y1448" s="22"/>
      <c r="Z1448" s="22"/>
      <c r="AA1448" s="22"/>
      <c r="AB1448" s="22"/>
      <c r="AC1448" s="22"/>
      <c r="AD1448" s="22"/>
    </row>
    <row r="1449" spans="1:30" ht="15.75" customHeight="1" x14ac:dyDescent="0.15">
      <c r="A1449" s="22"/>
      <c r="B1449" s="22"/>
      <c r="C1449" s="22"/>
      <c r="D1449" s="22"/>
      <c r="E1449" s="22"/>
      <c r="F1449" s="28"/>
      <c r="G1449" s="28"/>
      <c r="H1449" s="28"/>
      <c r="I1449" s="28"/>
      <c r="J1449" s="28"/>
      <c r="K1449" s="28"/>
      <c r="L1449" s="28"/>
      <c r="M1449" s="22"/>
      <c r="N1449" s="22"/>
      <c r="O1449" s="22"/>
      <c r="P1449" s="22"/>
      <c r="Q1449" s="22"/>
      <c r="R1449" s="28"/>
      <c r="S1449" s="28"/>
      <c r="T1449" s="28"/>
      <c r="U1449" s="28"/>
      <c r="V1449" s="22"/>
      <c r="W1449" s="22"/>
      <c r="X1449" s="22"/>
      <c r="Y1449" s="22"/>
      <c r="Z1449" s="22"/>
      <c r="AA1449" s="22"/>
      <c r="AB1449" s="22"/>
      <c r="AC1449" s="22"/>
      <c r="AD1449" s="22"/>
    </row>
    <row r="1450" spans="1:30" ht="15.75" customHeight="1" x14ac:dyDescent="0.15">
      <c r="A1450" s="22"/>
      <c r="B1450" s="22"/>
      <c r="C1450" s="22"/>
      <c r="D1450" s="22"/>
      <c r="E1450" s="22"/>
      <c r="F1450" s="28"/>
      <c r="G1450" s="28"/>
      <c r="H1450" s="28"/>
      <c r="I1450" s="28"/>
      <c r="J1450" s="28"/>
      <c r="K1450" s="28"/>
      <c r="L1450" s="28"/>
      <c r="M1450" s="22"/>
      <c r="N1450" s="22"/>
      <c r="O1450" s="22"/>
      <c r="P1450" s="22"/>
      <c r="Q1450" s="22"/>
      <c r="R1450" s="28"/>
      <c r="S1450" s="28"/>
      <c r="T1450" s="28"/>
      <c r="U1450" s="28"/>
      <c r="V1450" s="22"/>
      <c r="W1450" s="22"/>
      <c r="X1450" s="22"/>
      <c r="Y1450" s="22"/>
      <c r="Z1450" s="22"/>
      <c r="AA1450" s="22"/>
      <c r="AB1450" s="22"/>
      <c r="AC1450" s="22"/>
      <c r="AD1450" s="22"/>
    </row>
    <row r="1451" spans="1:30" ht="15.75" customHeight="1" x14ac:dyDescent="0.15">
      <c r="A1451" s="22"/>
      <c r="B1451" s="22"/>
      <c r="C1451" s="22"/>
      <c r="D1451" s="22"/>
      <c r="E1451" s="22"/>
      <c r="F1451" s="28"/>
      <c r="G1451" s="28"/>
      <c r="H1451" s="28"/>
      <c r="I1451" s="28"/>
      <c r="J1451" s="28"/>
      <c r="K1451" s="28"/>
      <c r="L1451" s="28"/>
      <c r="M1451" s="22"/>
      <c r="N1451" s="22"/>
      <c r="O1451" s="22"/>
      <c r="P1451" s="22"/>
      <c r="Q1451" s="22"/>
      <c r="R1451" s="28"/>
      <c r="S1451" s="28"/>
      <c r="T1451" s="28"/>
      <c r="U1451" s="28"/>
      <c r="V1451" s="22"/>
      <c r="W1451" s="22"/>
      <c r="X1451" s="22"/>
      <c r="Y1451" s="22"/>
      <c r="Z1451" s="22"/>
      <c r="AA1451" s="22"/>
      <c r="AB1451" s="22"/>
      <c r="AC1451" s="22"/>
      <c r="AD1451" s="22"/>
    </row>
    <row r="1452" spans="1:30" ht="15.75" customHeight="1" x14ac:dyDescent="0.15">
      <c r="A1452" s="22"/>
      <c r="B1452" s="22"/>
      <c r="C1452" s="22"/>
      <c r="D1452" s="22"/>
      <c r="E1452" s="22"/>
      <c r="F1452" s="28"/>
      <c r="G1452" s="28"/>
      <c r="H1452" s="28"/>
      <c r="I1452" s="28"/>
      <c r="J1452" s="28"/>
      <c r="K1452" s="28"/>
      <c r="L1452" s="28"/>
      <c r="M1452" s="22"/>
      <c r="N1452" s="22"/>
      <c r="O1452" s="22"/>
      <c r="P1452" s="22"/>
      <c r="Q1452" s="22"/>
      <c r="R1452" s="28"/>
      <c r="S1452" s="28"/>
      <c r="T1452" s="28"/>
      <c r="U1452" s="28"/>
      <c r="V1452" s="22"/>
      <c r="W1452" s="22"/>
      <c r="X1452" s="22"/>
      <c r="Y1452" s="22"/>
      <c r="Z1452" s="22"/>
      <c r="AA1452" s="22"/>
      <c r="AB1452" s="22"/>
      <c r="AC1452" s="22"/>
      <c r="AD1452" s="22"/>
    </row>
    <row r="1453" spans="1:30" ht="15.75" customHeight="1" x14ac:dyDescent="0.15">
      <c r="A1453" s="22"/>
      <c r="B1453" s="22"/>
      <c r="C1453" s="22"/>
      <c r="D1453" s="22"/>
      <c r="E1453" s="22"/>
      <c r="F1453" s="28"/>
      <c r="G1453" s="28"/>
      <c r="H1453" s="28"/>
      <c r="I1453" s="28"/>
      <c r="J1453" s="28"/>
      <c r="K1453" s="28"/>
      <c r="L1453" s="28"/>
      <c r="M1453" s="22"/>
      <c r="N1453" s="22"/>
      <c r="O1453" s="22"/>
      <c r="P1453" s="22"/>
      <c r="Q1453" s="22"/>
      <c r="R1453" s="28"/>
      <c r="S1453" s="28"/>
      <c r="T1453" s="28"/>
      <c r="U1453" s="28"/>
      <c r="V1453" s="22"/>
      <c r="W1453" s="22"/>
      <c r="X1453" s="22"/>
      <c r="Y1453" s="22"/>
      <c r="Z1453" s="22"/>
      <c r="AA1453" s="22"/>
      <c r="AB1453" s="22"/>
      <c r="AC1453" s="22"/>
      <c r="AD1453" s="22"/>
    </row>
    <row r="1454" spans="1:30" ht="15.75" customHeight="1" x14ac:dyDescent="0.15">
      <c r="A1454" s="22"/>
      <c r="B1454" s="22"/>
      <c r="C1454" s="22"/>
      <c r="D1454" s="22"/>
      <c r="E1454" s="22"/>
      <c r="F1454" s="28"/>
      <c r="G1454" s="28"/>
      <c r="H1454" s="28"/>
      <c r="I1454" s="28"/>
      <c r="J1454" s="28"/>
      <c r="K1454" s="28"/>
      <c r="L1454" s="28"/>
      <c r="M1454" s="22"/>
      <c r="N1454" s="22"/>
      <c r="O1454" s="22"/>
      <c r="P1454" s="22"/>
      <c r="Q1454" s="22"/>
      <c r="R1454" s="28"/>
      <c r="S1454" s="28"/>
      <c r="T1454" s="28"/>
      <c r="U1454" s="28"/>
      <c r="V1454" s="22"/>
      <c r="W1454" s="22"/>
      <c r="X1454" s="22"/>
      <c r="Y1454" s="22"/>
      <c r="Z1454" s="22"/>
      <c r="AA1454" s="22"/>
      <c r="AB1454" s="22"/>
      <c r="AC1454" s="22"/>
      <c r="AD1454" s="22"/>
    </row>
    <row r="1455" spans="1:30" ht="15.75" customHeight="1" x14ac:dyDescent="0.15">
      <c r="A1455" s="22"/>
      <c r="B1455" s="22"/>
      <c r="C1455" s="22"/>
      <c r="D1455" s="22"/>
      <c r="E1455" s="22"/>
      <c r="F1455" s="28"/>
      <c r="G1455" s="28"/>
      <c r="H1455" s="28"/>
      <c r="I1455" s="28"/>
      <c r="J1455" s="28"/>
      <c r="K1455" s="28"/>
      <c r="L1455" s="28"/>
      <c r="M1455" s="22"/>
      <c r="N1455" s="22"/>
      <c r="O1455" s="22"/>
      <c r="P1455" s="22"/>
      <c r="Q1455" s="22"/>
      <c r="R1455" s="28"/>
      <c r="S1455" s="28"/>
      <c r="T1455" s="28"/>
      <c r="U1455" s="28"/>
      <c r="V1455" s="22"/>
      <c r="W1455" s="22"/>
      <c r="X1455" s="22"/>
      <c r="Y1455" s="22"/>
      <c r="Z1455" s="22"/>
      <c r="AA1455" s="22"/>
      <c r="AB1455" s="22"/>
      <c r="AC1455" s="22"/>
      <c r="AD1455" s="22"/>
    </row>
    <row r="1456" spans="1:30" ht="15.75" customHeight="1" x14ac:dyDescent="0.15">
      <c r="A1456" s="22"/>
      <c r="B1456" s="22"/>
      <c r="C1456" s="22"/>
      <c r="D1456" s="22"/>
      <c r="E1456" s="22"/>
      <c r="F1456" s="28"/>
      <c r="G1456" s="28"/>
      <c r="H1456" s="28"/>
      <c r="I1456" s="28"/>
      <c r="J1456" s="28"/>
      <c r="K1456" s="28"/>
      <c r="L1456" s="28"/>
      <c r="M1456" s="22"/>
      <c r="N1456" s="22"/>
      <c r="O1456" s="22"/>
      <c r="P1456" s="22"/>
      <c r="Q1456" s="22"/>
      <c r="R1456" s="28"/>
      <c r="S1456" s="28"/>
      <c r="T1456" s="28"/>
      <c r="U1456" s="28"/>
      <c r="V1456" s="22"/>
      <c r="W1456" s="22"/>
      <c r="X1456" s="22"/>
      <c r="Y1456" s="22"/>
      <c r="Z1456" s="22"/>
      <c r="AA1456" s="22"/>
      <c r="AB1456" s="22"/>
      <c r="AC1456" s="22"/>
      <c r="AD1456" s="22"/>
    </row>
    <row r="1457" spans="1:30" ht="15.75" customHeight="1" x14ac:dyDescent="0.15">
      <c r="A1457" s="22"/>
      <c r="B1457" s="22"/>
      <c r="C1457" s="22"/>
      <c r="D1457" s="22"/>
      <c r="E1457" s="22"/>
      <c r="F1457" s="28"/>
      <c r="G1457" s="28"/>
      <c r="H1457" s="28"/>
      <c r="I1457" s="28"/>
      <c r="J1457" s="28"/>
      <c r="K1457" s="28"/>
      <c r="L1457" s="28"/>
      <c r="M1457" s="22"/>
      <c r="N1457" s="22"/>
      <c r="O1457" s="22"/>
      <c r="P1457" s="22"/>
      <c r="Q1457" s="22"/>
      <c r="R1457" s="28"/>
      <c r="S1457" s="28"/>
      <c r="T1457" s="28"/>
      <c r="U1457" s="28"/>
      <c r="V1457" s="22"/>
      <c r="W1457" s="22"/>
      <c r="X1457" s="22"/>
      <c r="Y1457" s="22"/>
      <c r="Z1457" s="22"/>
      <c r="AA1457" s="22"/>
      <c r="AB1457" s="22"/>
      <c r="AC1457" s="22"/>
      <c r="AD1457" s="22"/>
    </row>
    <row r="1458" spans="1:30" ht="15.75" customHeight="1" x14ac:dyDescent="0.15">
      <c r="A1458" s="22"/>
      <c r="B1458" s="22"/>
      <c r="C1458" s="22"/>
      <c r="D1458" s="22"/>
      <c r="E1458" s="22"/>
      <c r="F1458" s="28"/>
      <c r="G1458" s="28"/>
      <c r="H1458" s="28"/>
      <c r="I1458" s="28"/>
      <c r="J1458" s="28"/>
      <c r="K1458" s="28"/>
      <c r="L1458" s="28"/>
      <c r="M1458" s="22"/>
      <c r="N1458" s="22"/>
      <c r="O1458" s="22"/>
      <c r="P1458" s="22"/>
      <c r="Q1458" s="22"/>
      <c r="R1458" s="28"/>
      <c r="S1458" s="28"/>
      <c r="T1458" s="28"/>
      <c r="U1458" s="28"/>
      <c r="V1458" s="22"/>
      <c r="W1458" s="22"/>
      <c r="X1458" s="22"/>
      <c r="Y1458" s="22"/>
      <c r="Z1458" s="22"/>
      <c r="AA1458" s="22"/>
      <c r="AB1458" s="22"/>
      <c r="AC1458" s="22"/>
      <c r="AD1458" s="22"/>
    </row>
    <row r="1459" spans="1:30" ht="15.75" customHeight="1" x14ac:dyDescent="0.15">
      <c r="A1459" s="22"/>
      <c r="B1459" s="22"/>
      <c r="C1459" s="22"/>
      <c r="D1459" s="22"/>
      <c r="E1459" s="22"/>
      <c r="F1459" s="28"/>
      <c r="G1459" s="28"/>
      <c r="H1459" s="28"/>
      <c r="I1459" s="28"/>
      <c r="J1459" s="28"/>
      <c r="K1459" s="28"/>
      <c r="L1459" s="28"/>
      <c r="M1459" s="22"/>
      <c r="N1459" s="22"/>
      <c r="O1459" s="22"/>
      <c r="P1459" s="22"/>
      <c r="Q1459" s="22"/>
      <c r="R1459" s="28"/>
      <c r="S1459" s="28"/>
      <c r="T1459" s="28"/>
      <c r="U1459" s="28"/>
      <c r="V1459" s="22"/>
      <c r="W1459" s="22"/>
      <c r="X1459" s="22"/>
      <c r="Y1459" s="22"/>
      <c r="Z1459" s="22"/>
      <c r="AA1459" s="22"/>
      <c r="AB1459" s="22"/>
      <c r="AC1459" s="22"/>
      <c r="AD1459" s="22"/>
    </row>
    <row r="1460" spans="1:30" ht="15.75" customHeight="1" x14ac:dyDescent="0.15">
      <c r="A1460" s="22"/>
      <c r="B1460" s="22"/>
      <c r="C1460" s="22"/>
      <c r="D1460" s="22"/>
      <c r="E1460" s="22"/>
      <c r="F1460" s="28"/>
      <c r="G1460" s="28"/>
      <c r="H1460" s="28"/>
      <c r="I1460" s="28"/>
      <c r="J1460" s="28"/>
      <c r="K1460" s="28"/>
      <c r="L1460" s="28"/>
      <c r="M1460" s="22"/>
      <c r="N1460" s="22"/>
      <c r="O1460" s="22"/>
      <c r="P1460" s="22"/>
      <c r="Q1460" s="22"/>
      <c r="R1460" s="28"/>
      <c r="S1460" s="28"/>
      <c r="T1460" s="28"/>
      <c r="U1460" s="28"/>
      <c r="V1460" s="22"/>
      <c r="W1460" s="22"/>
      <c r="X1460" s="22"/>
      <c r="Y1460" s="22"/>
      <c r="Z1460" s="22"/>
      <c r="AA1460" s="22"/>
      <c r="AB1460" s="22"/>
      <c r="AC1460" s="22"/>
      <c r="AD1460" s="22"/>
    </row>
    <row r="1461" spans="1:30" ht="15.75" customHeight="1" x14ac:dyDescent="0.15">
      <c r="A1461" s="22"/>
      <c r="B1461" s="22"/>
      <c r="C1461" s="22"/>
      <c r="D1461" s="22"/>
      <c r="E1461" s="22"/>
      <c r="F1461" s="28"/>
      <c r="G1461" s="28"/>
      <c r="H1461" s="28"/>
      <c r="I1461" s="28"/>
      <c r="J1461" s="28"/>
      <c r="K1461" s="28"/>
      <c r="L1461" s="28"/>
      <c r="M1461" s="22"/>
      <c r="N1461" s="22"/>
      <c r="O1461" s="22"/>
      <c r="P1461" s="22"/>
      <c r="Q1461" s="22"/>
      <c r="R1461" s="28"/>
      <c r="S1461" s="28"/>
      <c r="T1461" s="28"/>
      <c r="U1461" s="28"/>
      <c r="V1461" s="22"/>
      <c r="W1461" s="22"/>
      <c r="X1461" s="22"/>
      <c r="Y1461" s="22"/>
      <c r="Z1461" s="22"/>
      <c r="AA1461" s="22"/>
      <c r="AB1461" s="22"/>
      <c r="AC1461" s="22"/>
      <c r="AD1461" s="22"/>
    </row>
    <row r="1462" spans="1:30" ht="15.75" customHeight="1" x14ac:dyDescent="0.15">
      <c r="A1462" s="22"/>
      <c r="B1462" s="22"/>
      <c r="C1462" s="22"/>
      <c r="D1462" s="22"/>
      <c r="E1462" s="22"/>
      <c r="F1462" s="28"/>
      <c r="G1462" s="28"/>
      <c r="H1462" s="28"/>
      <c r="I1462" s="28"/>
      <c r="J1462" s="28"/>
      <c r="K1462" s="28"/>
      <c r="L1462" s="28"/>
      <c r="M1462" s="22"/>
      <c r="N1462" s="22"/>
      <c r="O1462" s="22"/>
      <c r="P1462" s="22"/>
      <c r="Q1462" s="22"/>
      <c r="R1462" s="28"/>
      <c r="S1462" s="28"/>
      <c r="T1462" s="28"/>
      <c r="U1462" s="28"/>
      <c r="V1462" s="22"/>
      <c r="W1462" s="22"/>
      <c r="X1462" s="22"/>
      <c r="Y1462" s="22"/>
      <c r="Z1462" s="22"/>
      <c r="AA1462" s="22"/>
      <c r="AB1462" s="22"/>
      <c r="AC1462" s="22"/>
      <c r="AD1462" s="22"/>
    </row>
    <row r="1463" spans="1:30" ht="15.75" customHeight="1" x14ac:dyDescent="0.15">
      <c r="A1463" s="22"/>
      <c r="B1463" s="22"/>
      <c r="C1463" s="22"/>
      <c r="D1463" s="22"/>
      <c r="E1463" s="22"/>
      <c r="F1463" s="28"/>
      <c r="G1463" s="28"/>
      <c r="H1463" s="28"/>
      <c r="I1463" s="28"/>
      <c r="J1463" s="28"/>
      <c r="K1463" s="28"/>
      <c r="L1463" s="28"/>
      <c r="M1463" s="22"/>
      <c r="N1463" s="22"/>
      <c r="O1463" s="22"/>
      <c r="P1463" s="22"/>
      <c r="Q1463" s="22"/>
      <c r="R1463" s="28"/>
      <c r="S1463" s="28"/>
      <c r="T1463" s="28"/>
      <c r="U1463" s="28"/>
      <c r="V1463" s="22"/>
      <c r="W1463" s="22"/>
      <c r="X1463" s="22"/>
      <c r="Y1463" s="22"/>
      <c r="Z1463" s="22"/>
      <c r="AA1463" s="22"/>
      <c r="AB1463" s="22"/>
      <c r="AC1463" s="22"/>
      <c r="AD1463" s="22"/>
    </row>
    <row r="1464" spans="1:30" ht="15.75" customHeight="1" x14ac:dyDescent="0.15">
      <c r="A1464" s="22"/>
      <c r="B1464" s="22"/>
      <c r="C1464" s="22"/>
      <c r="D1464" s="22"/>
      <c r="E1464" s="22"/>
      <c r="F1464" s="28"/>
      <c r="G1464" s="28"/>
      <c r="H1464" s="28"/>
      <c r="I1464" s="28"/>
      <c r="J1464" s="28"/>
      <c r="K1464" s="28"/>
      <c r="L1464" s="28"/>
      <c r="M1464" s="22"/>
      <c r="N1464" s="22"/>
      <c r="O1464" s="22"/>
      <c r="P1464" s="22"/>
      <c r="Q1464" s="22"/>
      <c r="R1464" s="28"/>
      <c r="S1464" s="28"/>
      <c r="T1464" s="28"/>
      <c r="U1464" s="28"/>
      <c r="V1464" s="22"/>
      <c r="W1464" s="22"/>
      <c r="X1464" s="22"/>
      <c r="Y1464" s="22"/>
      <c r="Z1464" s="22"/>
      <c r="AA1464" s="22"/>
      <c r="AB1464" s="22"/>
      <c r="AC1464" s="22"/>
      <c r="AD1464" s="22"/>
    </row>
    <row r="1465" spans="1:30" ht="15.75" customHeight="1" x14ac:dyDescent="0.15">
      <c r="A1465" s="22"/>
      <c r="B1465" s="22"/>
      <c r="C1465" s="22"/>
      <c r="D1465" s="22"/>
      <c r="E1465" s="22"/>
      <c r="F1465" s="28"/>
      <c r="G1465" s="28"/>
      <c r="H1465" s="28"/>
      <c r="I1465" s="28"/>
      <c r="J1465" s="28"/>
      <c r="K1465" s="28"/>
      <c r="L1465" s="28"/>
      <c r="M1465" s="22"/>
      <c r="N1465" s="22"/>
      <c r="O1465" s="22"/>
      <c r="P1465" s="22"/>
      <c r="Q1465" s="22"/>
      <c r="R1465" s="28"/>
      <c r="S1465" s="28"/>
      <c r="T1465" s="28"/>
      <c r="U1465" s="28"/>
      <c r="V1465" s="22"/>
      <c r="W1465" s="22"/>
      <c r="X1465" s="22"/>
      <c r="Y1465" s="22"/>
      <c r="Z1465" s="22"/>
      <c r="AA1465" s="22"/>
      <c r="AB1465" s="22"/>
      <c r="AC1465" s="22"/>
      <c r="AD1465" s="22"/>
    </row>
    <row r="1466" spans="1:30" ht="15.75" customHeight="1" x14ac:dyDescent="0.15">
      <c r="A1466" s="22"/>
      <c r="B1466" s="22"/>
      <c r="C1466" s="22"/>
      <c r="D1466" s="22"/>
      <c r="E1466" s="22"/>
      <c r="F1466" s="28"/>
      <c r="G1466" s="28"/>
      <c r="H1466" s="28"/>
      <c r="I1466" s="28"/>
      <c r="J1466" s="28"/>
      <c r="K1466" s="28"/>
      <c r="L1466" s="28"/>
      <c r="M1466" s="22"/>
      <c r="N1466" s="22"/>
      <c r="O1466" s="22"/>
      <c r="P1466" s="22"/>
      <c r="Q1466" s="22"/>
      <c r="R1466" s="28"/>
      <c r="S1466" s="28"/>
      <c r="T1466" s="28"/>
      <c r="U1466" s="28"/>
      <c r="V1466" s="22"/>
      <c r="W1466" s="22"/>
      <c r="X1466" s="22"/>
      <c r="Y1466" s="22"/>
      <c r="Z1466" s="22"/>
      <c r="AA1466" s="22"/>
      <c r="AB1466" s="22"/>
      <c r="AC1466" s="22"/>
      <c r="AD1466" s="22"/>
    </row>
    <row r="1467" spans="1:30" ht="15.75" customHeight="1" x14ac:dyDescent="0.15">
      <c r="A1467" s="22"/>
      <c r="B1467" s="22"/>
      <c r="C1467" s="22"/>
      <c r="D1467" s="22"/>
      <c r="E1467" s="22"/>
      <c r="F1467" s="28"/>
      <c r="G1467" s="28"/>
      <c r="H1467" s="28"/>
      <c r="I1467" s="28"/>
      <c r="J1467" s="28"/>
      <c r="K1467" s="28"/>
      <c r="L1467" s="28"/>
      <c r="M1467" s="22"/>
      <c r="N1467" s="22"/>
      <c r="O1467" s="22"/>
      <c r="P1467" s="22"/>
      <c r="Q1467" s="22"/>
      <c r="R1467" s="28"/>
      <c r="S1467" s="28"/>
      <c r="T1467" s="28"/>
      <c r="U1467" s="28"/>
      <c r="V1467" s="22"/>
      <c r="W1467" s="22"/>
      <c r="X1467" s="22"/>
      <c r="Y1467" s="22"/>
      <c r="Z1467" s="22"/>
      <c r="AA1467" s="22"/>
      <c r="AB1467" s="22"/>
      <c r="AC1467" s="22"/>
      <c r="AD1467" s="22"/>
    </row>
    <row r="1468" spans="1:30" ht="15.75" customHeight="1" x14ac:dyDescent="0.15">
      <c r="A1468" s="22"/>
      <c r="B1468" s="22"/>
      <c r="C1468" s="22"/>
      <c r="D1468" s="22"/>
      <c r="E1468" s="22"/>
      <c r="F1468" s="28"/>
      <c r="G1468" s="28"/>
      <c r="H1468" s="28"/>
      <c r="I1468" s="28"/>
      <c r="J1468" s="28"/>
      <c r="K1468" s="28"/>
      <c r="L1468" s="28"/>
      <c r="M1468" s="22"/>
      <c r="N1468" s="22"/>
      <c r="O1468" s="22"/>
      <c r="P1468" s="22"/>
      <c r="Q1468" s="22"/>
      <c r="R1468" s="28"/>
      <c r="S1468" s="28"/>
      <c r="T1468" s="28"/>
      <c r="U1468" s="28"/>
      <c r="V1468" s="22"/>
      <c r="W1468" s="22"/>
      <c r="X1468" s="22"/>
      <c r="Y1468" s="22"/>
      <c r="Z1468" s="22"/>
      <c r="AA1468" s="22"/>
      <c r="AB1468" s="22"/>
      <c r="AC1468" s="22"/>
      <c r="AD1468" s="22"/>
    </row>
    <row r="1469" spans="1:30" ht="15.75" customHeight="1" x14ac:dyDescent="0.15">
      <c r="A1469" s="22"/>
      <c r="B1469" s="22"/>
      <c r="C1469" s="22"/>
      <c r="D1469" s="22"/>
      <c r="E1469" s="22"/>
      <c r="F1469" s="28"/>
      <c r="G1469" s="28"/>
      <c r="H1469" s="28"/>
      <c r="I1469" s="28"/>
      <c r="J1469" s="28"/>
      <c r="K1469" s="28"/>
      <c r="L1469" s="28"/>
      <c r="M1469" s="22"/>
      <c r="N1469" s="22"/>
      <c r="O1469" s="22"/>
      <c r="P1469" s="22"/>
      <c r="Q1469" s="22"/>
      <c r="R1469" s="28"/>
      <c r="S1469" s="28"/>
      <c r="T1469" s="28"/>
      <c r="U1469" s="28"/>
      <c r="V1469" s="22"/>
      <c r="W1469" s="22"/>
      <c r="X1469" s="22"/>
      <c r="Y1469" s="22"/>
      <c r="Z1469" s="22"/>
      <c r="AA1469" s="22"/>
      <c r="AB1469" s="22"/>
      <c r="AC1469" s="22"/>
      <c r="AD1469" s="22"/>
    </row>
    <row r="1470" spans="1:30" ht="15.75" customHeight="1" x14ac:dyDescent="0.15">
      <c r="A1470" s="22"/>
      <c r="B1470" s="22"/>
      <c r="C1470" s="22"/>
      <c r="D1470" s="22"/>
      <c r="E1470" s="22"/>
      <c r="F1470" s="28"/>
      <c r="G1470" s="28"/>
      <c r="H1470" s="28"/>
      <c r="I1470" s="28"/>
      <c r="J1470" s="28"/>
      <c r="K1470" s="28"/>
      <c r="L1470" s="28"/>
      <c r="M1470" s="22"/>
      <c r="N1470" s="22"/>
      <c r="O1470" s="22"/>
      <c r="P1470" s="22"/>
      <c r="Q1470" s="22"/>
      <c r="R1470" s="28"/>
      <c r="S1470" s="28"/>
      <c r="T1470" s="28"/>
      <c r="U1470" s="28"/>
      <c r="V1470" s="22"/>
      <c r="W1470" s="22"/>
      <c r="X1470" s="22"/>
      <c r="Y1470" s="22"/>
      <c r="Z1470" s="22"/>
      <c r="AA1470" s="22"/>
      <c r="AB1470" s="22"/>
      <c r="AC1470" s="22"/>
      <c r="AD1470" s="22"/>
    </row>
    <row r="1471" spans="1:30" ht="15.75" customHeight="1" x14ac:dyDescent="0.15">
      <c r="A1471" s="22"/>
      <c r="B1471" s="22"/>
      <c r="C1471" s="22"/>
      <c r="D1471" s="22"/>
      <c r="E1471" s="22"/>
      <c r="F1471" s="28"/>
      <c r="G1471" s="28"/>
      <c r="H1471" s="28"/>
      <c r="I1471" s="28"/>
      <c r="J1471" s="28"/>
      <c r="K1471" s="28"/>
      <c r="L1471" s="28"/>
      <c r="M1471" s="22"/>
      <c r="N1471" s="22"/>
      <c r="O1471" s="22"/>
      <c r="P1471" s="22"/>
      <c r="Q1471" s="22"/>
      <c r="R1471" s="28"/>
      <c r="S1471" s="28"/>
      <c r="T1471" s="28"/>
      <c r="U1471" s="28"/>
      <c r="V1471" s="22"/>
      <c r="W1471" s="22"/>
      <c r="X1471" s="22"/>
      <c r="Y1471" s="22"/>
      <c r="Z1471" s="22"/>
      <c r="AA1471" s="22"/>
      <c r="AB1471" s="22"/>
      <c r="AC1471" s="22"/>
      <c r="AD1471" s="22"/>
    </row>
    <row r="1472" spans="1:30" ht="15.75" customHeight="1" x14ac:dyDescent="0.15">
      <c r="A1472" s="22"/>
      <c r="B1472" s="22"/>
      <c r="C1472" s="22"/>
      <c r="D1472" s="22"/>
      <c r="E1472" s="22"/>
      <c r="F1472" s="28"/>
      <c r="G1472" s="28"/>
      <c r="H1472" s="28"/>
      <c r="I1472" s="28"/>
      <c r="J1472" s="28"/>
      <c r="K1472" s="28"/>
      <c r="L1472" s="28"/>
      <c r="M1472" s="22"/>
      <c r="N1472" s="22"/>
      <c r="O1472" s="22"/>
      <c r="P1472" s="22"/>
      <c r="Q1472" s="22"/>
      <c r="R1472" s="28"/>
      <c r="S1472" s="28"/>
      <c r="T1472" s="28"/>
      <c r="U1472" s="28"/>
      <c r="V1472" s="22"/>
      <c r="W1472" s="22"/>
      <c r="X1472" s="22"/>
      <c r="Y1472" s="22"/>
      <c r="Z1472" s="22"/>
      <c r="AA1472" s="22"/>
      <c r="AB1472" s="22"/>
      <c r="AC1472" s="22"/>
      <c r="AD1472" s="22"/>
    </row>
    <row r="1473" spans="1:30" ht="15.75" customHeight="1" x14ac:dyDescent="0.15">
      <c r="A1473" s="22"/>
      <c r="B1473" s="22"/>
      <c r="C1473" s="22"/>
      <c r="D1473" s="22"/>
      <c r="E1473" s="22"/>
      <c r="F1473" s="28"/>
      <c r="G1473" s="28"/>
      <c r="H1473" s="28"/>
      <c r="I1473" s="28"/>
      <c r="J1473" s="28"/>
      <c r="K1473" s="28"/>
      <c r="L1473" s="28"/>
      <c r="M1473" s="22"/>
      <c r="N1473" s="22"/>
      <c r="O1473" s="22"/>
      <c r="P1473" s="22"/>
      <c r="Q1473" s="22"/>
      <c r="R1473" s="28"/>
      <c r="S1473" s="28"/>
      <c r="T1473" s="28"/>
      <c r="U1473" s="28"/>
      <c r="V1473" s="22"/>
      <c r="W1473" s="22"/>
      <c r="X1473" s="22"/>
      <c r="Y1473" s="22"/>
      <c r="Z1473" s="22"/>
      <c r="AA1473" s="22"/>
      <c r="AB1473" s="22"/>
      <c r="AC1473" s="22"/>
      <c r="AD1473" s="22"/>
    </row>
    <row r="1474" spans="1:30" ht="15.75" customHeight="1" x14ac:dyDescent="0.15">
      <c r="A1474" s="22"/>
      <c r="B1474" s="22"/>
      <c r="C1474" s="22"/>
      <c r="D1474" s="22"/>
      <c r="E1474" s="22"/>
      <c r="F1474" s="28"/>
      <c r="G1474" s="28"/>
      <c r="H1474" s="28"/>
      <c r="I1474" s="28"/>
      <c r="J1474" s="28"/>
      <c r="K1474" s="28"/>
      <c r="L1474" s="28"/>
      <c r="M1474" s="22"/>
      <c r="N1474" s="22"/>
      <c r="O1474" s="22"/>
      <c r="P1474" s="22"/>
      <c r="Q1474" s="22"/>
      <c r="R1474" s="28"/>
      <c r="S1474" s="28"/>
      <c r="T1474" s="28"/>
      <c r="U1474" s="28"/>
      <c r="V1474" s="22"/>
      <c r="W1474" s="22"/>
      <c r="X1474" s="22"/>
      <c r="Y1474" s="22"/>
      <c r="Z1474" s="22"/>
      <c r="AA1474" s="22"/>
      <c r="AB1474" s="22"/>
      <c r="AC1474" s="22"/>
      <c r="AD1474" s="22"/>
    </row>
    <row r="1475" spans="1:30" ht="15.75" customHeight="1" x14ac:dyDescent="0.15">
      <c r="A1475" s="22"/>
      <c r="B1475" s="22"/>
      <c r="C1475" s="22"/>
      <c r="D1475" s="22"/>
      <c r="E1475" s="22"/>
      <c r="F1475" s="28"/>
      <c r="G1475" s="28"/>
      <c r="H1475" s="28"/>
      <c r="I1475" s="28"/>
      <c r="J1475" s="28"/>
      <c r="K1475" s="28"/>
      <c r="L1475" s="28"/>
      <c r="M1475" s="22"/>
      <c r="N1475" s="22"/>
      <c r="O1475" s="22"/>
      <c r="P1475" s="22"/>
      <c r="Q1475" s="22"/>
      <c r="R1475" s="28"/>
      <c r="S1475" s="28"/>
      <c r="T1475" s="28"/>
      <c r="U1475" s="28"/>
      <c r="V1475" s="22"/>
      <c r="W1475" s="22"/>
      <c r="X1475" s="22"/>
      <c r="Y1475" s="22"/>
      <c r="Z1475" s="22"/>
      <c r="AA1475" s="22"/>
      <c r="AB1475" s="22"/>
      <c r="AC1475" s="22"/>
      <c r="AD1475" s="22"/>
    </row>
    <row r="1476" spans="1:30" ht="15.75" customHeight="1" x14ac:dyDescent="0.15">
      <c r="A1476" s="22"/>
      <c r="B1476" s="22"/>
      <c r="C1476" s="22"/>
      <c r="D1476" s="22"/>
      <c r="E1476" s="22"/>
      <c r="F1476" s="28"/>
      <c r="G1476" s="28"/>
      <c r="H1476" s="28"/>
      <c r="I1476" s="28"/>
      <c r="J1476" s="28"/>
      <c r="K1476" s="28"/>
      <c r="L1476" s="28"/>
      <c r="M1476" s="22"/>
      <c r="N1476" s="22"/>
      <c r="O1476" s="22"/>
      <c r="P1476" s="22"/>
      <c r="Q1476" s="22"/>
      <c r="R1476" s="28"/>
      <c r="S1476" s="28"/>
      <c r="T1476" s="28"/>
      <c r="U1476" s="28"/>
      <c r="V1476" s="22"/>
      <c r="W1476" s="22"/>
      <c r="X1476" s="22"/>
      <c r="Y1476" s="22"/>
      <c r="Z1476" s="22"/>
      <c r="AA1476" s="22"/>
      <c r="AB1476" s="22"/>
      <c r="AC1476" s="22"/>
      <c r="AD1476" s="22"/>
    </row>
    <row r="1477" spans="1:30" ht="15.75" customHeight="1" x14ac:dyDescent="0.15">
      <c r="A1477" s="22"/>
      <c r="B1477" s="22"/>
      <c r="C1477" s="22"/>
      <c r="D1477" s="22"/>
      <c r="E1477" s="22"/>
      <c r="F1477" s="28"/>
      <c r="G1477" s="28"/>
      <c r="H1477" s="28"/>
      <c r="I1477" s="28"/>
      <c r="J1477" s="28"/>
      <c r="K1477" s="28"/>
      <c r="L1477" s="28"/>
      <c r="M1477" s="22"/>
      <c r="N1477" s="22"/>
      <c r="O1477" s="22"/>
      <c r="P1477" s="22"/>
      <c r="Q1477" s="22"/>
      <c r="R1477" s="28"/>
      <c r="S1477" s="28"/>
      <c r="T1477" s="28"/>
      <c r="U1477" s="28"/>
      <c r="V1477" s="22"/>
      <c r="W1477" s="22"/>
      <c r="X1477" s="22"/>
      <c r="Y1477" s="22"/>
      <c r="Z1477" s="22"/>
      <c r="AA1477" s="22"/>
      <c r="AB1477" s="22"/>
      <c r="AC1477" s="22"/>
      <c r="AD1477" s="22"/>
    </row>
    <row r="1478" spans="1:30" ht="15.75" customHeight="1" x14ac:dyDescent="0.15">
      <c r="A1478" s="22"/>
      <c r="B1478" s="22"/>
      <c r="C1478" s="22"/>
      <c r="D1478" s="22"/>
      <c r="E1478" s="22"/>
      <c r="F1478" s="28"/>
      <c r="G1478" s="28"/>
      <c r="H1478" s="28"/>
      <c r="I1478" s="28"/>
      <c r="J1478" s="28"/>
      <c r="K1478" s="28"/>
      <c r="L1478" s="28"/>
      <c r="M1478" s="22"/>
      <c r="N1478" s="22"/>
      <c r="O1478" s="22"/>
      <c r="P1478" s="22"/>
      <c r="Q1478" s="22"/>
      <c r="R1478" s="28"/>
      <c r="S1478" s="28"/>
      <c r="T1478" s="28"/>
      <c r="U1478" s="28"/>
      <c r="V1478" s="22"/>
      <c r="W1478" s="22"/>
      <c r="X1478" s="22"/>
      <c r="Y1478" s="22"/>
      <c r="Z1478" s="22"/>
      <c r="AA1478" s="22"/>
      <c r="AB1478" s="22"/>
      <c r="AC1478" s="22"/>
      <c r="AD1478" s="22"/>
    </row>
    <row r="1479" spans="1:30" ht="15.75" customHeight="1" x14ac:dyDescent="0.15">
      <c r="A1479" s="22"/>
      <c r="B1479" s="22"/>
      <c r="C1479" s="22"/>
      <c r="D1479" s="22"/>
      <c r="E1479" s="22"/>
      <c r="F1479" s="28"/>
      <c r="G1479" s="28"/>
      <c r="H1479" s="28"/>
      <c r="I1479" s="28"/>
      <c r="J1479" s="28"/>
      <c r="K1479" s="28"/>
      <c r="L1479" s="28"/>
      <c r="M1479" s="22"/>
      <c r="N1479" s="22"/>
      <c r="O1479" s="22"/>
      <c r="P1479" s="22"/>
      <c r="Q1479" s="22"/>
      <c r="R1479" s="28"/>
      <c r="S1479" s="28"/>
      <c r="T1479" s="28"/>
      <c r="U1479" s="28"/>
      <c r="V1479" s="22"/>
      <c r="W1479" s="22"/>
      <c r="X1479" s="22"/>
      <c r="Y1479" s="22"/>
      <c r="Z1479" s="22"/>
      <c r="AA1479" s="22"/>
      <c r="AB1479" s="22"/>
      <c r="AC1479" s="22"/>
      <c r="AD1479" s="22"/>
    </row>
    <row r="1480" spans="1:30" ht="15.75" customHeight="1" x14ac:dyDescent="0.15">
      <c r="A1480" s="22"/>
      <c r="B1480" s="22"/>
      <c r="C1480" s="22"/>
      <c r="D1480" s="22"/>
      <c r="E1480" s="22"/>
      <c r="F1480" s="28"/>
      <c r="G1480" s="28"/>
      <c r="H1480" s="28"/>
      <c r="I1480" s="28"/>
      <c r="J1480" s="28"/>
      <c r="K1480" s="28"/>
      <c r="L1480" s="28"/>
      <c r="M1480" s="22"/>
      <c r="N1480" s="22"/>
      <c r="O1480" s="22"/>
      <c r="P1480" s="22"/>
      <c r="Q1480" s="22"/>
      <c r="R1480" s="28"/>
      <c r="S1480" s="28"/>
      <c r="T1480" s="28"/>
      <c r="U1480" s="28"/>
      <c r="V1480" s="22"/>
      <c r="W1480" s="22"/>
      <c r="X1480" s="22"/>
      <c r="Y1480" s="22"/>
      <c r="Z1480" s="22"/>
      <c r="AA1480" s="22"/>
      <c r="AB1480" s="22"/>
      <c r="AC1480" s="22"/>
      <c r="AD1480" s="22"/>
    </row>
    <row r="1481" spans="1:30" ht="15.75" customHeight="1" x14ac:dyDescent="0.15">
      <c r="A1481" s="22"/>
      <c r="B1481" s="22"/>
      <c r="C1481" s="22"/>
      <c r="D1481" s="22"/>
      <c r="E1481" s="22"/>
      <c r="F1481" s="28"/>
      <c r="G1481" s="28"/>
      <c r="H1481" s="28"/>
      <c r="I1481" s="28"/>
      <c r="J1481" s="28"/>
      <c r="K1481" s="28"/>
      <c r="L1481" s="28"/>
      <c r="M1481" s="22"/>
      <c r="N1481" s="22"/>
      <c r="O1481" s="22"/>
      <c r="P1481" s="22"/>
      <c r="Q1481" s="22"/>
      <c r="R1481" s="28"/>
      <c r="S1481" s="28"/>
      <c r="T1481" s="28"/>
      <c r="U1481" s="28"/>
      <c r="V1481" s="22"/>
      <c r="W1481" s="22"/>
      <c r="X1481" s="22"/>
      <c r="Y1481" s="22"/>
      <c r="Z1481" s="22"/>
      <c r="AA1481" s="22"/>
      <c r="AB1481" s="22"/>
      <c r="AC1481" s="22"/>
      <c r="AD1481" s="22"/>
    </row>
    <row r="1482" spans="1:30" ht="15.75" customHeight="1" x14ac:dyDescent="0.15">
      <c r="A1482" s="22"/>
      <c r="B1482" s="22"/>
      <c r="C1482" s="22"/>
      <c r="D1482" s="22"/>
      <c r="E1482" s="22"/>
      <c r="F1482" s="28"/>
      <c r="G1482" s="28"/>
      <c r="H1482" s="28"/>
      <c r="I1482" s="28"/>
      <c r="J1482" s="28"/>
      <c r="K1482" s="28"/>
      <c r="L1482" s="28"/>
      <c r="M1482" s="22"/>
      <c r="N1482" s="22"/>
      <c r="O1482" s="22"/>
      <c r="P1482" s="22"/>
      <c r="Q1482" s="22"/>
      <c r="R1482" s="28"/>
      <c r="S1482" s="28"/>
      <c r="T1482" s="28"/>
      <c r="U1482" s="28"/>
      <c r="V1482" s="22"/>
      <c r="W1482" s="22"/>
      <c r="X1482" s="22"/>
      <c r="Y1482" s="22"/>
      <c r="Z1482" s="22"/>
      <c r="AA1482" s="22"/>
      <c r="AB1482" s="22"/>
      <c r="AC1482" s="22"/>
      <c r="AD1482" s="22"/>
    </row>
    <row r="1483" spans="1:30" ht="15.75" customHeight="1" x14ac:dyDescent="0.15">
      <c r="A1483" s="22"/>
      <c r="B1483" s="22"/>
      <c r="C1483" s="22"/>
      <c r="D1483" s="22"/>
      <c r="E1483" s="22"/>
      <c r="F1483" s="28"/>
      <c r="G1483" s="28"/>
      <c r="H1483" s="28"/>
      <c r="I1483" s="28"/>
      <c r="J1483" s="28"/>
      <c r="K1483" s="28"/>
      <c r="L1483" s="28"/>
      <c r="M1483" s="22"/>
      <c r="N1483" s="22"/>
      <c r="O1483" s="22"/>
      <c r="P1483" s="22"/>
      <c r="Q1483" s="22"/>
      <c r="R1483" s="28"/>
      <c r="S1483" s="28"/>
      <c r="T1483" s="28"/>
      <c r="U1483" s="28"/>
      <c r="V1483" s="22"/>
      <c r="W1483" s="22"/>
      <c r="X1483" s="22"/>
      <c r="Y1483" s="22"/>
      <c r="Z1483" s="22"/>
      <c r="AA1483" s="22"/>
      <c r="AB1483" s="22"/>
      <c r="AC1483" s="22"/>
      <c r="AD1483" s="22"/>
    </row>
    <row r="1484" spans="1:30" ht="15.75" customHeight="1" x14ac:dyDescent="0.15">
      <c r="A1484" s="22"/>
      <c r="B1484" s="22"/>
      <c r="C1484" s="22"/>
      <c r="D1484" s="22"/>
      <c r="E1484" s="22"/>
      <c r="F1484" s="28"/>
      <c r="G1484" s="28"/>
      <c r="H1484" s="28"/>
      <c r="I1484" s="28"/>
      <c r="J1484" s="28"/>
      <c r="K1484" s="28"/>
      <c r="L1484" s="28"/>
      <c r="M1484" s="22"/>
      <c r="N1484" s="22"/>
      <c r="O1484" s="22"/>
      <c r="P1484" s="22"/>
      <c r="Q1484" s="22"/>
      <c r="R1484" s="28"/>
      <c r="S1484" s="28"/>
      <c r="T1484" s="28"/>
      <c r="U1484" s="28"/>
      <c r="V1484" s="22"/>
      <c r="W1484" s="22"/>
      <c r="X1484" s="22"/>
      <c r="Y1484" s="22"/>
      <c r="Z1484" s="22"/>
      <c r="AA1484" s="22"/>
      <c r="AB1484" s="22"/>
      <c r="AC1484" s="22"/>
      <c r="AD1484" s="22"/>
    </row>
    <row r="1485" spans="1:30" ht="15.75" customHeight="1" x14ac:dyDescent="0.15">
      <c r="A1485" s="22"/>
      <c r="B1485" s="22"/>
      <c r="C1485" s="22"/>
      <c r="D1485" s="22"/>
      <c r="E1485" s="22"/>
      <c r="F1485" s="28"/>
      <c r="G1485" s="28"/>
      <c r="H1485" s="28"/>
      <c r="I1485" s="28"/>
      <c r="J1485" s="28"/>
      <c r="K1485" s="28"/>
      <c r="L1485" s="28"/>
      <c r="M1485" s="22"/>
      <c r="N1485" s="22"/>
      <c r="O1485" s="22"/>
      <c r="P1485" s="22"/>
      <c r="Q1485" s="22"/>
      <c r="R1485" s="28"/>
      <c r="S1485" s="28"/>
      <c r="T1485" s="28"/>
      <c r="U1485" s="28"/>
      <c r="V1485" s="22"/>
      <c r="W1485" s="22"/>
      <c r="X1485" s="22"/>
      <c r="Y1485" s="22"/>
      <c r="Z1485" s="22"/>
      <c r="AA1485" s="22"/>
      <c r="AB1485" s="22"/>
      <c r="AC1485" s="22"/>
      <c r="AD1485" s="22"/>
    </row>
    <row r="1486" spans="1:30" ht="15.75" customHeight="1" x14ac:dyDescent="0.15">
      <c r="A1486" s="22"/>
      <c r="B1486" s="22"/>
      <c r="C1486" s="22"/>
      <c r="D1486" s="22"/>
      <c r="E1486" s="22"/>
      <c r="F1486" s="28"/>
      <c r="G1486" s="28"/>
      <c r="H1486" s="28"/>
      <c r="I1486" s="28"/>
      <c r="J1486" s="28"/>
      <c r="K1486" s="28"/>
      <c r="L1486" s="28"/>
      <c r="M1486" s="22"/>
      <c r="N1486" s="22"/>
      <c r="O1486" s="22"/>
      <c r="P1486" s="22"/>
      <c r="Q1486" s="22"/>
      <c r="R1486" s="28"/>
      <c r="S1486" s="28"/>
      <c r="T1486" s="28"/>
      <c r="U1486" s="28"/>
      <c r="V1486" s="22"/>
      <c r="W1486" s="22"/>
      <c r="X1486" s="22"/>
      <c r="Y1486" s="22"/>
      <c r="Z1486" s="22"/>
      <c r="AA1486" s="22"/>
      <c r="AB1486" s="22"/>
      <c r="AC1486" s="22"/>
      <c r="AD1486" s="22"/>
    </row>
    <row r="1487" spans="1:30" ht="15.75" customHeight="1" x14ac:dyDescent="0.15">
      <c r="A1487" s="22"/>
      <c r="B1487" s="22"/>
      <c r="C1487" s="22"/>
      <c r="D1487" s="22"/>
      <c r="E1487" s="22"/>
      <c r="F1487" s="28"/>
      <c r="G1487" s="28"/>
      <c r="H1487" s="28"/>
      <c r="I1487" s="28"/>
      <c r="J1487" s="28"/>
      <c r="K1487" s="28"/>
      <c r="L1487" s="28"/>
      <c r="M1487" s="22"/>
      <c r="N1487" s="22"/>
      <c r="O1487" s="22"/>
      <c r="P1487" s="22"/>
      <c r="Q1487" s="22"/>
      <c r="R1487" s="28"/>
      <c r="S1487" s="28"/>
      <c r="T1487" s="28"/>
      <c r="U1487" s="28"/>
      <c r="V1487" s="22"/>
      <c r="W1487" s="22"/>
      <c r="X1487" s="22"/>
      <c r="Y1487" s="22"/>
      <c r="Z1487" s="22"/>
      <c r="AA1487" s="22"/>
      <c r="AB1487" s="22"/>
      <c r="AC1487" s="22"/>
      <c r="AD1487" s="22"/>
    </row>
    <row r="1488" spans="1:30" ht="15.75" customHeight="1" x14ac:dyDescent="0.15">
      <c r="A1488" s="22"/>
      <c r="B1488" s="22"/>
      <c r="C1488" s="22"/>
      <c r="D1488" s="22"/>
      <c r="E1488" s="22"/>
      <c r="F1488" s="28"/>
      <c r="G1488" s="28"/>
      <c r="H1488" s="28"/>
      <c r="I1488" s="28"/>
      <c r="J1488" s="28"/>
      <c r="K1488" s="28"/>
      <c r="L1488" s="28"/>
      <c r="M1488" s="22"/>
      <c r="N1488" s="22"/>
      <c r="O1488" s="22"/>
      <c r="P1488" s="22"/>
      <c r="Q1488" s="22"/>
      <c r="R1488" s="28"/>
      <c r="S1488" s="28"/>
      <c r="T1488" s="28"/>
      <c r="U1488" s="28"/>
      <c r="V1488" s="22"/>
      <c r="W1488" s="22"/>
      <c r="X1488" s="22"/>
      <c r="Y1488" s="22"/>
      <c r="Z1488" s="22"/>
      <c r="AA1488" s="22"/>
      <c r="AB1488" s="22"/>
      <c r="AC1488" s="22"/>
      <c r="AD1488" s="22"/>
    </row>
    <row r="1489" spans="1:30" ht="15.75" customHeight="1" x14ac:dyDescent="0.15">
      <c r="A1489" s="22"/>
      <c r="B1489" s="22"/>
      <c r="C1489" s="22"/>
      <c r="D1489" s="22"/>
      <c r="E1489" s="22"/>
      <c r="F1489" s="28"/>
      <c r="G1489" s="28"/>
      <c r="H1489" s="28"/>
      <c r="I1489" s="28"/>
      <c r="J1489" s="28"/>
      <c r="K1489" s="28"/>
      <c r="L1489" s="28"/>
      <c r="M1489" s="22"/>
      <c r="N1489" s="22"/>
      <c r="O1489" s="22"/>
      <c r="P1489" s="22"/>
      <c r="Q1489" s="22"/>
      <c r="R1489" s="28"/>
      <c r="S1489" s="28"/>
      <c r="T1489" s="28"/>
      <c r="U1489" s="28"/>
      <c r="V1489" s="22"/>
      <c r="W1489" s="22"/>
      <c r="X1489" s="22"/>
      <c r="Y1489" s="22"/>
      <c r="Z1489" s="22"/>
      <c r="AA1489" s="22"/>
      <c r="AB1489" s="22"/>
      <c r="AC1489" s="22"/>
      <c r="AD1489" s="22"/>
    </row>
    <row r="1490" spans="1:30" ht="15.75" customHeight="1" x14ac:dyDescent="0.15">
      <c r="A1490" s="22"/>
      <c r="B1490" s="22"/>
      <c r="C1490" s="22"/>
      <c r="D1490" s="22"/>
      <c r="E1490" s="22"/>
      <c r="F1490" s="28"/>
      <c r="G1490" s="28"/>
      <c r="H1490" s="28"/>
      <c r="I1490" s="28"/>
      <c r="J1490" s="28"/>
      <c r="K1490" s="28"/>
      <c r="L1490" s="28"/>
      <c r="M1490" s="22"/>
      <c r="N1490" s="22"/>
      <c r="O1490" s="22"/>
      <c r="P1490" s="22"/>
      <c r="Q1490" s="22"/>
      <c r="R1490" s="28"/>
      <c r="S1490" s="28"/>
      <c r="T1490" s="28"/>
      <c r="U1490" s="28"/>
      <c r="V1490" s="22"/>
      <c r="W1490" s="22"/>
      <c r="X1490" s="22"/>
      <c r="Y1490" s="22"/>
      <c r="Z1490" s="22"/>
      <c r="AA1490" s="22"/>
      <c r="AB1490" s="22"/>
      <c r="AC1490" s="22"/>
      <c r="AD1490" s="22"/>
    </row>
    <row r="1491" spans="1:30" ht="15.75" customHeight="1" x14ac:dyDescent="0.15">
      <c r="A1491" s="22"/>
      <c r="B1491" s="22"/>
      <c r="C1491" s="22"/>
      <c r="D1491" s="22"/>
      <c r="E1491" s="22"/>
      <c r="F1491" s="28"/>
      <c r="G1491" s="28"/>
      <c r="H1491" s="28"/>
      <c r="I1491" s="28"/>
      <c r="J1491" s="28"/>
      <c r="K1491" s="28"/>
      <c r="L1491" s="28"/>
      <c r="M1491" s="22"/>
      <c r="N1491" s="22"/>
      <c r="O1491" s="22"/>
      <c r="P1491" s="22"/>
      <c r="Q1491" s="22"/>
      <c r="R1491" s="28"/>
      <c r="S1491" s="28"/>
      <c r="T1491" s="28"/>
      <c r="U1491" s="28"/>
      <c r="V1491" s="22"/>
      <c r="W1491" s="22"/>
      <c r="X1491" s="22"/>
      <c r="Y1491" s="22"/>
      <c r="Z1491" s="22"/>
      <c r="AA1491" s="22"/>
      <c r="AB1491" s="22"/>
      <c r="AC1491" s="22"/>
      <c r="AD1491" s="22"/>
    </row>
    <row r="1492" spans="1:30" ht="15.75" customHeight="1" x14ac:dyDescent="0.15">
      <c r="A1492" s="22"/>
      <c r="B1492" s="22"/>
      <c r="C1492" s="22"/>
      <c r="D1492" s="22"/>
      <c r="E1492" s="22"/>
      <c r="F1492" s="28"/>
      <c r="G1492" s="28"/>
      <c r="H1492" s="28"/>
      <c r="I1492" s="28"/>
      <c r="J1492" s="28"/>
      <c r="K1492" s="28"/>
      <c r="L1492" s="28"/>
      <c r="M1492" s="22"/>
      <c r="N1492" s="22"/>
      <c r="O1492" s="22"/>
      <c r="P1492" s="22"/>
      <c r="Q1492" s="22"/>
      <c r="R1492" s="28"/>
      <c r="S1492" s="28"/>
      <c r="T1492" s="28"/>
      <c r="U1492" s="28"/>
      <c r="V1492" s="22"/>
      <c r="W1492" s="22"/>
      <c r="X1492" s="22"/>
      <c r="Y1492" s="22"/>
      <c r="Z1492" s="22"/>
      <c r="AA1492" s="22"/>
      <c r="AB1492" s="22"/>
      <c r="AC1492" s="22"/>
      <c r="AD1492" s="22"/>
    </row>
    <row r="1493" spans="1:30" ht="15.75" customHeight="1" x14ac:dyDescent="0.15">
      <c r="A1493" s="22"/>
      <c r="B1493" s="22"/>
      <c r="C1493" s="22"/>
      <c r="D1493" s="22"/>
      <c r="E1493" s="22"/>
      <c r="F1493" s="28"/>
      <c r="G1493" s="28"/>
      <c r="H1493" s="28"/>
      <c r="I1493" s="28"/>
      <c r="J1493" s="28"/>
      <c r="K1493" s="28"/>
      <c r="L1493" s="28"/>
      <c r="M1493" s="22"/>
      <c r="N1493" s="22"/>
      <c r="O1493" s="22"/>
      <c r="P1493" s="22"/>
      <c r="Q1493" s="22"/>
      <c r="R1493" s="28"/>
      <c r="S1493" s="28"/>
      <c r="T1493" s="28"/>
      <c r="U1493" s="28"/>
      <c r="V1493" s="22"/>
      <c r="W1493" s="22"/>
      <c r="X1493" s="22"/>
      <c r="Y1493" s="22"/>
      <c r="Z1493" s="22"/>
      <c r="AA1493" s="22"/>
      <c r="AB1493" s="22"/>
      <c r="AC1493" s="22"/>
      <c r="AD1493" s="22"/>
    </row>
    <row r="1494" spans="1:30" ht="15.75" customHeight="1" x14ac:dyDescent="0.15">
      <c r="A1494" s="22"/>
      <c r="B1494" s="22"/>
      <c r="C1494" s="22"/>
      <c r="D1494" s="22"/>
      <c r="E1494" s="22"/>
      <c r="F1494" s="28"/>
      <c r="G1494" s="28"/>
      <c r="H1494" s="28"/>
      <c r="I1494" s="28"/>
      <c r="J1494" s="28"/>
      <c r="K1494" s="28"/>
      <c r="L1494" s="28"/>
      <c r="M1494" s="22"/>
      <c r="N1494" s="22"/>
      <c r="O1494" s="22"/>
      <c r="P1494" s="22"/>
      <c r="Q1494" s="22"/>
      <c r="R1494" s="28"/>
      <c r="S1494" s="28"/>
      <c r="T1494" s="28"/>
      <c r="U1494" s="28"/>
      <c r="V1494" s="22"/>
      <c r="W1494" s="22"/>
      <c r="X1494" s="22"/>
      <c r="Y1494" s="22"/>
      <c r="Z1494" s="22"/>
      <c r="AA1494" s="22"/>
      <c r="AB1494" s="22"/>
      <c r="AC1494" s="22"/>
      <c r="AD1494" s="22"/>
    </row>
    <row r="1495" spans="1:30" ht="15.75" customHeight="1" x14ac:dyDescent="0.15">
      <c r="A1495" s="22"/>
      <c r="B1495" s="22"/>
      <c r="C1495" s="22"/>
      <c r="D1495" s="22"/>
      <c r="E1495" s="22"/>
      <c r="F1495" s="28"/>
      <c r="G1495" s="28"/>
      <c r="H1495" s="28"/>
      <c r="I1495" s="28"/>
      <c r="J1495" s="28"/>
      <c r="K1495" s="28"/>
      <c r="L1495" s="28"/>
      <c r="M1495" s="22"/>
      <c r="N1495" s="22"/>
      <c r="O1495" s="22"/>
      <c r="P1495" s="22"/>
      <c r="Q1495" s="22"/>
      <c r="R1495" s="28"/>
      <c r="S1495" s="28"/>
      <c r="T1495" s="28"/>
      <c r="U1495" s="28"/>
      <c r="V1495" s="22"/>
      <c r="W1495" s="22"/>
      <c r="X1495" s="22"/>
      <c r="Y1495" s="22"/>
      <c r="Z1495" s="22"/>
      <c r="AA1495" s="22"/>
      <c r="AB1495" s="22"/>
      <c r="AC1495" s="22"/>
      <c r="AD1495" s="22"/>
    </row>
    <row r="1496" spans="1:30" ht="15.75" customHeight="1" x14ac:dyDescent="0.15">
      <c r="A1496" s="22"/>
      <c r="B1496" s="22"/>
      <c r="C1496" s="22"/>
      <c r="D1496" s="22"/>
      <c r="E1496" s="22"/>
      <c r="F1496" s="28"/>
      <c r="G1496" s="28"/>
      <c r="H1496" s="28"/>
      <c r="I1496" s="28"/>
      <c r="J1496" s="28"/>
      <c r="K1496" s="28"/>
      <c r="L1496" s="28"/>
      <c r="M1496" s="22"/>
      <c r="N1496" s="22"/>
      <c r="O1496" s="22"/>
      <c r="P1496" s="22"/>
      <c r="Q1496" s="22"/>
      <c r="R1496" s="28"/>
      <c r="S1496" s="28"/>
      <c r="T1496" s="28"/>
      <c r="U1496" s="28"/>
      <c r="V1496" s="22"/>
      <c r="W1496" s="22"/>
      <c r="X1496" s="22"/>
      <c r="Y1496" s="22"/>
      <c r="Z1496" s="22"/>
      <c r="AA1496" s="22"/>
      <c r="AB1496" s="22"/>
      <c r="AC1496" s="22"/>
      <c r="AD1496" s="22"/>
    </row>
    <row r="1497" spans="1:30" ht="15.75" customHeight="1" x14ac:dyDescent="0.15">
      <c r="A1497" s="22"/>
      <c r="B1497" s="22"/>
      <c r="C1497" s="22"/>
      <c r="D1497" s="22"/>
      <c r="E1497" s="22"/>
      <c r="F1497" s="28"/>
      <c r="G1497" s="28"/>
      <c r="H1497" s="28"/>
      <c r="I1497" s="28"/>
      <c r="J1497" s="28"/>
      <c r="K1497" s="28"/>
      <c r="L1497" s="28"/>
      <c r="M1497" s="22"/>
      <c r="N1497" s="22"/>
      <c r="O1497" s="22"/>
      <c r="P1497" s="22"/>
      <c r="Q1497" s="22"/>
      <c r="R1497" s="28"/>
      <c r="S1497" s="28"/>
      <c r="T1497" s="28"/>
      <c r="U1497" s="28"/>
      <c r="V1497" s="22"/>
      <c r="W1497" s="22"/>
      <c r="X1497" s="22"/>
      <c r="Y1497" s="22"/>
      <c r="Z1497" s="22"/>
      <c r="AA1497" s="22"/>
      <c r="AB1497" s="22"/>
      <c r="AC1497" s="22"/>
      <c r="AD1497" s="22"/>
    </row>
    <row r="1498" spans="1:30" ht="15.75" customHeight="1" x14ac:dyDescent="0.15">
      <c r="A1498" s="22"/>
      <c r="B1498" s="22"/>
      <c r="C1498" s="22"/>
      <c r="D1498" s="22"/>
      <c r="E1498" s="22"/>
      <c r="F1498" s="28"/>
      <c r="G1498" s="28"/>
      <c r="H1498" s="28"/>
      <c r="I1498" s="28"/>
      <c r="J1498" s="28"/>
      <c r="K1498" s="28"/>
      <c r="L1498" s="28"/>
      <c r="M1498" s="22"/>
      <c r="N1498" s="22"/>
      <c r="O1498" s="22"/>
      <c r="P1498" s="22"/>
      <c r="Q1498" s="22"/>
      <c r="R1498" s="28"/>
      <c r="S1498" s="28"/>
      <c r="T1498" s="28"/>
      <c r="U1498" s="28"/>
      <c r="V1498" s="22"/>
      <c r="W1498" s="22"/>
      <c r="X1498" s="22"/>
      <c r="Y1498" s="22"/>
      <c r="Z1498" s="22"/>
      <c r="AA1498" s="22"/>
      <c r="AB1498" s="22"/>
      <c r="AC1498" s="22"/>
      <c r="AD1498" s="22"/>
    </row>
    <row r="1499" spans="1:30" ht="15.75" customHeight="1" x14ac:dyDescent="0.15">
      <c r="A1499" s="22"/>
      <c r="B1499" s="22"/>
      <c r="C1499" s="22"/>
      <c r="D1499" s="22"/>
      <c r="E1499" s="22"/>
      <c r="F1499" s="28"/>
      <c r="G1499" s="28"/>
      <c r="H1499" s="28"/>
      <c r="I1499" s="28"/>
      <c r="J1499" s="28"/>
      <c r="K1499" s="28"/>
      <c r="L1499" s="28"/>
      <c r="M1499" s="22"/>
      <c r="N1499" s="22"/>
      <c r="O1499" s="22"/>
      <c r="P1499" s="22"/>
      <c r="Q1499" s="22"/>
      <c r="R1499" s="28"/>
      <c r="S1499" s="28"/>
      <c r="T1499" s="28"/>
      <c r="U1499" s="28"/>
      <c r="V1499" s="22"/>
      <c r="W1499" s="22"/>
      <c r="X1499" s="22"/>
      <c r="Y1499" s="22"/>
      <c r="Z1499" s="22"/>
      <c r="AA1499" s="22"/>
      <c r="AB1499" s="22"/>
      <c r="AC1499" s="22"/>
      <c r="AD1499" s="22"/>
    </row>
    <row r="1500" spans="1:30" ht="15.75" customHeight="1" x14ac:dyDescent="0.15">
      <c r="A1500" s="22"/>
      <c r="B1500" s="22"/>
      <c r="C1500" s="22"/>
      <c r="D1500" s="22"/>
      <c r="E1500" s="22"/>
      <c r="F1500" s="28"/>
      <c r="G1500" s="28"/>
      <c r="H1500" s="28"/>
      <c r="I1500" s="28"/>
      <c r="J1500" s="28"/>
      <c r="K1500" s="28"/>
      <c r="L1500" s="28"/>
      <c r="M1500" s="22"/>
      <c r="N1500" s="22"/>
      <c r="O1500" s="22"/>
      <c r="P1500" s="22"/>
      <c r="Q1500" s="22"/>
      <c r="R1500" s="28"/>
      <c r="S1500" s="28"/>
      <c r="T1500" s="28"/>
      <c r="U1500" s="28"/>
      <c r="V1500" s="22"/>
      <c r="W1500" s="22"/>
      <c r="X1500" s="22"/>
      <c r="Y1500" s="22"/>
      <c r="Z1500" s="22"/>
      <c r="AA1500" s="22"/>
      <c r="AB1500" s="22"/>
      <c r="AC1500" s="22"/>
      <c r="AD1500" s="22"/>
    </row>
    <row r="1501" spans="1:30" ht="15.75" customHeight="1" x14ac:dyDescent="0.15">
      <c r="A1501" s="22"/>
      <c r="B1501" s="22"/>
      <c r="C1501" s="22"/>
      <c r="D1501" s="22"/>
      <c r="E1501" s="22"/>
      <c r="F1501" s="28"/>
      <c r="G1501" s="28"/>
      <c r="H1501" s="28"/>
      <c r="I1501" s="28"/>
      <c r="J1501" s="28"/>
      <c r="K1501" s="28"/>
      <c r="L1501" s="28"/>
      <c r="M1501" s="22"/>
      <c r="N1501" s="22"/>
      <c r="O1501" s="22"/>
      <c r="P1501" s="22"/>
      <c r="Q1501" s="22"/>
      <c r="R1501" s="28"/>
      <c r="S1501" s="28"/>
      <c r="T1501" s="28"/>
      <c r="U1501" s="28"/>
      <c r="V1501" s="22"/>
      <c r="W1501" s="22"/>
      <c r="X1501" s="22"/>
      <c r="Y1501" s="22"/>
      <c r="Z1501" s="22"/>
      <c r="AA1501" s="22"/>
      <c r="AB1501" s="22"/>
      <c r="AC1501" s="22"/>
      <c r="AD1501" s="22"/>
    </row>
    <row r="1502" spans="1:30" ht="15.75" customHeight="1" x14ac:dyDescent="0.15">
      <c r="A1502" s="22"/>
      <c r="B1502" s="22"/>
      <c r="C1502" s="22"/>
      <c r="D1502" s="22"/>
      <c r="E1502" s="22"/>
      <c r="F1502" s="28"/>
      <c r="G1502" s="28"/>
      <c r="H1502" s="28"/>
      <c r="I1502" s="28"/>
      <c r="J1502" s="28"/>
      <c r="K1502" s="28"/>
      <c r="L1502" s="28"/>
      <c r="M1502" s="22"/>
      <c r="N1502" s="22"/>
      <c r="O1502" s="22"/>
      <c r="P1502" s="22"/>
      <c r="Q1502" s="22"/>
      <c r="R1502" s="28"/>
      <c r="S1502" s="28"/>
      <c r="T1502" s="28"/>
      <c r="U1502" s="28"/>
      <c r="V1502" s="22"/>
      <c r="W1502" s="22"/>
      <c r="X1502" s="22"/>
      <c r="Y1502" s="22"/>
      <c r="Z1502" s="22"/>
      <c r="AA1502" s="22"/>
      <c r="AB1502" s="22"/>
      <c r="AC1502" s="22"/>
      <c r="AD1502" s="22"/>
    </row>
    <row r="1503" spans="1:30" ht="15.75" customHeight="1" x14ac:dyDescent="0.15">
      <c r="A1503" s="22"/>
      <c r="B1503" s="22"/>
      <c r="C1503" s="22"/>
      <c r="D1503" s="22"/>
      <c r="E1503" s="22"/>
      <c r="F1503" s="28"/>
      <c r="G1503" s="28"/>
      <c r="H1503" s="28"/>
      <c r="I1503" s="28"/>
      <c r="J1503" s="28"/>
      <c r="K1503" s="28"/>
      <c r="L1503" s="28"/>
      <c r="M1503" s="22"/>
      <c r="N1503" s="22"/>
      <c r="O1503" s="22"/>
      <c r="P1503" s="22"/>
      <c r="Q1503" s="22"/>
      <c r="R1503" s="28"/>
      <c r="S1503" s="28"/>
      <c r="T1503" s="28"/>
      <c r="U1503" s="28"/>
      <c r="V1503" s="22"/>
      <c r="W1503" s="22"/>
      <c r="X1503" s="22"/>
      <c r="Y1503" s="22"/>
      <c r="Z1503" s="22"/>
      <c r="AA1503" s="22"/>
      <c r="AB1503" s="22"/>
      <c r="AC1503" s="22"/>
      <c r="AD1503" s="22"/>
    </row>
    <row r="1504" spans="1:30" ht="15.75" customHeight="1" x14ac:dyDescent="0.15">
      <c r="A1504" s="22"/>
      <c r="B1504" s="22"/>
      <c r="C1504" s="22"/>
      <c r="D1504" s="22"/>
      <c r="E1504" s="22"/>
      <c r="F1504" s="28"/>
      <c r="G1504" s="28"/>
      <c r="H1504" s="28"/>
      <c r="I1504" s="28"/>
      <c r="J1504" s="28"/>
      <c r="K1504" s="28"/>
      <c r="L1504" s="28"/>
      <c r="M1504" s="22"/>
      <c r="N1504" s="22"/>
      <c r="O1504" s="22"/>
      <c r="P1504" s="22"/>
      <c r="Q1504" s="22"/>
      <c r="R1504" s="28"/>
      <c r="S1504" s="28"/>
      <c r="T1504" s="28"/>
      <c r="U1504" s="28"/>
      <c r="V1504" s="22"/>
      <c r="W1504" s="22"/>
      <c r="X1504" s="22"/>
      <c r="Y1504" s="22"/>
      <c r="Z1504" s="22"/>
      <c r="AA1504" s="22"/>
      <c r="AB1504" s="22"/>
      <c r="AC1504" s="22"/>
      <c r="AD1504" s="22"/>
    </row>
    <row r="1505" spans="1:30" ht="15.75" customHeight="1" x14ac:dyDescent="0.15">
      <c r="A1505" s="22"/>
      <c r="B1505" s="22"/>
      <c r="C1505" s="22"/>
      <c r="D1505" s="22"/>
      <c r="E1505" s="22"/>
      <c r="F1505" s="28"/>
      <c r="G1505" s="28"/>
      <c r="H1505" s="28"/>
      <c r="I1505" s="28"/>
      <c r="J1505" s="28"/>
      <c r="K1505" s="28"/>
      <c r="L1505" s="28"/>
      <c r="M1505" s="22"/>
      <c r="N1505" s="22"/>
      <c r="O1505" s="22"/>
      <c r="P1505" s="22"/>
      <c r="Q1505" s="22"/>
      <c r="R1505" s="28"/>
      <c r="S1505" s="28"/>
      <c r="T1505" s="28"/>
      <c r="U1505" s="28"/>
      <c r="V1505" s="22"/>
      <c r="W1505" s="22"/>
      <c r="X1505" s="22"/>
      <c r="Y1505" s="22"/>
      <c r="Z1505" s="22"/>
      <c r="AA1505" s="22"/>
      <c r="AB1505" s="22"/>
      <c r="AC1505" s="22"/>
      <c r="AD1505" s="22"/>
    </row>
    <row r="1506" spans="1:30" ht="15.75" customHeight="1" x14ac:dyDescent="0.15">
      <c r="A1506" s="22"/>
      <c r="B1506" s="22"/>
      <c r="C1506" s="22"/>
      <c r="D1506" s="22"/>
      <c r="E1506" s="22"/>
      <c r="F1506" s="28"/>
      <c r="G1506" s="28"/>
      <c r="H1506" s="28"/>
      <c r="I1506" s="28"/>
      <c r="J1506" s="28"/>
      <c r="K1506" s="28"/>
      <c r="L1506" s="28"/>
      <c r="M1506" s="22"/>
      <c r="N1506" s="22"/>
      <c r="O1506" s="22"/>
      <c r="P1506" s="22"/>
      <c r="Q1506" s="22"/>
      <c r="R1506" s="28"/>
      <c r="S1506" s="28"/>
      <c r="T1506" s="28"/>
      <c r="U1506" s="28"/>
      <c r="V1506" s="22"/>
      <c r="W1506" s="22"/>
      <c r="X1506" s="22"/>
      <c r="Y1506" s="22"/>
      <c r="Z1506" s="22"/>
      <c r="AA1506" s="22"/>
      <c r="AB1506" s="22"/>
      <c r="AC1506" s="22"/>
      <c r="AD1506" s="22"/>
    </row>
    <row r="1507" spans="1:30" ht="15.75" customHeight="1" x14ac:dyDescent="0.15">
      <c r="A1507" s="22"/>
      <c r="B1507" s="22"/>
      <c r="C1507" s="22"/>
      <c r="D1507" s="22"/>
      <c r="E1507" s="22"/>
      <c r="F1507" s="28"/>
      <c r="G1507" s="28"/>
      <c r="H1507" s="28"/>
      <c r="I1507" s="28"/>
      <c r="J1507" s="28"/>
      <c r="K1507" s="28"/>
      <c r="L1507" s="28"/>
      <c r="M1507" s="22"/>
      <c r="N1507" s="22"/>
      <c r="O1507" s="22"/>
      <c r="P1507" s="22"/>
      <c r="Q1507" s="22"/>
      <c r="R1507" s="28"/>
      <c r="S1507" s="28"/>
      <c r="T1507" s="28"/>
      <c r="U1507" s="28"/>
      <c r="V1507" s="22"/>
      <c r="W1507" s="22"/>
      <c r="X1507" s="22"/>
      <c r="Y1507" s="22"/>
      <c r="Z1507" s="22"/>
      <c r="AA1507" s="22"/>
      <c r="AB1507" s="22"/>
      <c r="AC1507" s="22"/>
      <c r="AD1507" s="22"/>
    </row>
    <row r="1508" spans="1:30" ht="15.75" customHeight="1" x14ac:dyDescent="0.15">
      <c r="A1508" s="22"/>
      <c r="B1508" s="22"/>
      <c r="C1508" s="22"/>
      <c r="D1508" s="22"/>
      <c r="E1508" s="22"/>
      <c r="F1508" s="28"/>
      <c r="G1508" s="28"/>
      <c r="H1508" s="28"/>
      <c r="I1508" s="28"/>
      <c r="J1508" s="28"/>
      <c r="K1508" s="28"/>
      <c r="L1508" s="28"/>
      <c r="M1508" s="22"/>
      <c r="N1508" s="22"/>
      <c r="O1508" s="22"/>
      <c r="P1508" s="22"/>
      <c r="Q1508" s="22"/>
      <c r="R1508" s="28"/>
      <c r="S1508" s="28"/>
      <c r="T1508" s="28"/>
      <c r="U1508" s="28"/>
      <c r="V1508" s="22"/>
      <c r="W1508" s="22"/>
      <c r="X1508" s="22"/>
      <c r="Y1508" s="22"/>
      <c r="Z1508" s="22"/>
      <c r="AA1508" s="22"/>
      <c r="AB1508" s="22"/>
      <c r="AC1508" s="22"/>
      <c r="AD1508" s="22"/>
    </row>
    <row r="1509" spans="1:30" ht="15.75" customHeight="1" x14ac:dyDescent="0.15">
      <c r="A1509" s="22"/>
      <c r="B1509" s="22"/>
      <c r="C1509" s="22"/>
      <c r="D1509" s="22"/>
      <c r="E1509" s="22"/>
      <c r="F1509" s="28"/>
      <c r="G1509" s="28"/>
      <c r="H1509" s="28"/>
      <c r="I1509" s="28"/>
      <c r="J1509" s="28"/>
      <c r="K1509" s="28"/>
      <c r="L1509" s="28"/>
      <c r="M1509" s="22"/>
      <c r="N1509" s="22"/>
      <c r="O1509" s="22"/>
      <c r="P1509" s="22"/>
      <c r="Q1509" s="22"/>
      <c r="R1509" s="28"/>
      <c r="S1509" s="28"/>
      <c r="T1509" s="28"/>
      <c r="U1509" s="28"/>
      <c r="V1509" s="22"/>
      <c r="W1509" s="22"/>
      <c r="X1509" s="22"/>
      <c r="Y1509" s="22"/>
      <c r="Z1509" s="22"/>
      <c r="AA1509" s="22"/>
      <c r="AB1509" s="22"/>
      <c r="AC1509" s="22"/>
      <c r="AD1509" s="22"/>
    </row>
    <row r="1510" spans="1:30" ht="15.75" customHeight="1" x14ac:dyDescent="0.15">
      <c r="A1510" s="22"/>
      <c r="B1510" s="22"/>
      <c r="C1510" s="22"/>
      <c r="D1510" s="22"/>
      <c r="E1510" s="22"/>
      <c r="F1510" s="28"/>
      <c r="G1510" s="28"/>
      <c r="H1510" s="28"/>
      <c r="I1510" s="28"/>
      <c r="J1510" s="28"/>
      <c r="K1510" s="28"/>
      <c r="L1510" s="28"/>
      <c r="M1510" s="22"/>
      <c r="N1510" s="22"/>
      <c r="O1510" s="22"/>
      <c r="P1510" s="22"/>
      <c r="Q1510" s="22"/>
      <c r="R1510" s="28"/>
      <c r="S1510" s="28"/>
      <c r="T1510" s="28"/>
      <c r="U1510" s="28"/>
      <c r="V1510" s="22"/>
      <c r="W1510" s="22"/>
      <c r="X1510" s="22"/>
      <c r="Y1510" s="22"/>
      <c r="Z1510" s="22"/>
      <c r="AA1510" s="22"/>
      <c r="AB1510" s="22"/>
      <c r="AC1510" s="22"/>
      <c r="AD1510" s="22"/>
    </row>
    <row r="1511" spans="1:30" ht="15.75" customHeight="1" x14ac:dyDescent="0.15">
      <c r="A1511" s="22"/>
      <c r="B1511" s="22"/>
      <c r="C1511" s="22"/>
      <c r="D1511" s="22"/>
      <c r="E1511" s="22"/>
      <c r="F1511" s="28"/>
      <c r="G1511" s="28"/>
      <c r="H1511" s="28"/>
      <c r="I1511" s="28"/>
      <c r="J1511" s="28"/>
      <c r="K1511" s="28"/>
      <c r="L1511" s="28"/>
      <c r="M1511" s="22"/>
      <c r="N1511" s="22"/>
      <c r="O1511" s="22"/>
      <c r="P1511" s="22"/>
      <c r="Q1511" s="22"/>
      <c r="R1511" s="28"/>
      <c r="S1511" s="28"/>
      <c r="T1511" s="28"/>
      <c r="U1511" s="28"/>
      <c r="V1511" s="22"/>
      <c r="W1511" s="22"/>
      <c r="X1511" s="22"/>
      <c r="Y1511" s="22"/>
      <c r="Z1511" s="22"/>
      <c r="AA1511" s="22"/>
      <c r="AB1511" s="22"/>
      <c r="AC1511" s="22"/>
      <c r="AD1511" s="22"/>
    </row>
    <row r="1512" spans="1:30" ht="15.75" customHeight="1" x14ac:dyDescent="0.15">
      <c r="A1512" s="22"/>
      <c r="B1512" s="22"/>
      <c r="C1512" s="22"/>
      <c r="D1512" s="22"/>
      <c r="E1512" s="22"/>
      <c r="F1512" s="28"/>
      <c r="G1512" s="28"/>
      <c r="H1512" s="28"/>
      <c r="I1512" s="28"/>
      <c r="J1512" s="28"/>
      <c r="K1512" s="28"/>
      <c r="L1512" s="28"/>
      <c r="M1512" s="22"/>
      <c r="N1512" s="22"/>
      <c r="O1512" s="22"/>
      <c r="P1512" s="22"/>
      <c r="Q1512" s="22"/>
      <c r="R1512" s="28"/>
      <c r="S1512" s="28"/>
      <c r="T1512" s="28"/>
      <c r="U1512" s="28"/>
      <c r="V1512" s="22"/>
      <c r="W1512" s="22"/>
      <c r="X1512" s="22"/>
      <c r="Y1512" s="22"/>
      <c r="Z1512" s="22"/>
      <c r="AA1512" s="22"/>
      <c r="AB1512" s="22"/>
      <c r="AC1512" s="22"/>
      <c r="AD1512" s="22"/>
    </row>
    <row r="1513" spans="1:30" ht="15.75" customHeight="1" x14ac:dyDescent="0.15">
      <c r="A1513" s="22"/>
      <c r="B1513" s="22"/>
      <c r="C1513" s="22"/>
      <c r="D1513" s="22"/>
      <c r="E1513" s="22"/>
      <c r="F1513" s="28"/>
      <c r="G1513" s="28"/>
      <c r="H1513" s="28"/>
      <c r="I1513" s="28"/>
      <c r="J1513" s="28"/>
      <c r="K1513" s="28"/>
      <c r="L1513" s="28"/>
      <c r="M1513" s="22"/>
      <c r="N1513" s="22"/>
      <c r="O1513" s="22"/>
      <c r="P1513" s="22"/>
      <c r="Q1513" s="22"/>
      <c r="R1513" s="28"/>
      <c r="S1513" s="28"/>
      <c r="T1513" s="28"/>
      <c r="U1513" s="28"/>
      <c r="V1513" s="22"/>
      <c r="W1513" s="22"/>
      <c r="X1513" s="22"/>
      <c r="Y1513" s="22"/>
      <c r="Z1513" s="22"/>
      <c r="AA1513" s="22"/>
      <c r="AB1513" s="22"/>
      <c r="AC1513" s="22"/>
      <c r="AD1513" s="22"/>
    </row>
    <row r="1514" spans="1:30" ht="15.75" customHeight="1" x14ac:dyDescent="0.15">
      <c r="A1514" s="22"/>
      <c r="B1514" s="22"/>
      <c r="C1514" s="22"/>
      <c r="D1514" s="22"/>
      <c r="E1514" s="22"/>
      <c r="F1514" s="28"/>
      <c r="G1514" s="28"/>
      <c r="H1514" s="28"/>
      <c r="I1514" s="28"/>
      <c r="J1514" s="28"/>
      <c r="K1514" s="28"/>
      <c r="L1514" s="28"/>
      <c r="M1514" s="22"/>
      <c r="N1514" s="22"/>
      <c r="O1514" s="22"/>
      <c r="P1514" s="22"/>
      <c r="Q1514" s="22"/>
      <c r="R1514" s="28"/>
      <c r="S1514" s="28"/>
      <c r="T1514" s="28"/>
      <c r="U1514" s="28"/>
      <c r="V1514" s="22"/>
      <c r="W1514" s="22"/>
      <c r="X1514" s="22"/>
      <c r="Y1514" s="22"/>
      <c r="Z1514" s="22"/>
      <c r="AA1514" s="22"/>
      <c r="AB1514" s="22"/>
      <c r="AC1514" s="22"/>
      <c r="AD1514" s="22"/>
    </row>
    <row r="1515" spans="1:30" ht="15.75" customHeight="1" x14ac:dyDescent="0.15">
      <c r="A1515" s="22"/>
      <c r="B1515" s="22"/>
      <c r="C1515" s="22"/>
      <c r="D1515" s="22"/>
      <c r="E1515" s="22"/>
      <c r="F1515" s="28"/>
      <c r="G1515" s="28"/>
      <c r="H1515" s="28"/>
      <c r="I1515" s="28"/>
      <c r="J1515" s="28"/>
      <c r="K1515" s="28"/>
      <c r="L1515" s="28"/>
      <c r="M1515" s="22"/>
      <c r="N1515" s="22"/>
      <c r="O1515" s="22"/>
      <c r="P1515" s="22"/>
      <c r="Q1515" s="22"/>
      <c r="R1515" s="28"/>
      <c r="S1515" s="28"/>
      <c r="T1515" s="28"/>
      <c r="U1515" s="28"/>
      <c r="V1515" s="22"/>
      <c r="W1515" s="22"/>
      <c r="X1515" s="22"/>
      <c r="Y1515" s="22"/>
      <c r="Z1515" s="22"/>
      <c r="AA1515" s="22"/>
      <c r="AB1515" s="22"/>
      <c r="AC1515" s="22"/>
      <c r="AD1515" s="22"/>
    </row>
    <row r="1516" spans="1:30" ht="15.75" customHeight="1" x14ac:dyDescent="0.15">
      <c r="A1516" s="22"/>
      <c r="B1516" s="22"/>
      <c r="C1516" s="22"/>
      <c r="D1516" s="22"/>
      <c r="E1516" s="22"/>
      <c r="F1516" s="28"/>
      <c r="G1516" s="28"/>
      <c r="H1516" s="28"/>
      <c r="I1516" s="28"/>
      <c r="J1516" s="28"/>
      <c r="K1516" s="28"/>
      <c r="L1516" s="28"/>
      <c r="M1516" s="22"/>
      <c r="N1516" s="22"/>
      <c r="O1516" s="22"/>
      <c r="P1516" s="22"/>
      <c r="Q1516" s="22"/>
      <c r="R1516" s="28"/>
      <c r="S1516" s="28"/>
      <c r="T1516" s="28"/>
      <c r="U1516" s="28"/>
      <c r="V1516" s="22"/>
      <c r="W1516" s="22"/>
      <c r="X1516" s="22"/>
      <c r="Y1516" s="22"/>
      <c r="Z1516" s="22"/>
      <c r="AA1516" s="22"/>
      <c r="AB1516" s="22"/>
      <c r="AC1516" s="22"/>
      <c r="AD1516" s="22"/>
    </row>
    <row r="1517" spans="1:30" ht="15.75" customHeight="1" x14ac:dyDescent="0.15">
      <c r="A1517" s="22"/>
      <c r="B1517" s="22"/>
      <c r="C1517" s="22"/>
      <c r="D1517" s="22"/>
      <c r="E1517" s="22"/>
      <c r="F1517" s="28"/>
      <c r="G1517" s="28"/>
      <c r="H1517" s="28"/>
      <c r="I1517" s="28"/>
      <c r="J1517" s="28"/>
      <c r="K1517" s="28"/>
      <c r="L1517" s="28"/>
      <c r="M1517" s="22"/>
      <c r="N1517" s="22"/>
      <c r="O1517" s="22"/>
      <c r="P1517" s="22"/>
      <c r="Q1517" s="22"/>
      <c r="R1517" s="28"/>
      <c r="S1517" s="28"/>
      <c r="T1517" s="28"/>
      <c r="U1517" s="28"/>
      <c r="V1517" s="22"/>
      <c r="W1517" s="22"/>
      <c r="X1517" s="22"/>
      <c r="Y1517" s="22"/>
      <c r="Z1517" s="22"/>
      <c r="AA1517" s="22"/>
      <c r="AB1517" s="22"/>
      <c r="AC1517" s="22"/>
      <c r="AD1517" s="22"/>
    </row>
    <row r="1518" spans="1:30" ht="15.75" customHeight="1" x14ac:dyDescent="0.15">
      <c r="A1518" s="22"/>
      <c r="B1518" s="22"/>
      <c r="C1518" s="22"/>
      <c r="D1518" s="22"/>
      <c r="E1518" s="22"/>
      <c r="F1518" s="28"/>
      <c r="G1518" s="28"/>
      <c r="H1518" s="28"/>
      <c r="I1518" s="28"/>
      <c r="J1518" s="28"/>
      <c r="K1518" s="28"/>
      <c r="L1518" s="28"/>
      <c r="M1518" s="22"/>
      <c r="N1518" s="22"/>
      <c r="O1518" s="22"/>
      <c r="P1518" s="22"/>
      <c r="Q1518" s="22"/>
      <c r="R1518" s="28"/>
      <c r="S1518" s="28"/>
      <c r="T1518" s="28"/>
      <c r="U1518" s="28"/>
      <c r="V1518" s="22"/>
      <c r="W1518" s="22"/>
      <c r="X1518" s="22"/>
      <c r="Y1518" s="22"/>
      <c r="Z1518" s="22"/>
      <c r="AA1518" s="22"/>
      <c r="AB1518" s="22"/>
      <c r="AC1518" s="22"/>
      <c r="AD1518" s="22"/>
    </row>
    <row r="1519" spans="1:30" ht="15.75" customHeight="1" x14ac:dyDescent="0.15">
      <c r="A1519" s="22"/>
      <c r="B1519" s="22"/>
      <c r="C1519" s="22"/>
      <c r="D1519" s="22"/>
      <c r="E1519" s="22"/>
      <c r="F1519" s="28"/>
      <c r="G1519" s="28"/>
      <c r="H1519" s="28"/>
      <c r="I1519" s="28"/>
      <c r="J1519" s="28"/>
      <c r="K1519" s="28"/>
      <c r="L1519" s="28"/>
      <c r="M1519" s="22"/>
      <c r="N1519" s="22"/>
      <c r="O1519" s="22"/>
      <c r="P1519" s="22"/>
      <c r="Q1519" s="22"/>
      <c r="R1519" s="28"/>
      <c r="S1519" s="28"/>
      <c r="T1519" s="28"/>
      <c r="U1519" s="28"/>
      <c r="V1519" s="22"/>
      <c r="W1519" s="22"/>
      <c r="X1519" s="22"/>
      <c r="Y1519" s="22"/>
      <c r="Z1519" s="22"/>
      <c r="AA1519" s="22"/>
      <c r="AB1519" s="22"/>
      <c r="AC1519" s="22"/>
      <c r="AD1519" s="22"/>
    </row>
    <row r="1520" spans="1:30" ht="15.75" customHeight="1" x14ac:dyDescent="0.15">
      <c r="A1520" s="22"/>
      <c r="B1520" s="22"/>
      <c r="C1520" s="22"/>
      <c r="D1520" s="22"/>
      <c r="E1520" s="22"/>
      <c r="F1520" s="28"/>
      <c r="G1520" s="28"/>
      <c r="H1520" s="28"/>
      <c r="I1520" s="28"/>
      <c r="J1520" s="28"/>
      <c r="K1520" s="28"/>
      <c r="L1520" s="28"/>
      <c r="M1520" s="22"/>
      <c r="N1520" s="22"/>
      <c r="O1520" s="22"/>
      <c r="P1520" s="22"/>
      <c r="Q1520" s="22"/>
      <c r="R1520" s="28"/>
      <c r="S1520" s="28"/>
      <c r="T1520" s="28"/>
      <c r="U1520" s="28"/>
      <c r="V1520" s="22"/>
      <c r="W1520" s="22"/>
      <c r="X1520" s="22"/>
      <c r="Y1520" s="22"/>
      <c r="Z1520" s="22"/>
      <c r="AA1520" s="22"/>
      <c r="AB1520" s="22"/>
      <c r="AC1520" s="22"/>
      <c r="AD1520" s="22"/>
    </row>
    <row r="1521" spans="1:30" ht="15.75" customHeight="1" x14ac:dyDescent="0.15">
      <c r="A1521" s="22"/>
      <c r="B1521" s="22"/>
      <c r="C1521" s="22"/>
      <c r="D1521" s="22"/>
      <c r="E1521" s="22"/>
      <c r="F1521" s="28"/>
      <c r="G1521" s="28"/>
      <c r="H1521" s="28"/>
      <c r="I1521" s="28"/>
      <c r="J1521" s="28"/>
      <c r="K1521" s="28"/>
      <c r="L1521" s="28"/>
      <c r="M1521" s="22"/>
      <c r="N1521" s="22"/>
      <c r="O1521" s="22"/>
      <c r="P1521" s="22"/>
      <c r="Q1521" s="22"/>
      <c r="R1521" s="28"/>
      <c r="S1521" s="28"/>
      <c r="T1521" s="28"/>
      <c r="U1521" s="28"/>
      <c r="V1521" s="22"/>
      <c r="W1521" s="22"/>
      <c r="X1521" s="22"/>
      <c r="Y1521" s="22"/>
      <c r="Z1521" s="22"/>
      <c r="AA1521" s="22"/>
      <c r="AB1521" s="22"/>
      <c r="AC1521" s="22"/>
      <c r="AD1521" s="22"/>
    </row>
    <row r="1522" spans="1:30" ht="15.75" customHeight="1" x14ac:dyDescent="0.15">
      <c r="A1522" s="22"/>
      <c r="B1522" s="22"/>
      <c r="C1522" s="22"/>
      <c r="D1522" s="22"/>
      <c r="E1522" s="22"/>
      <c r="F1522" s="28"/>
      <c r="G1522" s="28"/>
      <c r="H1522" s="28"/>
      <c r="I1522" s="28"/>
      <c r="J1522" s="28"/>
      <c r="K1522" s="28"/>
      <c r="L1522" s="28"/>
      <c r="M1522" s="22"/>
      <c r="N1522" s="22"/>
      <c r="O1522" s="22"/>
      <c r="P1522" s="22"/>
      <c r="Q1522" s="22"/>
      <c r="R1522" s="28"/>
      <c r="S1522" s="28"/>
      <c r="T1522" s="28"/>
      <c r="U1522" s="28"/>
      <c r="V1522" s="22"/>
      <c r="W1522" s="22"/>
      <c r="X1522" s="22"/>
      <c r="Y1522" s="22"/>
      <c r="Z1522" s="22"/>
      <c r="AA1522" s="22"/>
      <c r="AB1522" s="22"/>
      <c r="AC1522" s="22"/>
      <c r="AD1522" s="22"/>
    </row>
    <row r="1523" spans="1:30" ht="15.75" customHeight="1" x14ac:dyDescent="0.15">
      <c r="A1523" s="22"/>
      <c r="B1523" s="22"/>
      <c r="C1523" s="22"/>
      <c r="D1523" s="22"/>
      <c r="E1523" s="22"/>
      <c r="F1523" s="28"/>
      <c r="G1523" s="28"/>
      <c r="H1523" s="28"/>
      <c r="I1523" s="28"/>
      <c r="J1523" s="28"/>
      <c r="K1523" s="28"/>
      <c r="L1523" s="28"/>
      <c r="M1523" s="22"/>
      <c r="N1523" s="22"/>
      <c r="O1523" s="22"/>
      <c r="P1523" s="22"/>
      <c r="Q1523" s="22"/>
      <c r="R1523" s="28"/>
      <c r="S1523" s="28"/>
      <c r="T1523" s="28"/>
      <c r="U1523" s="28"/>
      <c r="V1523" s="22"/>
      <c r="W1523" s="22"/>
      <c r="X1523" s="22"/>
      <c r="Y1523" s="22"/>
      <c r="Z1523" s="22"/>
      <c r="AA1523" s="22"/>
      <c r="AB1523" s="22"/>
      <c r="AC1523" s="22"/>
      <c r="AD1523" s="22"/>
    </row>
    <row r="1524" spans="1:30" ht="15.75" customHeight="1" x14ac:dyDescent="0.15">
      <c r="A1524" s="22"/>
      <c r="B1524" s="22"/>
      <c r="C1524" s="22"/>
      <c r="D1524" s="22"/>
      <c r="E1524" s="22"/>
      <c r="F1524" s="28"/>
      <c r="G1524" s="28"/>
      <c r="H1524" s="28"/>
      <c r="I1524" s="28"/>
      <c r="J1524" s="28"/>
      <c r="K1524" s="28"/>
      <c r="L1524" s="28"/>
      <c r="M1524" s="22"/>
      <c r="N1524" s="22"/>
      <c r="O1524" s="22"/>
      <c r="P1524" s="22"/>
      <c r="Q1524" s="22"/>
      <c r="R1524" s="28"/>
      <c r="S1524" s="28"/>
      <c r="T1524" s="28"/>
      <c r="U1524" s="28"/>
      <c r="V1524" s="22"/>
      <c r="W1524" s="22"/>
      <c r="X1524" s="22"/>
      <c r="Y1524" s="22"/>
      <c r="Z1524" s="22"/>
      <c r="AA1524" s="22"/>
      <c r="AB1524" s="22"/>
      <c r="AC1524" s="22"/>
      <c r="AD1524" s="22"/>
    </row>
    <row r="1525" spans="1:30" ht="15.75" customHeight="1" x14ac:dyDescent="0.15">
      <c r="A1525" s="22"/>
      <c r="B1525" s="22"/>
      <c r="C1525" s="22"/>
      <c r="D1525" s="22"/>
      <c r="E1525" s="22"/>
      <c r="F1525" s="28"/>
      <c r="G1525" s="28"/>
      <c r="H1525" s="28"/>
      <c r="I1525" s="28"/>
      <c r="J1525" s="28"/>
      <c r="K1525" s="28"/>
      <c r="L1525" s="28"/>
      <c r="M1525" s="22"/>
      <c r="N1525" s="22"/>
      <c r="O1525" s="22"/>
      <c r="P1525" s="22"/>
      <c r="Q1525" s="22"/>
      <c r="R1525" s="28"/>
      <c r="S1525" s="28"/>
      <c r="T1525" s="28"/>
      <c r="U1525" s="28"/>
      <c r="V1525" s="22"/>
      <c r="W1525" s="22"/>
      <c r="X1525" s="22"/>
      <c r="Y1525" s="22"/>
      <c r="Z1525" s="22"/>
      <c r="AA1525" s="22"/>
      <c r="AB1525" s="22"/>
      <c r="AC1525" s="22"/>
      <c r="AD1525" s="22"/>
    </row>
    <row r="1526" spans="1:30" ht="15.75" customHeight="1" x14ac:dyDescent="0.15">
      <c r="A1526" s="22"/>
      <c r="B1526" s="22"/>
      <c r="C1526" s="22"/>
      <c r="D1526" s="22"/>
      <c r="E1526" s="22"/>
      <c r="F1526" s="28"/>
      <c r="G1526" s="28"/>
      <c r="H1526" s="28"/>
      <c r="I1526" s="28"/>
      <c r="J1526" s="28"/>
      <c r="K1526" s="28"/>
      <c r="L1526" s="28"/>
      <c r="M1526" s="22"/>
      <c r="N1526" s="22"/>
      <c r="O1526" s="22"/>
      <c r="P1526" s="22"/>
      <c r="Q1526" s="22"/>
      <c r="R1526" s="28"/>
      <c r="S1526" s="28"/>
      <c r="T1526" s="28"/>
      <c r="U1526" s="28"/>
      <c r="V1526" s="22"/>
      <c r="W1526" s="22"/>
      <c r="X1526" s="22"/>
      <c r="Y1526" s="22"/>
      <c r="Z1526" s="22"/>
      <c r="AA1526" s="22"/>
      <c r="AB1526" s="22"/>
      <c r="AC1526" s="22"/>
      <c r="AD1526" s="22"/>
    </row>
    <row r="1527" spans="1:30" ht="15.75" customHeight="1" x14ac:dyDescent="0.15">
      <c r="A1527" s="22"/>
      <c r="B1527" s="22"/>
      <c r="C1527" s="22"/>
      <c r="D1527" s="22"/>
      <c r="E1527" s="22"/>
      <c r="F1527" s="28"/>
      <c r="G1527" s="28"/>
      <c r="H1527" s="28"/>
      <c r="I1527" s="28"/>
      <c r="J1527" s="28"/>
      <c r="K1527" s="28"/>
      <c r="L1527" s="28"/>
      <c r="M1527" s="22"/>
      <c r="N1527" s="22"/>
      <c r="O1527" s="22"/>
      <c r="P1527" s="22"/>
      <c r="Q1527" s="22"/>
      <c r="R1527" s="28"/>
      <c r="S1527" s="28"/>
      <c r="T1527" s="28"/>
      <c r="U1527" s="28"/>
      <c r="V1527" s="22"/>
      <c r="W1527" s="22"/>
      <c r="X1527" s="22"/>
      <c r="Y1527" s="22"/>
      <c r="Z1527" s="22"/>
      <c r="AA1527" s="22"/>
      <c r="AB1527" s="22"/>
      <c r="AC1527" s="22"/>
      <c r="AD1527" s="22"/>
    </row>
    <row r="1528" spans="1:30" ht="15.75" customHeight="1" x14ac:dyDescent="0.15">
      <c r="A1528" s="22"/>
      <c r="B1528" s="22"/>
      <c r="C1528" s="22"/>
      <c r="D1528" s="22"/>
      <c r="E1528" s="22"/>
      <c r="F1528" s="28"/>
      <c r="G1528" s="28"/>
      <c r="H1528" s="28"/>
      <c r="I1528" s="28"/>
      <c r="J1528" s="28"/>
      <c r="K1528" s="28"/>
      <c r="L1528" s="28"/>
      <c r="M1528" s="22"/>
      <c r="N1528" s="22"/>
      <c r="O1528" s="22"/>
      <c r="P1528" s="22"/>
      <c r="Q1528" s="22"/>
      <c r="R1528" s="28"/>
      <c r="S1528" s="28"/>
      <c r="T1528" s="28"/>
      <c r="U1528" s="28"/>
      <c r="V1528" s="22"/>
      <c r="W1528" s="22"/>
      <c r="X1528" s="22"/>
      <c r="Y1528" s="22"/>
      <c r="Z1528" s="22"/>
      <c r="AA1528" s="22"/>
      <c r="AB1528" s="22"/>
      <c r="AC1528" s="22"/>
      <c r="AD1528" s="22"/>
    </row>
    <row r="1529" spans="1:30" ht="15.75" customHeight="1" x14ac:dyDescent="0.15">
      <c r="A1529" s="22"/>
      <c r="B1529" s="22"/>
      <c r="C1529" s="22"/>
      <c r="D1529" s="22"/>
      <c r="E1529" s="22"/>
      <c r="F1529" s="28"/>
      <c r="G1529" s="28"/>
      <c r="H1529" s="28"/>
      <c r="I1529" s="28"/>
      <c r="J1529" s="28"/>
      <c r="K1529" s="28"/>
      <c r="L1529" s="28"/>
      <c r="M1529" s="22"/>
      <c r="N1529" s="22"/>
      <c r="O1529" s="22"/>
      <c r="P1529" s="22"/>
      <c r="Q1529" s="22"/>
      <c r="R1529" s="28"/>
      <c r="S1529" s="28"/>
      <c r="T1529" s="28"/>
      <c r="U1529" s="28"/>
      <c r="V1529" s="22"/>
      <c r="W1529" s="22"/>
      <c r="X1529" s="22"/>
      <c r="Y1529" s="22"/>
      <c r="Z1529" s="22"/>
      <c r="AA1529" s="22"/>
      <c r="AB1529" s="22"/>
      <c r="AC1529" s="22"/>
      <c r="AD1529" s="22"/>
    </row>
    <row r="1530" spans="1:30" ht="15.75" customHeight="1" x14ac:dyDescent="0.15">
      <c r="A1530" s="22"/>
      <c r="B1530" s="22"/>
      <c r="C1530" s="22"/>
      <c r="D1530" s="22"/>
      <c r="E1530" s="22"/>
      <c r="F1530" s="28"/>
      <c r="G1530" s="28"/>
      <c r="H1530" s="28"/>
      <c r="I1530" s="28"/>
      <c r="J1530" s="28"/>
      <c r="K1530" s="28"/>
      <c r="L1530" s="28"/>
      <c r="M1530" s="22"/>
      <c r="N1530" s="22"/>
      <c r="O1530" s="22"/>
      <c r="P1530" s="22"/>
      <c r="Q1530" s="22"/>
      <c r="R1530" s="28"/>
      <c r="S1530" s="28"/>
      <c r="T1530" s="28"/>
      <c r="U1530" s="28"/>
      <c r="V1530" s="22"/>
      <c r="W1530" s="22"/>
      <c r="X1530" s="22"/>
      <c r="Y1530" s="22"/>
      <c r="Z1530" s="22"/>
      <c r="AA1530" s="22"/>
      <c r="AB1530" s="22"/>
      <c r="AC1530" s="22"/>
      <c r="AD1530" s="22"/>
    </row>
    <row r="1531" spans="1:30" ht="15.75" customHeight="1" x14ac:dyDescent="0.15">
      <c r="A1531" s="22"/>
      <c r="B1531" s="22"/>
      <c r="C1531" s="22"/>
      <c r="D1531" s="22"/>
      <c r="E1531" s="22"/>
      <c r="F1531" s="28"/>
      <c r="G1531" s="28"/>
      <c r="H1531" s="28"/>
      <c r="I1531" s="28"/>
      <c r="J1531" s="28"/>
      <c r="K1531" s="28"/>
      <c r="L1531" s="28"/>
      <c r="M1531" s="22"/>
      <c r="N1531" s="22"/>
      <c r="O1531" s="22"/>
      <c r="P1531" s="22"/>
      <c r="Q1531" s="22"/>
      <c r="R1531" s="28"/>
      <c r="S1531" s="28"/>
      <c r="T1531" s="28"/>
      <c r="U1531" s="28"/>
      <c r="V1531" s="22"/>
      <c r="W1531" s="22"/>
      <c r="X1531" s="22"/>
      <c r="Y1531" s="22"/>
      <c r="Z1531" s="22"/>
      <c r="AA1531" s="22"/>
      <c r="AB1531" s="22"/>
      <c r="AC1531" s="22"/>
      <c r="AD1531" s="22"/>
    </row>
    <row r="1532" spans="1:30" ht="15.75" customHeight="1" x14ac:dyDescent="0.15">
      <c r="A1532" s="22"/>
      <c r="B1532" s="22"/>
      <c r="C1532" s="22"/>
      <c r="D1532" s="22"/>
      <c r="E1532" s="22"/>
      <c r="F1532" s="28"/>
      <c r="G1532" s="28"/>
      <c r="H1532" s="28"/>
      <c r="I1532" s="28"/>
      <c r="J1532" s="28"/>
      <c r="K1532" s="28"/>
      <c r="L1532" s="28"/>
      <c r="M1532" s="22"/>
      <c r="N1532" s="22"/>
      <c r="O1532" s="22"/>
      <c r="P1532" s="22"/>
      <c r="Q1532" s="22"/>
      <c r="R1532" s="28"/>
      <c r="S1532" s="28"/>
      <c r="T1532" s="28"/>
      <c r="U1532" s="28"/>
      <c r="V1532" s="22"/>
      <c r="W1532" s="22"/>
      <c r="X1532" s="22"/>
      <c r="Y1532" s="22"/>
      <c r="Z1532" s="22"/>
      <c r="AA1532" s="22"/>
      <c r="AB1532" s="22"/>
      <c r="AC1532" s="22"/>
      <c r="AD1532" s="22"/>
    </row>
    <row r="1533" spans="1:30" ht="15.75" customHeight="1" x14ac:dyDescent="0.15">
      <c r="A1533" s="22"/>
      <c r="B1533" s="22"/>
      <c r="C1533" s="22"/>
      <c r="D1533" s="22"/>
      <c r="E1533" s="22"/>
      <c r="F1533" s="28"/>
      <c r="G1533" s="28"/>
      <c r="H1533" s="28"/>
      <c r="I1533" s="28"/>
      <c r="J1533" s="28"/>
      <c r="K1533" s="28"/>
      <c r="L1533" s="28"/>
      <c r="M1533" s="22"/>
      <c r="N1533" s="22"/>
      <c r="O1533" s="22"/>
      <c r="P1533" s="22"/>
      <c r="Q1533" s="22"/>
      <c r="R1533" s="28"/>
      <c r="S1533" s="28"/>
      <c r="T1533" s="28"/>
      <c r="U1533" s="28"/>
      <c r="V1533" s="22"/>
      <c r="W1533" s="22"/>
      <c r="X1533" s="22"/>
      <c r="Y1533" s="22"/>
      <c r="Z1533" s="22"/>
      <c r="AA1533" s="22"/>
      <c r="AB1533" s="22"/>
      <c r="AC1533" s="22"/>
      <c r="AD1533" s="22"/>
    </row>
    <row r="1534" spans="1:30" ht="15.75" customHeight="1" x14ac:dyDescent="0.15">
      <c r="A1534" s="22"/>
      <c r="B1534" s="22"/>
      <c r="C1534" s="22"/>
      <c r="D1534" s="22"/>
      <c r="E1534" s="22"/>
      <c r="F1534" s="28"/>
      <c r="G1534" s="28"/>
      <c r="H1534" s="28"/>
      <c r="I1534" s="28"/>
      <c r="J1534" s="28"/>
      <c r="K1534" s="28"/>
      <c r="L1534" s="28"/>
      <c r="M1534" s="22"/>
      <c r="N1534" s="22"/>
      <c r="O1534" s="22"/>
      <c r="P1534" s="22"/>
      <c r="Q1534" s="22"/>
      <c r="R1534" s="28"/>
      <c r="S1534" s="28"/>
      <c r="T1534" s="28"/>
      <c r="U1534" s="28"/>
      <c r="V1534" s="22"/>
      <c r="W1534" s="22"/>
      <c r="X1534" s="22"/>
      <c r="Y1534" s="22"/>
      <c r="Z1534" s="22"/>
      <c r="AA1534" s="22"/>
      <c r="AB1534" s="22"/>
      <c r="AC1534" s="22"/>
      <c r="AD1534" s="22"/>
    </row>
    <row r="1535" spans="1:30" ht="15.75" customHeight="1" x14ac:dyDescent="0.15">
      <c r="A1535" s="22"/>
      <c r="B1535" s="22"/>
      <c r="C1535" s="22"/>
      <c r="D1535" s="22"/>
      <c r="E1535" s="22"/>
      <c r="F1535" s="28"/>
      <c r="G1535" s="28"/>
      <c r="H1535" s="28"/>
      <c r="I1535" s="28"/>
      <c r="J1535" s="28"/>
      <c r="K1535" s="28"/>
      <c r="L1535" s="28"/>
      <c r="M1535" s="22"/>
      <c r="N1535" s="22"/>
      <c r="O1535" s="22"/>
      <c r="P1535" s="22"/>
      <c r="Q1535" s="22"/>
      <c r="R1535" s="28"/>
      <c r="S1535" s="28"/>
      <c r="T1535" s="28"/>
      <c r="U1535" s="28"/>
      <c r="V1535" s="22"/>
      <c r="W1535" s="22"/>
      <c r="X1535" s="22"/>
      <c r="Y1535" s="22"/>
      <c r="Z1535" s="22"/>
      <c r="AA1535" s="22"/>
      <c r="AB1535" s="22"/>
      <c r="AC1535" s="22"/>
      <c r="AD1535" s="22"/>
    </row>
    <row r="1536" spans="1:30" ht="15.75" customHeight="1" x14ac:dyDescent="0.15">
      <c r="A1536" s="22"/>
      <c r="B1536" s="22"/>
      <c r="C1536" s="22"/>
      <c r="D1536" s="22"/>
      <c r="E1536" s="22"/>
      <c r="F1536" s="28"/>
      <c r="G1536" s="28"/>
      <c r="H1536" s="28"/>
      <c r="I1536" s="28"/>
      <c r="J1536" s="28"/>
      <c r="K1536" s="28"/>
      <c r="L1536" s="28"/>
      <c r="M1536" s="22"/>
      <c r="N1536" s="22"/>
      <c r="O1536" s="22"/>
      <c r="P1536" s="22"/>
      <c r="Q1536" s="22"/>
      <c r="R1536" s="28"/>
      <c r="S1536" s="28"/>
      <c r="T1536" s="28"/>
      <c r="U1536" s="28"/>
      <c r="V1536" s="22"/>
      <c r="W1536" s="22"/>
      <c r="X1536" s="22"/>
      <c r="Y1536" s="22"/>
      <c r="Z1536" s="22"/>
      <c r="AA1536" s="22"/>
      <c r="AB1536" s="22"/>
      <c r="AC1536" s="22"/>
      <c r="AD1536" s="22"/>
    </row>
    <row r="1537" spans="1:30" ht="15.75" customHeight="1" x14ac:dyDescent="0.15">
      <c r="A1537" s="22"/>
      <c r="B1537" s="22"/>
      <c r="C1537" s="22"/>
      <c r="D1537" s="22"/>
      <c r="E1537" s="22"/>
      <c r="F1537" s="28"/>
      <c r="G1537" s="28"/>
      <c r="H1537" s="28"/>
      <c r="I1537" s="28"/>
      <c r="J1537" s="28"/>
      <c r="K1537" s="28"/>
      <c r="L1537" s="28"/>
      <c r="M1537" s="22"/>
      <c r="N1537" s="22"/>
      <c r="O1537" s="22"/>
      <c r="P1537" s="22"/>
      <c r="Q1537" s="22"/>
      <c r="R1537" s="28"/>
      <c r="S1537" s="28"/>
      <c r="T1537" s="28"/>
      <c r="U1537" s="28"/>
      <c r="V1537" s="22"/>
      <c r="W1537" s="22"/>
      <c r="X1537" s="22"/>
      <c r="Y1537" s="22"/>
      <c r="Z1537" s="22"/>
      <c r="AA1537" s="22"/>
      <c r="AB1537" s="22"/>
      <c r="AC1537" s="22"/>
      <c r="AD1537" s="22"/>
    </row>
    <row r="1538" spans="1:30" ht="15.75" customHeight="1" x14ac:dyDescent="0.15">
      <c r="A1538" s="22"/>
      <c r="B1538" s="22"/>
      <c r="C1538" s="22"/>
      <c r="D1538" s="22"/>
      <c r="E1538" s="22"/>
      <c r="F1538" s="28"/>
      <c r="G1538" s="28"/>
      <c r="H1538" s="28"/>
      <c r="I1538" s="28"/>
      <c r="J1538" s="28"/>
      <c r="K1538" s="28"/>
      <c r="L1538" s="28"/>
      <c r="M1538" s="22"/>
      <c r="N1538" s="22"/>
      <c r="O1538" s="22"/>
      <c r="P1538" s="22"/>
      <c r="Q1538" s="22"/>
      <c r="R1538" s="28"/>
      <c r="S1538" s="28"/>
      <c r="T1538" s="28"/>
      <c r="U1538" s="28"/>
      <c r="V1538" s="22"/>
      <c r="W1538" s="22"/>
      <c r="X1538" s="22"/>
      <c r="Y1538" s="22"/>
      <c r="Z1538" s="22"/>
      <c r="AA1538" s="22"/>
      <c r="AB1538" s="22"/>
      <c r="AC1538" s="22"/>
      <c r="AD1538" s="22"/>
    </row>
    <row r="1539" spans="1:30" ht="15.75" customHeight="1" x14ac:dyDescent="0.15">
      <c r="A1539" s="22"/>
      <c r="B1539" s="22"/>
      <c r="C1539" s="22"/>
      <c r="D1539" s="22"/>
      <c r="E1539" s="22"/>
      <c r="F1539" s="28"/>
      <c r="G1539" s="28"/>
      <c r="H1539" s="28"/>
      <c r="I1539" s="28"/>
      <c r="J1539" s="28"/>
      <c r="K1539" s="28"/>
      <c r="L1539" s="28"/>
      <c r="M1539" s="22"/>
      <c r="N1539" s="22"/>
      <c r="O1539" s="22"/>
      <c r="P1539" s="22"/>
      <c r="Q1539" s="22"/>
      <c r="R1539" s="28"/>
      <c r="S1539" s="28"/>
      <c r="T1539" s="28"/>
      <c r="U1539" s="28"/>
      <c r="V1539" s="22"/>
      <c r="W1539" s="22"/>
      <c r="X1539" s="22"/>
      <c r="Y1539" s="22"/>
      <c r="Z1539" s="22"/>
      <c r="AA1539" s="22"/>
      <c r="AB1539" s="22"/>
      <c r="AC1539" s="22"/>
      <c r="AD1539" s="22"/>
    </row>
    <row r="1540" spans="1:30" ht="15.75" customHeight="1" x14ac:dyDescent="0.15">
      <c r="A1540" s="22"/>
      <c r="B1540" s="22"/>
      <c r="C1540" s="22"/>
      <c r="D1540" s="22"/>
      <c r="E1540" s="22"/>
      <c r="F1540" s="28"/>
      <c r="G1540" s="28"/>
      <c r="H1540" s="28"/>
      <c r="I1540" s="28"/>
      <c r="J1540" s="28"/>
      <c r="K1540" s="28"/>
      <c r="L1540" s="28"/>
      <c r="M1540" s="22"/>
      <c r="N1540" s="22"/>
      <c r="O1540" s="22"/>
      <c r="P1540" s="22"/>
      <c r="Q1540" s="22"/>
      <c r="R1540" s="28"/>
      <c r="S1540" s="28"/>
      <c r="T1540" s="28"/>
      <c r="U1540" s="28"/>
      <c r="V1540" s="22"/>
      <c r="W1540" s="22"/>
      <c r="X1540" s="22"/>
      <c r="Y1540" s="22"/>
      <c r="Z1540" s="22"/>
      <c r="AA1540" s="22"/>
      <c r="AB1540" s="22"/>
      <c r="AC1540" s="22"/>
      <c r="AD1540" s="22"/>
    </row>
    <row r="1541" spans="1:30" ht="15.75" customHeight="1" x14ac:dyDescent="0.15">
      <c r="A1541" s="22"/>
      <c r="B1541" s="22"/>
      <c r="C1541" s="22"/>
      <c r="D1541" s="22"/>
      <c r="E1541" s="22"/>
      <c r="F1541" s="28"/>
      <c r="G1541" s="28"/>
      <c r="H1541" s="28"/>
      <c r="I1541" s="28"/>
      <c r="J1541" s="28"/>
      <c r="K1541" s="28"/>
      <c r="L1541" s="28"/>
      <c r="M1541" s="22"/>
      <c r="N1541" s="22"/>
      <c r="O1541" s="22"/>
      <c r="P1541" s="22"/>
      <c r="Q1541" s="22"/>
      <c r="R1541" s="28"/>
      <c r="S1541" s="28"/>
      <c r="T1541" s="28"/>
      <c r="U1541" s="28"/>
      <c r="V1541" s="22"/>
      <c r="W1541" s="22"/>
      <c r="X1541" s="22"/>
      <c r="Y1541" s="22"/>
      <c r="Z1541" s="22"/>
      <c r="AA1541" s="22"/>
      <c r="AB1541" s="22"/>
      <c r="AC1541" s="22"/>
      <c r="AD1541" s="22"/>
    </row>
    <row r="1542" spans="1:30" ht="15.75" customHeight="1" x14ac:dyDescent="0.15">
      <c r="A1542" s="22"/>
      <c r="B1542" s="22"/>
      <c r="C1542" s="22"/>
      <c r="D1542" s="22"/>
      <c r="E1542" s="22"/>
      <c r="F1542" s="28"/>
      <c r="G1542" s="28"/>
      <c r="H1542" s="28"/>
      <c r="I1542" s="28"/>
      <c r="J1542" s="28"/>
      <c r="K1542" s="28"/>
      <c r="L1542" s="28"/>
      <c r="M1542" s="22"/>
      <c r="N1542" s="22"/>
      <c r="O1542" s="22"/>
      <c r="P1542" s="22"/>
      <c r="Q1542" s="22"/>
      <c r="R1542" s="28"/>
      <c r="S1542" s="28"/>
      <c r="T1542" s="28"/>
      <c r="U1542" s="28"/>
      <c r="V1542" s="22"/>
      <c r="W1542" s="22"/>
      <c r="X1542" s="22"/>
      <c r="Y1542" s="22"/>
      <c r="Z1542" s="22"/>
      <c r="AA1542" s="22"/>
      <c r="AB1542" s="22"/>
      <c r="AC1542" s="22"/>
      <c r="AD1542" s="22"/>
    </row>
    <row r="1543" spans="1:30" ht="15.75" customHeight="1" x14ac:dyDescent="0.15">
      <c r="A1543" s="22"/>
      <c r="B1543" s="22"/>
      <c r="C1543" s="22"/>
      <c r="D1543" s="22"/>
      <c r="E1543" s="22"/>
      <c r="F1543" s="28"/>
      <c r="G1543" s="28"/>
      <c r="H1543" s="28"/>
      <c r="I1543" s="28"/>
      <c r="J1543" s="28"/>
      <c r="K1543" s="28"/>
      <c r="L1543" s="28"/>
      <c r="M1543" s="22"/>
      <c r="N1543" s="22"/>
      <c r="O1543" s="22"/>
      <c r="P1543" s="22"/>
      <c r="Q1543" s="22"/>
      <c r="R1543" s="28"/>
      <c r="S1543" s="28"/>
      <c r="T1543" s="28"/>
      <c r="U1543" s="28"/>
      <c r="V1543" s="22"/>
      <c r="W1543" s="22"/>
      <c r="X1543" s="22"/>
      <c r="Y1543" s="22"/>
      <c r="Z1543" s="22"/>
      <c r="AA1543" s="22"/>
      <c r="AB1543" s="22"/>
      <c r="AC1543" s="22"/>
      <c r="AD1543" s="22"/>
    </row>
    <row r="1544" spans="1:30" ht="15.75" customHeight="1" x14ac:dyDescent="0.15">
      <c r="A1544" s="22"/>
      <c r="B1544" s="22"/>
      <c r="C1544" s="22"/>
      <c r="D1544" s="22"/>
      <c r="E1544" s="22"/>
      <c r="F1544" s="28"/>
      <c r="G1544" s="28"/>
      <c r="H1544" s="28"/>
      <c r="I1544" s="28"/>
      <c r="J1544" s="28"/>
      <c r="K1544" s="28"/>
      <c r="L1544" s="28"/>
      <c r="M1544" s="22"/>
      <c r="N1544" s="22"/>
      <c r="O1544" s="22"/>
      <c r="P1544" s="22"/>
      <c r="Q1544" s="22"/>
      <c r="R1544" s="28"/>
      <c r="S1544" s="28"/>
      <c r="T1544" s="28"/>
      <c r="U1544" s="28"/>
      <c r="V1544" s="22"/>
      <c r="W1544" s="22"/>
      <c r="X1544" s="22"/>
      <c r="Y1544" s="22"/>
      <c r="Z1544" s="22"/>
      <c r="AA1544" s="22"/>
      <c r="AB1544" s="22"/>
      <c r="AC1544" s="22"/>
      <c r="AD1544" s="22"/>
    </row>
    <row r="1545" spans="1:30" ht="15.75" customHeight="1" x14ac:dyDescent="0.15">
      <c r="A1545" s="22"/>
      <c r="B1545" s="22"/>
      <c r="C1545" s="22"/>
      <c r="D1545" s="22"/>
      <c r="E1545" s="22"/>
      <c r="F1545" s="28"/>
      <c r="G1545" s="28"/>
      <c r="H1545" s="28"/>
      <c r="I1545" s="28"/>
      <c r="J1545" s="28"/>
      <c r="K1545" s="28"/>
      <c r="L1545" s="28"/>
      <c r="M1545" s="22"/>
      <c r="N1545" s="22"/>
      <c r="O1545" s="22"/>
      <c r="P1545" s="22"/>
      <c r="Q1545" s="22"/>
      <c r="R1545" s="28"/>
      <c r="S1545" s="28"/>
      <c r="T1545" s="28"/>
      <c r="U1545" s="28"/>
      <c r="V1545" s="22"/>
      <c r="W1545" s="22"/>
      <c r="X1545" s="22"/>
      <c r="Y1545" s="22"/>
      <c r="Z1545" s="22"/>
      <c r="AA1545" s="22"/>
      <c r="AB1545" s="22"/>
      <c r="AC1545" s="22"/>
      <c r="AD1545" s="22"/>
    </row>
    <row r="1546" spans="1:30" ht="15.75" customHeight="1" x14ac:dyDescent="0.15">
      <c r="A1546" s="22"/>
      <c r="B1546" s="22"/>
      <c r="C1546" s="22"/>
      <c r="D1546" s="22"/>
      <c r="E1546" s="22"/>
      <c r="F1546" s="28"/>
      <c r="G1546" s="28"/>
      <c r="H1546" s="28"/>
      <c r="I1546" s="28"/>
      <c r="J1546" s="28"/>
      <c r="K1546" s="28"/>
      <c r="L1546" s="28"/>
      <c r="M1546" s="22"/>
      <c r="N1546" s="22"/>
      <c r="O1546" s="22"/>
      <c r="P1546" s="22"/>
      <c r="Q1546" s="22"/>
      <c r="R1546" s="28"/>
      <c r="S1546" s="28"/>
      <c r="T1546" s="28"/>
      <c r="U1546" s="28"/>
      <c r="V1546" s="22"/>
      <c r="W1546" s="22"/>
      <c r="X1546" s="22"/>
      <c r="Y1546" s="22"/>
      <c r="Z1546" s="22"/>
      <c r="AA1546" s="22"/>
      <c r="AB1546" s="22"/>
      <c r="AC1546" s="22"/>
      <c r="AD1546" s="22"/>
    </row>
    <row r="1547" spans="1:30" ht="15.75" customHeight="1" x14ac:dyDescent="0.15">
      <c r="A1547" s="22"/>
      <c r="B1547" s="22"/>
      <c r="C1547" s="22"/>
      <c r="D1547" s="22"/>
      <c r="E1547" s="22"/>
      <c r="F1547" s="28"/>
      <c r="G1547" s="28"/>
      <c r="H1547" s="28"/>
      <c r="I1547" s="28"/>
      <c r="J1547" s="28"/>
      <c r="K1547" s="28"/>
      <c r="L1547" s="28"/>
      <c r="M1547" s="22"/>
      <c r="N1547" s="22"/>
      <c r="O1547" s="22"/>
      <c r="P1547" s="22"/>
      <c r="Q1547" s="22"/>
      <c r="R1547" s="28"/>
      <c r="S1547" s="28"/>
      <c r="T1547" s="28"/>
      <c r="U1547" s="28"/>
      <c r="V1547" s="22"/>
      <c r="W1547" s="22"/>
      <c r="X1547" s="22"/>
      <c r="Y1547" s="22"/>
      <c r="Z1547" s="22"/>
      <c r="AA1547" s="22"/>
      <c r="AB1547" s="22"/>
      <c r="AC1547" s="22"/>
      <c r="AD1547" s="22"/>
    </row>
    <row r="1548" spans="1:30" ht="15.75" customHeight="1" x14ac:dyDescent="0.15">
      <c r="A1548" s="22"/>
      <c r="B1548" s="22"/>
      <c r="C1548" s="22"/>
      <c r="D1548" s="22"/>
      <c r="E1548" s="22"/>
      <c r="F1548" s="28"/>
      <c r="G1548" s="28"/>
      <c r="H1548" s="28"/>
      <c r="I1548" s="28"/>
      <c r="J1548" s="28"/>
      <c r="K1548" s="28"/>
      <c r="L1548" s="28"/>
      <c r="M1548" s="22"/>
      <c r="N1548" s="22"/>
      <c r="O1548" s="22"/>
      <c r="P1548" s="22"/>
      <c r="Q1548" s="22"/>
      <c r="R1548" s="28"/>
      <c r="S1548" s="28"/>
      <c r="T1548" s="28"/>
      <c r="U1548" s="28"/>
      <c r="V1548" s="22"/>
      <c r="W1548" s="22"/>
      <c r="X1548" s="22"/>
      <c r="Y1548" s="22"/>
      <c r="Z1548" s="22"/>
      <c r="AA1548" s="22"/>
      <c r="AB1548" s="22"/>
      <c r="AC1548" s="22"/>
      <c r="AD1548" s="22"/>
    </row>
    <row r="1549" spans="1:30" ht="15.75" customHeight="1" x14ac:dyDescent="0.15">
      <c r="A1549" s="22"/>
      <c r="B1549" s="22"/>
      <c r="C1549" s="22"/>
      <c r="D1549" s="22"/>
      <c r="E1549" s="22"/>
      <c r="F1549" s="28"/>
      <c r="G1549" s="28"/>
      <c r="H1549" s="28"/>
      <c r="I1549" s="28"/>
      <c r="J1549" s="28"/>
      <c r="K1549" s="28"/>
      <c r="L1549" s="28"/>
      <c r="M1549" s="22"/>
      <c r="N1549" s="22"/>
      <c r="O1549" s="22"/>
      <c r="P1549" s="22"/>
      <c r="Q1549" s="22"/>
      <c r="R1549" s="28"/>
      <c r="S1549" s="28"/>
      <c r="T1549" s="28"/>
      <c r="U1549" s="28"/>
      <c r="V1549" s="22"/>
      <c r="W1549" s="22"/>
      <c r="X1549" s="22"/>
      <c r="Y1549" s="22"/>
      <c r="Z1549" s="22"/>
      <c r="AA1549" s="22"/>
      <c r="AB1549" s="22"/>
      <c r="AC1549" s="22"/>
      <c r="AD1549" s="22"/>
    </row>
    <row r="1550" spans="1:30" ht="15.75" customHeight="1" x14ac:dyDescent="0.15">
      <c r="A1550" s="22"/>
      <c r="B1550" s="22"/>
      <c r="C1550" s="22"/>
      <c r="D1550" s="22"/>
      <c r="E1550" s="22"/>
      <c r="F1550" s="28"/>
      <c r="G1550" s="28"/>
      <c r="H1550" s="28"/>
      <c r="I1550" s="28"/>
      <c r="J1550" s="28"/>
      <c r="K1550" s="28"/>
      <c r="L1550" s="28"/>
      <c r="M1550" s="22"/>
      <c r="N1550" s="22"/>
      <c r="O1550" s="22"/>
      <c r="P1550" s="22"/>
      <c r="Q1550" s="22"/>
      <c r="R1550" s="28"/>
      <c r="S1550" s="28"/>
      <c r="T1550" s="28"/>
      <c r="U1550" s="28"/>
      <c r="V1550" s="22"/>
      <c r="W1550" s="22"/>
      <c r="X1550" s="22"/>
      <c r="Y1550" s="22"/>
      <c r="Z1550" s="22"/>
      <c r="AA1550" s="22"/>
      <c r="AB1550" s="22"/>
      <c r="AC1550" s="22"/>
      <c r="AD1550" s="22"/>
    </row>
    <row r="1551" spans="1:30" ht="15.75" customHeight="1" x14ac:dyDescent="0.15">
      <c r="A1551" s="22"/>
      <c r="B1551" s="22"/>
      <c r="C1551" s="22"/>
      <c r="D1551" s="22"/>
      <c r="E1551" s="22"/>
      <c r="F1551" s="28"/>
      <c r="G1551" s="28"/>
      <c r="H1551" s="28"/>
      <c r="I1551" s="28"/>
      <c r="J1551" s="28"/>
      <c r="K1551" s="28"/>
      <c r="L1551" s="28"/>
      <c r="M1551" s="22"/>
      <c r="N1551" s="22"/>
      <c r="O1551" s="22"/>
      <c r="P1551" s="22"/>
      <c r="Q1551" s="22"/>
      <c r="R1551" s="28"/>
      <c r="S1551" s="28"/>
      <c r="T1551" s="28"/>
      <c r="U1551" s="28"/>
      <c r="V1551" s="22"/>
      <c r="W1551" s="22"/>
      <c r="X1551" s="22"/>
      <c r="Y1551" s="22"/>
      <c r="Z1551" s="22"/>
      <c r="AA1551" s="22"/>
      <c r="AB1551" s="22"/>
      <c r="AC1551" s="22"/>
      <c r="AD1551" s="22"/>
    </row>
    <row r="1552" spans="1:30" ht="15.75" customHeight="1" x14ac:dyDescent="0.15">
      <c r="A1552" s="22"/>
      <c r="B1552" s="22"/>
      <c r="C1552" s="22"/>
      <c r="D1552" s="22"/>
      <c r="E1552" s="22"/>
      <c r="F1552" s="28"/>
      <c r="G1552" s="28"/>
      <c r="H1552" s="28"/>
      <c r="I1552" s="28"/>
      <c r="J1552" s="28"/>
      <c r="K1552" s="28"/>
      <c r="L1552" s="28"/>
      <c r="M1552" s="22"/>
      <c r="N1552" s="22"/>
      <c r="O1552" s="22"/>
      <c r="P1552" s="22"/>
      <c r="Q1552" s="22"/>
      <c r="R1552" s="28"/>
      <c r="S1552" s="28"/>
      <c r="T1552" s="28"/>
      <c r="U1552" s="28"/>
      <c r="V1552" s="22"/>
      <c r="W1552" s="22"/>
      <c r="X1552" s="22"/>
      <c r="Y1552" s="22"/>
      <c r="Z1552" s="22"/>
      <c r="AA1552" s="22"/>
      <c r="AB1552" s="22"/>
      <c r="AC1552" s="22"/>
      <c r="AD1552" s="22"/>
    </row>
    <row r="1553" spans="1:30" ht="15.75" customHeight="1" x14ac:dyDescent="0.15">
      <c r="A1553" s="22"/>
      <c r="B1553" s="22"/>
      <c r="C1553" s="22"/>
      <c r="D1553" s="22"/>
      <c r="E1553" s="22"/>
      <c r="F1553" s="28"/>
      <c r="G1553" s="28"/>
      <c r="H1553" s="28"/>
      <c r="I1553" s="28"/>
      <c r="J1553" s="28"/>
      <c r="K1553" s="28"/>
      <c r="L1553" s="28"/>
      <c r="M1553" s="22"/>
      <c r="N1553" s="22"/>
      <c r="O1553" s="22"/>
      <c r="P1553" s="22"/>
      <c r="Q1553" s="22"/>
      <c r="R1553" s="28"/>
      <c r="S1553" s="28"/>
      <c r="T1553" s="28"/>
      <c r="U1553" s="28"/>
      <c r="V1553" s="22"/>
      <c r="W1553" s="22"/>
      <c r="X1553" s="22"/>
      <c r="Y1553" s="22"/>
      <c r="Z1553" s="22"/>
      <c r="AA1553" s="22"/>
      <c r="AB1553" s="22"/>
      <c r="AC1553" s="22"/>
      <c r="AD1553" s="22"/>
    </row>
    <row r="1554" spans="1:30" ht="15.75" customHeight="1" x14ac:dyDescent="0.15">
      <c r="A1554" s="22"/>
      <c r="B1554" s="22"/>
      <c r="C1554" s="22"/>
      <c r="D1554" s="22"/>
      <c r="E1554" s="22"/>
      <c r="F1554" s="28"/>
      <c r="G1554" s="28"/>
      <c r="H1554" s="28"/>
      <c r="I1554" s="28"/>
      <c r="J1554" s="28"/>
      <c r="K1554" s="28"/>
      <c r="L1554" s="28"/>
      <c r="M1554" s="22"/>
      <c r="N1554" s="22"/>
      <c r="O1554" s="22"/>
      <c r="P1554" s="22"/>
      <c r="Q1554" s="22"/>
      <c r="R1554" s="28"/>
      <c r="S1554" s="28"/>
      <c r="T1554" s="28"/>
      <c r="U1554" s="28"/>
      <c r="V1554" s="22"/>
      <c r="W1554" s="22"/>
      <c r="X1554" s="22"/>
      <c r="Y1554" s="22"/>
      <c r="Z1554" s="22"/>
      <c r="AA1554" s="22"/>
      <c r="AB1554" s="22"/>
      <c r="AC1554" s="22"/>
      <c r="AD1554" s="22"/>
    </row>
    <row r="1555" spans="1:30" ht="15.75" customHeight="1" x14ac:dyDescent="0.15">
      <c r="A1555" s="22"/>
      <c r="B1555" s="22"/>
      <c r="C1555" s="22"/>
      <c r="D1555" s="22"/>
      <c r="E1555" s="22"/>
      <c r="F1555" s="28"/>
      <c r="G1555" s="28"/>
      <c r="H1555" s="28"/>
      <c r="I1555" s="28"/>
      <c r="J1555" s="28"/>
      <c r="K1555" s="28"/>
      <c r="L1555" s="28"/>
      <c r="M1555" s="22"/>
      <c r="N1555" s="22"/>
      <c r="O1555" s="22"/>
      <c r="P1555" s="22"/>
      <c r="Q1555" s="22"/>
      <c r="R1555" s="28"/>
      <c r="S1555" s="28"/>
      <c r="T1555" s="28"/>
      <c r="U1555" s="28"/>
      <c r="V1555" s="22"/>
      <c r="W1555" s="22"/>
      <c r="X1555" s="22"/>
      <c r="Y1555" s="22"/>
      <c r="Z1555" s="22"/>
      <c r="AA1555" s="22"/>
      <c r="AB1555" s="22"/>
      <c r="AC1555" s="22"/>
      <c r="AD1555" s="22"/>
    </row>
    <row r="1556" spans="1:30" ht="15.75" customHeight="1" x14ac:dyDescent="0.15">
      <c r="A1556" s="22"/>
      <c r="B1556" s="22"/>
      <c r="C1556" s="22"/>
      <c r="D1556" s="22"/>
      <c r="E1556" s="22"/>
      <c r="F1556" s="28"/>
      <c r="G1556" s="28"/>
      <c r="H1556" s="28"/>
      <c r="I1556" s="28"/>
      <c r="J1556" s="28"/>
      <c r="K1556" s="28"/>
      <c r="L1556" s="28"/>
      <c r="M1556" s="22"/>
      <c r="N1556" s="22"/>
      <c r="O1556" s="22"/>
      <c r="P1556" s="22"/>
      <c r="Q1556" s="22"/>
      <c r="R1556" s="28"/>
      <c r="S1556" s="28"/>
      <c r="T1556" s="28"/>
      <c r="U1556" s="28"/>
      <c r="V1556" s="22"/>
      <c r="W1556" s="22"/>
      <c r="X1556" s="22"/>
      <c r="Y1556" s="22"/>
      <c r="Z1556" s="22"/>
      <c r="AA1556" s="22"/>
      <c r="AB1556" s="22"/>
      <c r="AC1556" s="22"/>
      <c r="AD1556" s="22"/>
    </row>
    <row r="1557" spans="1:30" ht="15.75" customHeight="1" x14ac:dyDescent="0.15">
      <c r="A1557" s="22"/>
      <c r="B1557" s="22"/>
      <c r="C1557" s="22"/>
      <c r="D1557" s="22"/>
      <c r="E1557" s="22"/>
      <c r="F1557" s="28"/>
      <c r="G1557" s="28"/>
      <c r="H1557" s="28"/>
      <c r="I1557" s="28"/>
      <c r="J1557" s="28"/>
      <c r="K1557" s="28"/>
      <c r="L1557" s="28"/>
      <c r="M1557" s="22"/>
      <c r="N1557" s="22"/>
      <c r="O1557" s="22"/>
      <c r="P1557" s="22"/>
      <c r="Q1557" s="22"/>
      <c r="R1557" s="28"/>
      <c r="S1557" s="28"/>
      <c r="T1557" s="28"/>
      <c r="U1557" s="28"/>
      <c r="V1557" s="22"/>
      <c r="W1557" s="22"/>
      <c r="X1557" s="22"/>
      <c r="Y1557" s="22"/>
      <c r="Z1557" s="22"/>
      <c r="AA1557" s="22"/>
      <c r="AB1557" s="22"/>
      <c r="AC1557" s="22"/>
      <c r="AD1557" s="22"/>
    </row>
    <row r="1558" spans="1:30" ht="15.75" customHeight="1" x14ac:dyDescent="0.15">
      <c r="A1558" s="22"/>
      <c r="B1558" s="22"/>
      <c r="C1558" s="22"/>
      <c r="D1558" s="22"/>
      <c r="E1558" s="22"/>
      <c r="F1558" s="28"/>
      <c r="G1558" s="28"/>
      <c r="H1558" s="28"/>
      <c r="I1558" s="28"/>
      <c r="J1558" s="28"/>
      <c r="K1558" s="28"/>
      <c r="L1558" s="28"/>
      <c r="M1558" s="22"/>
      <c r="N1558" s="22"/>
      <c r="O1558" s="22"/>
      <c r="P1558" s="22"/>
      <c r="Q1558" s="22"/>
      <c r="R1558" s="28"/>
      <c r="S1558" s="28"/>
      <c r="T1558" s="28"/>
      <c r="U1558" s="28"/>
      <c r="V1558" s="22"/>
      <c r="W1558" s="22"/>
      <c r="X1558" s="22"/>
      <c r="Y1558" s="22"/>
      <c r="Z1558" s="22"/>
      <c r="AA1558" s="22"/>
      <c r="AB1558" s="22"/>
      <c r="AC1558" s="22"/>
      <c r="AD1558" s="22"/>
    </row>
    <row r="1559" spans="1:30" ht="15.75" customHeight="1" x14ac:dyDescent="0.15">
      <c r="A1559" s="22"/>
      <c r="B1559" s="22"/>
      <c r="C1559" s="22"/>
      <c r="D1559" s="22"/>
      <c r="E1559" s="22"/>
      <c r="F1559" s="28"/>
      <c r="G1559" s="28"/>
      <c r="H1559" s="28"/>
      <c r="I1559" s="28"/>
      <c r="J1559" s="28"/>
      <c r="K1559" s="28"/>
      <c r="L1559" s="28"/>
      <c r="M1559" s="22"/>
      <c r="N1559" s="22"/>
      <c r="O1559" s="22"/>
      <c r="P1559" s="22"/>
      <c r="Q1559" s="22"/>
      <c r="R1559" s="28"/>
      <c r="S1559" s="28"/>
      <c r="T1559" s="28"/>
      <c r="U1559" s="28"/>
      <c r="V1559" s="22"/>
      <c r="W1559" s="22"/>
      <c r="X1559" s="22"/>
      <c r="Y1559" s="22"/>
      <c r="Z1559" s="22"/>
      <c r="AA1559" s="22"/>
      <c r="AB1559" s="22"/>
      <c r="AC1559" s="22"/>
      <c r="AD1559" s="22"/>
    </row>
    <row r="1560" spans="1:30" ht="15.75" customHeight="1" x14ac:dyDescent="0.15">
      <c r="A1560" s="22"/>
      <c r="B1560" s="22"/>
      <c r="C1560" s="22"/>
      <c r="D1560" s="22"/>
      <c r="E1560" s="22"/>
      <c r="F1560" s="28"/>
      <c r="G1560" s="28"/>
      <c r="H1560" s="28"/>
      <c r="I1560" s="28"/>
      <c r="J1560" s="28"/>
      <c r="K1560" s="28"/>
      <c r="L1560" s="28"/>
      <c r="M1560" s="22"/>
      <c r="N1560" s="22"/>
      <c r="O1560" s="22"/>
      <c r="P1560" s="22"/>
      <c r="Q1560" s="22"/>
      <c r="R1560" s="28"/>
      <c r="S1560" s="28"/>
      <c r="T1560" s="28"/>
      <c r="U1560" s="28"/>
      <c r="V1560" s="22"/>
      <c r="W1560" s="22"/>
      <c r="X1560" s="22"/>
      <c r="Y1560" s="22"/>
      <c r="Z1560" s="22"/>
      <c r="AA1560" s="22"/>
      <c r="AB1560" s="22"/>
      <c r="AC1560" s="22"/>
      <c r="AD1560" s="22"/>
    </row>
    <row r="1561" spans="1:30" ht="15.75" customHeight="1" x14ac:dyDescent="0.15">
      <c r="A1561" s="22"/>
      <c r="B1561" s="22"/>
      <c r="C1561" s="22"/>
      <c r="D1561" s="22"/>
      <c r="E1561" s="22"/>
      <c r="F1561" s="28"/>
      <c r="G1561" s="28"/>
      <c r="H1561" s="28"/>
      <c r="I1561" s="28"/>
      <c r="J1561" s="28"/>
      <c r="K1561" s="28"/>
      <c r="L1561" s="28"/>
      <c r="M1561" s="22"/>
      <c r="N1561" s="22"/>
      <c r="O1561" s="22"/>
      <c r="P1561" s="22"/>
      <c r="Q1561" s="22"/>
      <c r="R1561" s="28"/>
      <c r="S1561" s="28"/>
      <c r="T1561" s="28"/>
      <c r="U1561" s="28"/>
      <c r="V1561" s="22"/>
      <c r="W1561" s="22"/>
      <c r="X1561" s="22"/>
      <c r="Y1561" s="22"/>
      <c r="Z1561" s="22"/>
      <c r="AA1561" s="22"/>
      <c r="AB1561" s="22"/>
      <c r="AC1561" s="22"/>
      <c r="AD1561" s="22"/>
    </row>
    <row r="1562" spans="1:30" ht="15.75" customHeight="1" x14ac:dyDescent="0.15">
      <c r="A1562" s="22"/>
      <c r="B1562" s="22"/>
      <c r="C1562" s="22"/>
      <c r="D1562" s="22"/>
      <c r="E1562" s="22"/>
      <c r="F1562" s="28"/>
      <c r="G1562" s="28"/>
      <c r="H1562" s="28"/>
      <c r="I1562" s="28"/>
      <c r="J1562" s="28"/>
      <c r="K1562" s="28"/>
      <c r="L1562" s="28"/>
      <c r="M1562" s="22"/>
      <c r="N1562" s="22"/>
      <c r="O1562" s="22"/>
      <c r="P1562" s="22"/>
      <c r="Q1562" s="22"/>
      <c r="R1562" s="28"/>
      <c r="S1562" s="28"/>
      <c r="T1562" s="28"/>
      <c r="U1562" s="28"/>
      <c r="V1562" s="22"/>
      <c r="W1562" s="22"/>
      <c r="X1562" s="22"/>
      <c r="Y1562" s="22"/>
      <c r="Z1562" s="22"/>
      <c r="AA1562" s="22"/>
      <c r="AB1562" s="22"/>
      <c r="AC1562" s="22"/>
      <c r="AD1562" s="22"/>
    </row>
    <row r="1563" spans="1:30" ht="15.75" customHeight="1" x14ac:dyDescent="0.15">
      <c r="A1563" s="22"/>
      <c r="B1563" s="22"/>
      <c r="C1563" s="22"/>
      <c r="D1563" s="22"/>
      <c r="E1563" s="22"/>
      <c r="F1563" s="28"/>
      <c r="G1563" s="28"/>
      <c r="H1563" s="28"/>
      <c r="I1563" s="28"/>
      <c r="J1563" s="28"/>
      <c r="K1563" s="28"/>
      <c r="L1563" s="28"/>
      <c r="M1563" s="22"/>
      <c r="N1563" s="22"/>
      <c r="O1563" s="22"/>
      <c r="P1563" s="22"/>
      <c r="Q1563" s="22"/>
      <c r="R1563" s="28"/>
      <c r="S1563" s="28"/>
      <c r="T1563" s="28"/>
      <c r="U1563" s="28"/>
      <c r="V1563" s="22"/>
      <c r="W1563" s="22"/>
      <c r="X1563" s="22"/>
      <c r="Y1563" s="22"/>
      <c r="Z1563" s="22"/>
      <c r="AA1563" s="22"/>
      <c r="AB1563" s="22"/>
      <c r="AC1563" s="22"/>
      <c r="AD1563" s="22"/>
    </row>
    <row r="1564" spans="1:30" ht="15.75" customHeight="1" x14ac:dyDescent="0.15">
      <c r="A1564" s="22"/>
      <c r="B1564" s="22"/>
      <c r="C1564" s="22"/>
      <c r="D1564" s="22"/>
      <c r="E1564" s="22"/>
      <c r="F1564" s="28"/>
      <c r="G1564" s="28"/>
      <c r="H1564" s="28"/>
      <c r="I1564" s="28"/>
      <c r="J1564" s="28"/>
      <c r="K1564" s="28"/>
      <c r="L1564" s="28"/>
      <c r="M1564" s="22"/>
      <c r="N1564" s="22"/>
      <c r="O1564" s="22"/>
      <c r="P1564" s="22"/>
      <c r="Q1564" s="22"/>
      <c r="R1564" s="28"/>
      <c r="S1564" s="28"/>
      <c r="T1564" s="28"/>
      <c r="U1564" s="28"/>
      <c r="V1564" s="22"/>
      <c r="W1564" s="22"/>
      <c r="X1564" s="22"/>
      <c r="Y1564" s="22"/>
      <c r="Z1564" s="22"/>
      <c r="AA1564" s="22"/>
      <c r="AB1564" s="22"/>
      <c r="AC1564" s="22"/>
      <c r="AD1564" s="22"/>
    </row>
    <row r="1565" spans="1:30" ht="15.75" customHeight="1" x14ac:dyDescent="0.15">
      <c r="A1565" s="22"/>
      <c r="B1565" s="22"/>
      <c r="C1565" s="22"/>
      <c r="D1565" s="22"/>
      <c r="E1565" s="22"/>
      <c r="F1565" s="28"/>
      <c r="G1565" s="28"/>
      <c r="H1565" s="28"/>
      <c r="I1565" s="28"/>
      <c r="J1565" s="28"/>
      <c r="K1565" s="28"/>
      <c r="L1565" s="28"/>
      <c r="M1565" s="22"/>
      <c r="N1565" s="22"/>
      <c r="O1565" s="22"/>
      <c r="P1565" s="22"/>
      <c r="Q1565" s="22"/>
      <c r="R1565" s="28"/>
      <c r="S1565" s="28"/>
      <c r="T1565" s="28"/>
      <c r="U1565" s="28"/>
      <c r="V1565" s="22"/>
      <c r="W1565" s="22"/>
      <c r="X1565" s="22"/>
      <c r="Y1565" s="22"/>
      <c r="Z1565" s="22"/>
      <c r="AA1565" s="22"/>
      <c r="AB1565" s="22"/>
      <c r="AC1565" s="22"/>
      <c r="AD1565" s="22"/>
    </row>
    <row r="1566" spans="1:30" ht="15.75" customHeight="1" x14ac:dyDescent="0.15">
      <c r="A1566" s="22"/>
      <c r="B1566" s="22"/>
      <c r="C1566" s="22"/>
      <c r="D1566" s="22"/>
      <c r="E1566" s="22"/>
      <c r="F1566" s="28"/>
      <c r="G1566" s="28"/>
      <c r="H1566" s="28"/>
      <c r="I1566" s="28"/>
      <c r="J1566" s="28"/>
      <c r="K1566" s="28"/>
      <c r="L1566" s="28"/>
      <c r="M1566" s="22"/>
      <c r="N1566" s="22"/>
      <c r="O1566" s="22"/>
      <c r="P1566" s="22"/>
      <c r="Q1566" s="22"/>
      <c r="R1566" s="28"/>
      <c r="S1566" s="28"/>
      <c r="T1566" s="28"/>
      <c r="U1566" s="28"/>
      <c r="V1566" s="22"/>
      <c r="W1566" s="22"/>
      <c r="X1566" s="22"/>
      <c r="Y1566" s="22"/>
      <c r="Z1566" s="22"/>
      <c r="AA1566" s="22"/>
      <c r="AB1566" s="22"/>
      <c r="AC1566" s="22"/>
      <c r="AD1566" s="22"/>
    </row>
    <row r="1567" spans="1:30" ht="15.75" customHeight="1" x14ac:dyDescent="0.15">
      <c r="A1567" s="22"/>
      <c r="B1567" s="22"/>
      <c r="C1567" s="22"/>
      <c r="D1567" s="22"/>
      <c r="E1567" s="22"/>
      <c r="F1567" s="28"/>
      <c r="G1567" s="28"/>
      <c r="H1567" s="28"/>
      <c r="I1567" s="28"/>
      <c r="J1567" s="28"/>
      <c r="K1567" s="28"/>
      <c r="L1567" s="28"/>
      <c r="M1567" s="22"/>
      <c r="N1567" s="22"/>
      <c r="O1567" s="22"/>
      <c r="P1567" s="22"/>
      <c r="Q1567" s="22"/>
      <c r="R1567" s="28"/>
      <c r="S1567" s="28"/>
      <c r="T1567" s="28"/>
      <c r="U1567" s="28"/>
      <c r="V1567" s="22"/>
      <c r="W1567" s="22"/>
      <c r="X1567" s="22"/>
      <c r="Y1567" s="22"/>
      <c r="Z1567" s="22"/>
      <c r="AA1567" s="22"/>
      <c r="AB1567" s="22"/>
      <c r="AC1567" s="22"/>
      <c r="AD1567" s="22"/>
    </row>
    <row r="1568" spans="1:30" ht="15.75" customHeight="1" x14ac:dyDescent="0.15">
      <c r="A1568" s="22"/>
      <c r="B1568" s="22"/>
      <c r="C1568" s="22"/>
      <c r="D1568" s="22"/>
      <c r="E1568" s="22"/>
      <c r="F1568" s="28"/>
      <c r="G1568" s="28"/>
      <c r="H1568" s="28"/>
      <c r="I1568" s="28"/>
      <c r="J1568" s="28"/>
      <c r="K1568" s="28"/>
      <c r="L1568" s="28"/>
      <c r="M1568" s="22"/>
      <c r="N1568" s="22"/>
      <c r="O1568" s="22"/>
      <c r="P1568" s="22"/>
      <c r="Q1568" s="22"/>
      <c r="R1568" s="28"/>
      <c r="S1568" s="28"/>
      <c r="T1568" s="28"/>
      <c r="U1568" s="28"/>
      <c r="V1568" s="22"/>
      <c r="W1568" s="22"/>
      <c r="X1568" s="22"/>
      <c r="Y1568" s="22"/>
      <c r="Z1568" s="22"/>
      <c r="AA1568" s="22"/>
      <c r="AB1568" s="22"/>
      <c r="AC1568" s="22"/>
      <c r="AD1568" s="22"/>
    </row>
    <row r="1569" spans="1:30" ht="15.75" customHeight="1" x14ac:dyDescent="0.15">
      <c r="A1569" s="22"/>
      <c r="B1569" s="22"/>
      <c r="C1569" s="22"/>
      <c r="D1569" s="22"/>
      <c r="E1569" s="22"/>
      <c r="F1569" s="28"/>
      <c r="G1569" s="28"/>
      <c r="H1569" s="28"/>
      <c r="I1569" s="28"/>
      <c r="J1569" s="28"/>
      <c r="K1569" s="28"/>
      <c r="L1569" s="28"/>
      <c r="M1569" s="22"/>
      <c r="N1569" s="22"/>
      <c r="O1569" s="22"/>
      <c r="P1569" s="22"/>
      <c r="Q1569" s="22"/>
      <c r="R1569" s="28"/>
      <c r="S1569" s="28"/>
      <c r="T1569" s="28"/>
      <c r="U1569" s="28"/>
      <c r="V1569" s="22"/>
      <c r="W1569" s="22"/>
      <c r="X1569" s="22"/>
      <c r="Y1569" s="22"/>
      <c r="Z1569" s="22"/>
      <c r="AA1569" s="22"/>
      <c r="AB1569" s="22"/>
      <c r="AC1569" s="22"/>
      <c r="AD1569" s="22"/>
    </row>
    <row r="1570" spans="1:30" ht="15.75" customHeight="1" x14ac:dyDescent="0.15">
      <c r="A1570" s="22"/>
      <c r="B1570" s="22"/>
      <c r="C1570" s="22"/>
      <c r="D1570" s="22"/>
      <c r="E1570" s="22"/>
      <c r="F1570" s="28"/>
      <c r="G1570" s="28"/>
      <c r="H1570" s="28"/>
      <c r="I1570" s="28"/>
      <c r="J1570" s="28"/>
      <c r="K1570" s="28"/>
      <c r="L1570" s="28"/>
      <c r="M1570" s="22"/>
      <c r="N1570" s="22"/>
      <c r="O1570" s="22"/>
      <c r="P1570" s="22"/>
      <c r="Q1570" s="22"/>
      <c r="R1570" s="28"/>
      <c r="S1570" s="28"/>
      <c r="T1570" s="28"/>
      <c r="U1570" s="28"/>
      <c r="V1570" s="22"/>
      <c r="W1570" s="22"/>
      <c r="X1570" s="22"/>
      <c r="Y1570" s="22"/>
      <c r="Z1570" s="22"/>
      <c r="AA1570" s="22"/>
      <c r="AB1570" s="22"/>
      <c r="AC1570" s="22"/>
      <c r="AD1570" s="22"/>
    </row>
    <row r="1571" spans="1:30" ht="15.75" customHeight="1" x14ac:dyDescent="0.15">
      <c r="A1571" s="22"/>
      <c r="B1571" s="22"/>
      <c r="C1571" s="22"/>
      <c r="D1571" s="22"/>
      <c r="E1571" s="22"/>
      <c r="F1571" s="28"/>
      <c r="G1571" s="28"/>
      <c r="H1571" s="28"/>
      <c r="I1571" s="28"/>
      <c r="J1571" s="28"/>
      <c r="K1571" s="28"/>
      <c r="L1571" s="28"/>
      <c r="M1571" s="22"/>
      <c r="N1571" s="22"/>
      <c r="O1571" s="22"/>
      <c r="P1571" s="22"/>
      <c r="Q1571" s="22"/>
      <c r="R1571" s="28"/>
      <c r="S1571" s="28"/>
      <c r="T1571" s="28"/>
      <c r="U1571" s="28"/>
      <c r="V1571" s="22"/>
      <c r="W1571" s="22"/>
      <c r="X1571" s="22"/>
      <c r="Y1571" s="22"/>
      <c r="Z1571" s="22"/>
      <c r="AA1571" s="22"/>
      <c r="AB1571" s="22"/>
      <c r="AC1571" s="22"/>
      <c r="AD1571" s="22"/>
    </row>
    <row r="1572" spans="1:30" ht="15.75" customHeight="1" x14ac:dyDescent="0.15">
      <c r="A1572" s="22"/>
      <c r="B1572" s="22"/>
      <c r="C1572" s="22"/>
      <c r="D1572" s="22"/>
      <c r="E1572" s="22"/>
      <c r="F1572" s="28"/>
      <c r="G1572" s="28"/>
      <c r="H1572" s="28"/>
      <c r="I1572" s="28"/>
      <c r="J1572" s="28"/>
      <c r="K1572" s="28"/>
      <c r="L1572" s="28"/>
      <c r="M1572" s="22"/>
      <c r="N1572" s="22"/>
      <c r="O1572" s="22"/>
      <c r="P1572" s="22"/>
      <c r="Q1572" s="22"/>
      <c r="R1572" s="28"/>
      <c r="S1572" s="28"/>
      <c r="T1572" s="28"/>
      <c r="U1572" s="28"/>
      <c r="V1572" s="22"/>
      <c r="W1572" s="22"/>
      <c r="X1572" s="22"/>
      <c r="Y1572" s="22"/>
      <c r="Z1572" s="22"/>
      <c r="AA1572" s="22"/>
      <c r="AB1572" s="22"/>
      <c r="AC1572" s="22"/>
      <c r="AD1572" s="22"/>
    </row>
    <row r="1573" spans="1:30" ht="15.75" customHeight="1" x14ac:dyDescent="0.15">
      <c r="A1573" s="22"/>
      <c r="B1573" s="22"/>
      <c r="C1573" s="22"/>
      <c r="D1573" s="22"/>
      <c r="E1573" s="22"/>
      <c r="F1573" s="28"/>
      <c r="G1573" s="28"/>
      <c r="H1573" s="28"/>
      <c r="I1573" s="28"/>
      <c r="J1573" s="28"/>
      <c r="K1573" s="28"/>
      <c r="L1573" s="28"/>
      <c r="M1573" s="22"/>
      <c r="N1573" s="22"/>
      <c r="O1573" s="22"/>
      <c r="P1573" s="22"/>
      <c r="Q1573" s="22"/>
      <c r="R1573" s="28"/>
      <c r="S1573" s="28"/>
      <c r="T1573" s="28"/>
      <c r="U1573" s="28"/>
      <c r="V1573" s="22"/>
      <c r="W1573" s="22"/>
      <c r="X1573" s="22"/>
      <c r="Y1573" s="22"/>
      <c r="Z1573" s="22"/>
      <c r="AA1573" s="22"/>
      <c r="AB1573" s="22"/>
      <c r="AC1573" s="22"/>
      <c r="AD1573" s="22"/>
    </row>
    <row r="1574" spans="1:30" ht="15.75" customHeight="1" x14ac:dyDescent="0.15">
      <c r="A1574" s="22"/>
      <c r="B1574" s="22"/>
      <c r="C1574" s="22"/>
      <c r="D1574" s="22"/>
      <c r="E1574" s="22"/>
      <c r="F1574" s="28"/>
      <c r="G1574" s="28"/>
      <c r="H1574" s="28"/>
      <c r="I1574" s="28"/>
      <c r="J1574" s="28"/>
      <c r="K1574" s="28"/>
      <c r="L1574" s="28"/>
      <c r="M1574" s="22"/>
      <c r="N1574" s="22"/>
      <c r="O1574" s="22"/>
      <c r="P1574" s="22"/>
      <c r="Q1574" s="22"/>
      <c r="R1574" s="28"/>
      <c r="S1574" s="28"/>
      <c r="T1574" s="28"/>
      <c r="U1574" s="28"/>
      <c r="V1574" s="22"/>
      <c r="W1574" s="22"/>
      <c r="X1574" s="22"/>
      <c r="Y1574" s="22"/>
      <c r="Z1574" s="22"/>
      <c r="AA1574" s="22"/>
      <c r="AB1574" s="22"/>
      <c r="AC1574" s="22"/>
      <c r="AD1574" s="22"/>
    </row>
    <row r="1575" spans="1:30" ht="15.75" customHeight="1" x14ac:dyDescent="0.15">
      <c r="A1575" s="22"/>
      <c r="B1575" s="22"/>
      <c r="C1575" s="22"/>
      <c r="D1575" s="22"/>
      <c r="E1575" s="22"/>
      <c r="F1575" s="28"/>
      <c r="G1575" s="28"/>
      <c r="H1575" s="28"/>
      <c r="I1575" s="28"/>
      <c r="J1575" s="28"/>
      <c r="K1575" s="28"/>
      <c r="L1575" s="28"/>
      <c r="M1575" s="22"/>
      <c r="N1575" s="22"/>
      <c r="O1575" s="22"/>
      <c r="P1575" s="22"/>
      <c r="Q1575" s="22"/>
      <c r="R1575" s="28"/>
      <c r="S1575" s="28"/>
      <c r="T1575" s="28"/>
      <c r="U1575" s="28"/>
      <c r="V1575" s="22"/>
      <c r="W1575" s="22"/>
      <c r="X1575" s="22"/>
      <c r="Y1575" s="22"/>
      <c r="Z1575" s="22"/>
      <c r="AA1575" s="22"/>
      <c r="AB1575" s="22"/>
      <c r="AC1575" s="22"/>
      <c r="AD1575" s="22"/>
    </row>
    <row r="1576" spans="1:30" ht="15.75" customHeight="1" x14ac:dyDescent="0.15">
      <c r="A1576" s="22"/>
      <c r="B1576" s="22"/>
      <c r="C1576" s="22"/>
      <c r="D1576" s="22"/>
      <c r="E1576" s="22"/>
      <c r="F1576" s="28"/>
      <c r="G1576" s="28"/>
      <c r="H1576" s="28"/>
      <c r="I1576" s="28"/>
      <c r="J1576" s="28"/>
      <c r="K1576" s="28"/>
      <c r="L1576" s="28"/>
      <c r="M1576" s="22"/>
      <c r="N1576" s="22"/>
      <c r="O1576" s="22"/>
      <c r="P1576" s="22"/>
      <c r="Q1576" s="22"/>
      <c r="R1576" s="28"/>
      <c r="S1576" s="28"/>
      <c r="T1576" s="28"/>
      <c r="U1576" s="28"/>
      <c r="V1576" s="22"/>
      <c r="W1576" s="22"/>
      <c r="X1576" s="22"/>
      <c r="Y1576" s="22"/>
      <c r="Z1576" s="22"/>
      <c r="AA1576" s="22"/>
      <c r="AB1576" s="22"/>
      <c r="AC1576" s="22"/>
      <c r="AD1576" s="22"/>
    </row>
    <row r="1577" spans="1:30" ht="15.75" customHeight="1" x14ac:dyDescent="0.15">
      <c r="A1577" s="22"/>
      <c r="B1577" s="22"/>
      <c r="C1577" s="22"/>
      <c r="D1577" s="22"/>
      <c r="E1577" s="22"/>
      <c r="F1577" s="28"/>
      <c r="G1577" s="28"/>
      <c r="H1577" s="28"/>
      <c r="I1577" s="28"/>
      <c r="J1577" s="28"/>
      <c r="K1577" s="28"/>
      <c r="L1577" s="28"/>
      <c r="M1577" s="22"/>
      <c r="N1577" s="22"/>
      <c r="O1577" s="22"/>
      <c r="P1577" s="22"/>
      <c r="Q1577" s="22"/>
      <c r="R1577" s="28"/>
      <c r="S1577" s="28"/>
      <c r="T1577" s="28"/>
      <c r="U1577" s="28"/>
      <c r="V1577" s="22"/>
      <c r="W1577" s="22"/>
      <c r="X1577" s="22"/>
      <c r="Y1577" s="22"/>
      <c r="Z1577" s="22"/>
      <c r="AA1577" s="22"/>
      <c r="AB1577" s="22"/>
      <c r="AC1577" s="22"/>
      <c r="AD1577" s="22"/>
    </row>
    <row r="1578" spans="1:30" ht="15.75" customHeight="1" x14ac:dyDescent="0.15">
      <c r="A1578" s="22"/>
      <c r="B1578" s="22"/>
      <c r="C1578" s="22"/>
      <c r="D1578" s="22"/>
      <c r="E1578" s="22"/>
      <c r="F1578" s="28"/>
      <c r="G1578" s="28"/>
      <c r="H1578" s="28"/>
      <c r="I1578" s="28"/>
      <c r="J1578" s="28"/>
      <c r="K1578" s="28"/>
      <c r="L1578" s="28"/>
      <c r="M1578" s="22"/>
      <c r="N1578" s="22"/>
      <c r="O1578" s="22"/>
      <c r="P1578" s="22"/>
      <c r="Q1578" s="22"/>
      <c r="R1578" s="28"/>
      <c r="S1578" s="28"/>
      <c r="T1578" s="28"/>
      <c r="U1578" s="28"/>
      <c r="V1578" s="22"/>
      <c r="W1578" s="22"/>
      <c r="X1578" s="22"/>
      <c r="Y1578" s="22"/>
      <c r="Z1578" s="22"/>
      <c r="AA1578" s="22"/>
      <c r="AB1578" s="22"/>
      <c r="AC1578" s="22"/>
      <c r="AD1578" s="22"/>
    </row>
    <row r="1579" spans="1:30" ht="15.75" customHeight="1" x14ac:dyDescent="0.15">
      <c r="A1579" s="22"/>
      <c r="B1579" s="22"/>
      <c r="C1579" s="22"/>
      <c r="D1579" s="22"/>
      <c r="E1579" s="22"/>
      <c r="F1579" s="28"/>
      <c r="G1579" s="28"/>
      <c r="H1579" s="28"/>
      <c r="I1579" s="28"/>
      <c r="J1579" s="28"/>
      <c r="K1579" s="28"/>
      <c r="L1579" s="28"/>
      <c r="M1579" s="22"/>
      <c r="N1579" s="22"/>
      <c r="O1579" s="22"/>
      <c r="P1579" s="22"/>
      <c r="Q1579" s="22"/>
      <c r="R1579" s="28"/>
      <c r="S1579" s="28"/>
      <c r="T1579" s="28"/>
      <c r="U1579" s="28"/>
      <c r="V1579" s="22"/>
      <c r="W1579" s="22"/>
      <c r="X1579" s="22"/>
      <c r="Y1579" s="22"/>
      <c r="Z1579" s="22"/>
      <c r="AA1579" s="22"/>
      <c r="AB1579" s="22"/>
      <c r="AC1579" s="22"/>
      <c r="AD1579" s="22"/>
    </row>
    <row r="1580" spans="1:30" ht="15.75" customHeight="1" x14ac:dyDescent="0.15">
      <c r="A1580" s="22"/>
      <c r="B1580" s="22"/>
      <c r="C1580" s="22"/>
      <c r="D1580" s="22"/>
      <c r="E1580" s="22"/>
      <c r="F1580" s="28"/>
      <c r="G1580" s="28"/>
      <c r="H1580" s="28"/>
      <c r="I1580" s="28"/>
      <c r="J1580" s="28"/>
      <c r="K1580" s="28"/>
      <c r="L1580" s="28"/>
      <c r="M1580" s="22"/>
      <c r="N1580" s="22"/>
      <c r="O1580" s="22"/>
      <c r="P1580" s="22"/>
      <c r="Q1580" s="22"/>
      <c r="R1580" s="28"/>
      <c r="S1580" s="28"/>
      <c r="T1580" s="28"/>
      <c r="U1580" s="28"/>
      <c r="V1580" s="22"/>
      <c r="W1580" s="22"/>
      <c r="X1580" s="22"/>
      <c r="Y1580" s="22"/>
      <c r="Z1580" s="22"/>
      <c r="AA1580" s="22"/>
      <c r="AB1580" s="22"/>
      <c r="AC1580" s="22"/>
      <c r="AD1580" s="22"/>
    </row>
    <row r="1581" spans="1:30" ht="15.75" customHeight="1" x14ac:dyDescent="0.15">
      <c r="A1581" s="22"/>
      <c r="B1581" s="22"/>
      <c r="C1581" s="22"/>
      <c r="D1581" s="22"/>
      <c r="E1581" s="22"/>
      <c r="F1581" s="28"/>
      <c r="G1581" s="28"/>
      <c r="H1581" s="28"/>
      <c r="I1581" s="28"/>
      <c r="J1581" s="28"/>
      <c r="K1581" s="28"/>
      <c r="L1581" s="28"/>
      <c r="M1581" s="22"/>
      <c r="N1581" s="22"/>
      <c r="O1581" s="22"/>
      <c r="P1581" s="22"/>
      <c r="Q1581" s="22"/>
      <c r="R1581" s="28"/>
      <c r="S1581" s="28"/>
      <c r="T1581" s="28"/>
      <c r="U1581" s="28"/>
      <c r="V1581" s="22"/>
      <c r="W1581" s="22"/>
      <c r="X1581" s="22"/>
      <c r="Y1581" s="22"/>
      <c r="Z1581" s="22"/>
      <c r="AA1581" s="22"/>
      <c r="AB1581" s="22"/>
      <c r="AC1581" s="22"/>
      <c r="AD1581" s="22"/>
    </row>
    <row r="1582" spans="1:30" ht="15.75" customHeight="1" x14ac:dyDescent="0.15">
      <c r="A1582" s="22"/>
      <c r="B1582" s="22"/>
      <c r="C1582" s="22"/>
      <c r="D1582" s="22"/>
      <c r="E1582" s="22"/>
      <c r="F1582" s="28"/>
      <c r="G1582" s="28"/>
      <c r="H1582" s="28"/>
      <c r="I1582" s="28"/>
      <c r="J1582" s="28"/>
      <c r="K1582" s="28"/>
      <c r="L1582" s="28"/>
      <c r="M1582" s="22"/>
      <c r="N1582" s="22"/>
      <c r="O1582" s="22"/>
      <c r="P1582" s="22"/>
      <c r="Q1582" s="22"/>
      <c r="R1582" s="28"/>
      <c r="S1582" s="28"/>
      <c r="T1582" s="28"/>
      <c r="U1582" s="28"/>
      <c r="V1582" s="22"/>
      <c r="W1582" s="22"/>
      <c r="X1582" s="22"/>
      <c r="Y1582" s="22"/>
      <c r="Z1582" s="22"/>
      <c r="AA1582" s="22"/>
      <c r="AB1582" s="22"/>
      <c r="AC1582" s="22"/>
      <c r="AD1582" s="22"/>
    </row>
    <row r="1583" spans="1:30" ht="15.75" customHeight="1" x14ac:dyDescent="0.15">
      <c r="A1583" s="22"/>
      <c r="B1583" s="22"/>
      <c r="C1583" s="22"/>
      <c r="D1583" s="22"/>
      <c r="E1583" s="22"/>
      <c r="F1583" s="28"/>
      <c r="G1583" s="28"/>
      <c r="H1583" s="28"/>
      <c r="I1583" s="28"/>
      <c r="J1583" s="28"/>
      <c r="K1583" s="28"/>
      <c r="L1583" s="28"/>
      <c r="M1583" s="22"/>
      <c r="N1583" s="22"/>
      <c r="O1583" s="22"/>
      <c r="P1583" s="22"/>
      <c r="Q1583" s="22"/>
      <c r="R1583" s="28"/>
      <c r="S1583" s="28"/>
      <c r="T1583" s="28"/>
      <c r="U1583" s="28"/>
      <c r="V1583" s="22"/>
      <c r="W1583" s="22"/>
      <c r="X1583" s="22"/>
      <c r="Y1583" s="22"/>
      <c r="Z1583" s="22"/>
      <c r="AA1583" s="22"/>
      <c r="AB1583" s="22"/>
      <c r="AC1583" s="22"/>
      <c r="AD1583" s="22"/>
    </row>
    <row r="1584" spans="1:30" ht="15.75" customHeight="1" x14ac:dyDescent="0.15">
      <c r="A1584" s="22"/>
      <c r="B1584" s="22"/>
      <c r="C1584" s="22"/>
      <c r="D1584" s="22"/>
      <c r="E1584" s="22"/>
      <c r="F1584" s="28"/>
      <c r="G1584" s="28"/>
      <c r="H1584" s="28"/>
      <c r="I1584" s="28"/>
      <c r="J1584" s="28"/>
      <c r="K1584" s="28"/>
      <c r="L1584" s="28"/>
      <c r="M1584" s="22"/>
      <c r="N1584" s="22"/>
      <c r="O1584" s="22"/>
      <c r="P1584" s="22"/>
      <c r="Q1584" s="22"/>
      <c r="R1584" s="28"/>
      <c r="S1584" s="28"/>
      <c r="T1584" s="28"/>
      <c r="U1584" s="28"/>
      <c r="V1584" s="22"/>
      <c r="W1584" s="22"/>
      <c r="X1584" s="22"/>
      <c r="Y1584" s="22"/>
      <c r="Z1584" s="22"/>
      <c r="AA1584" s="22"/>
      <c r="AB1584" s="22"/>
      <c r="AC1584" s="22"/>
      <c r="AD1584" s="22"/>
    </row>
    <row r="1585" spans="1:30" ht="15.75" customHeight="1" x14ac:dyDescent="0.15">
      <c r="A1585" s="22"/>
      <c r="B1585" s="22"/>
      <c r="C1585" s="22"/>
      <c r="D1585" s="22"/>
      <c r="E1585" s="22"/>
      <c r="F1585" s="28"/>
      <c r="G1585" s="28"/>
      <c r="H1585" s="28"/>
      <c r="I1585" s="28"/>
      <c r="J1585" s="28"/>
      <c r="K1585" s="28"/>
      <c r="L1585" s="28"/>
      <c r="M1585" s="22"/>
      <c r="N1585" s="22"/>
      <c r="O1585" s="22"/>
      <c r="P1585" s="22"/>
      <c r="Q1585" s="22"/>
      <c r="R1585" s="28"/>
      <c r="S1585" s="28"/>
      <c r="T1585" s="28"/>
      <c r="U1585" s="28"/>
      <c r="V1585" s="22"/>
      <c r="W1585" s="22"/>
      <c r="X1585" s="22"/>
      <c r="Y1585" s="22"/>
      <c r="Z1585" s="22"/>
      <c r="AA1585" s="22"/>
      <c r="AB1585" s="22"/>
      <c r="AC1585" s="22"/>
      <c r="AD1585" s="22"/>
    </row>
    <row r="1586" spans="1:30" ht="15.75" customHeight="1" x14ac:dyDescent="0.15">
      <c r="A1586" s="22"/>
      <c r="B1586" s="22"/>
      <c r="C1586" s="22"/>
      <c r="D1586" s="22"/>
      <c r="E1586" s="22"/>
      <c r="F1586" s="28"/>
      <c r="G1586" s="28"/>
      <c r="H1586" s="28"/>
      <c r="I1586" s="28"/>
      <c r="J1586" s="28"/>
      <c r="K1586" s="28"/>
      <c r="L1586" s="28"/>
      <c r="M1586" s="22"/>
      <c r="N1586" s="22"/>
      <c r="O1586" s="22"/>
      <c r="P1586" s="22"/>
      <c r="Q1586" s="22"/>
      <c r="R1586" s="28"/>
      <c r="S1586" s="28"/>
      <c r="T1586" s="28"/>
      <c r="U1586" s="28"/>
      <c r="V1586" s="22"/>
      <c r="W1586" s="22"/>
      <c r="X1586" s="22"/>
      <c r="Y1586" s="22"/>
      <c r="Z1586" s="22"/>
      <c r="AA1586" s="22"/>
      <c r="AB1586" s="22"/>
      <c r="AC1586" s="22"/>
      <c r="AD1586" s="22"/>
    </row>
    <row r="1587" spans="1:30" ht="15.75" customHeight="1" x14ac:dyDescent="0.15">
      <c r="A1587" s="22"/>
      <c r="B1587" s="22"/>
      <c r="C1587" s="22"/>
      <c r="D1587" s="22"/>
      <c r="E1587" s="22"/>
      <c r="F1587" s="28"/>
      <c r="G1587" s="28"/>
      <c r="H1587" s="28"/>
      <c r="I1587" s="28"/>
      <c r="J1587" s="28"/>
      <c r="K1587" s="28"/>
      <c r="L1587" s="28"/>
      <c r="M1587" s="22"/>
      <c r="N1587" s="22"/>
      <c r="O1587" s="22"/>
      <c r="P1587" s="22"/>
      <c r="Q1587" s="22"/>
      <c r="R1587" s="28"/>
      <c r="S1587" s="28"/>
      <c r="T1587" s="28"/>
      <c r="U1587" s="28"/>
      <c r="V1587" s="22"/>
      <c r="W1587" s="22"/>
      <c r="X1587" s="22"/>
      <c r="Y1587" s="22"/>
      <c r="Z1587" s="22"/>
      <c r="AA1587" s="22"/>
      <c r="AB1587" s="22"/>
      <c r="AC1587" s="22"/>
      <c r="AD1587" s="22"/>
    </row>
    <row r="1588" spans="1:30" ht="15.75" customHeight="1" x14ac:dyDescent="0.15">
      <c r="A1588" s="22"/>
      <c r="B1588" s="22"/>
      <c r="C1588" s="22"/>
      <c r="D1588" s="22"/>
      <c r="E1588" s="22"/>
      <c r="F1588" s="28"/>
      <c r="G1588" s="28"/>
      <c r="H1588" s="28"/>
      <c r="I1588" s="28"/>
      <c r="J1588" s="28"/>
      <c r="K1588" s="28"/>
      <c r="L1588" s="28"/>
      <c r="M1588" s="22"/>
      <c r="N1588" s="22"/>
      <c r="O1588" s="22"/>
      <c r="P1588" s="22"/>
      <c r="Q1588" s="22"/>
      <c r="R1588" s="28"/>
      <c r="S1588" s="28"/>
      <c r="T1588" s="28"/>
      <c r="U1588" s="28"/>
      <c r="V1588" s="22"/>
      <c r="W1588" s="22"/>
      <c r="X1588" s="22"/>
      <c r="Y1588" s="22"/>
      <c r="Z1588" s="22"/>
      <c r="AA1588" s="22"/>
      <c r="AB1588" s="22"/>
      <c r="AC1588" s="22"/>
      <c r="AD1588" s="22"/>
    </row>
    <row r="1589" spans="1:30" ht="15.75" customHeight="1" x14ac:dyDescent="0.15">
      <c r="A1589" s="22"/>
      <c r="B1589" s="22"/>
      <c r="C1589" s="22"/>
      <c r="D1589" s="22"/>
      <c r="E1589" s="22"/>
      <c r="F1589" s="28"/>
      <c r="G1589" s="28"/>
      <c r="H1589" s="28"/>
      <c r="I1589" s="28"/>
      <c r="J1589" s="28"/>
      <c r="K1589" s="28"/>
      <c r="L1589" s="28"/>
      <c r="M1589" s="22"/>
      <c r="N1589" s="22"/>
      <c r="O1589" s="22"/>
      <c r="P1589" s="22"/>
      <c r="Q1589" s="22"/>
      <c r="R1589" s="28"/>
      <c r="S1589" s="28"/>
      <c r="T1589" s="28"/>
      <c r="U1589" s="28"/>
      <c r="V1589" s="22"/>
      <c r="W1589" s="22"/>
      <c r="X1589" s="22"/>
      <c r="Y1589" s="22"/>
      <c r="Z1589" s="22"/>
      <c r="AA1589" s="22"/>
      <c r="AB1589" s="22"/>
      <c r="AC1589" s="22"/>
      <c r="AD1589" s="22"/>
    </row>
    <row r="1590" spans="1:30" ht="15.75" customHeight="1" x14ac:dyDescent="0.15">
      <c r="A1590" s="22"/>
      <c r="B1590" s="22"/>
      <c r="C1590" s="22"/>
      <c r="D1590" s="22"/>
      <c r="E1590" s="22"/>
      <c r="F1590" s="28"/>
      <c r="G1590" s="28"/>
      <c r="H1590" s="28"/>
      <c r="I1590" s="28"/>
      <c r="J1590" s="28"/>
      <c r="K1590" s="28"/>
      <c r="L1590" s="28"/>
      <c r="M1590" s="22"/>
      <c r="N1590" s="22"/>
      <c r="O1590" s="22"/>
      <c r="P1590" s="22"/>
      <c r="Q1590" s="22"/>
      <c r="R1590" s="28"/>
      <c r="S1590" s="28"/>
      <c r="T1590" s="28"/>
      <c r="U1590" s="28"/>
      <c r="V1590" s="22"/>
      <c r="W1590" s="22"/>
      <c r="X1590" s="22"/>
      <c r="Y1590" s="22"/>
      <c r="Z1590" s="22"/>
      <c r="AA1590" s="22"/>
      <c r="AB1590" s="22"/>
      <c r="AC1590" s="22"/>
      <c r="AD1590" s="22"/>
    </row>
    <row r="1591" spans="1:30" ht="15.75" customHeight="1" x14ac:dyDescent="0.15">
      <c r="A1591" s="22"/>
      <c r="B1591" s="22"/>
      <c r="C1591" s="22"/>
      <c r="D1591" s="22"/>
      <c r="E1591" s="22"/>
      <c r="F1591" s="28"/>
      <c r="G1591" s="28"/>
      <c r="H1591" s="28"/>
      <c r="I1591" s="28"/>
      <c r="J1591" s="28"/>
      <c r="K1591" s="28"/>
      <c r="L1591" s="28"/>
      <c r="M1591" s="22"/>
      <c r="N1591" s="22"/>
      <c r="O1591" s="22"/>
      <c r="P1591" s="22"/>
      <c r="Q1591" s="22"/>
      <c r="R1591" s="28"/>
      <c r="S1591" s="28"/>
      <c r="T1591" s="28"/>
      <c r="U1591" s="28"/>
      <c r="V1591" s="22"/>
      <c r="W1591" s="22"/>
      <c r="X1591" s="22"/>
      <c r="Y1591" s="22"/>
      <c r="Z1591" s="22"/>
      <c r="AA1591" s="22"/>
      <c r="AB1591" s="22"/>
      <c r="AC1591" s="22"/>
      <c r="AD1591" s="22"/>
    </row>
    <row r="1592" spans="1:30" ht="15.75" customHeight="1" x14ac:dyDescent="0.15">
      <c r="A1592" s="22"/>
      <c r="B1592" s="22"/>
      <c r="C1592" s="22"/>
      <c r="D1592" s="22"/>
      <c r="E1592" s="22"/>
      <c r="F1592" s="28"/>
      <c r="G1592" s="28"/>
      <c r="H1592" s="28"/>
      <c r="I1592" s="28"/>
      <c r="J1592" s="28"/>
      <c r="K1592" s="28"/>
      <c r="L1592" s="28"/>
      <c r="M1592" s="22"/>
      <c r="N1592" s="22"/>
      <c r="O1592" s="22"/>
      <c r="P1592" s="22"/>
      <c r="Q1592" s="22"/>
      <c r="R1592" s="28"/>
      <c r="S1592" s="28"/>
      <c r="T1592" s="28"/>
      <c r="U1592" s="28"/>
      <c r="V1592" s="22"/>
      <c r="W1592" s="22"/>
      <c r="X1592" s="22"/>
      <c r="Y1592" s="22"/>
      <c r="Z1592" s="22"/>
      <c r="AA1592" s="22"/>
      <c r="AB1592" s="22"/>
      <c r="AC1592" s="22"/>
      <c r="AD1592" s="22"/>
    </row>
    <row r="1593" spans="1:30" ht="15.75" customHeight="1" x14ac:dyDescent="0.15">
      <c r="A1593" s="22"/>
      <c r="B1593" s="22"/>
      <c r="C1593" s="22"/>
      <c r="D1593" s="22"/>
      <c r="E1593" s="22"/>
      <c r="F1593" s="28"/>
      <c r="G1593" s="28"/>
      <c r="H1593" s="28"/>
      <c r="I1593" s="28"/>
      <c r="J1593" s="28"/>
      <c r="K1593" s="28"/>
      <c r="L1593" s="28"/>
      <c r="M1593" s="22"/>
      <c r="N1593" s="22"/>
      <c r="O1593" s="22"/>
      <c r="P1593" s="22"/>
      <c r="Q1593" s="22"/>
      <c r="R1593" s="28"/>
      <c r="S1593" s="28"/>
      <c r="T1593" s="28"/>
      <c r="U1593" s="28"/>
      <c r="V1593" s="22"/>
      <c r="W1593" s="22"/>
      <c r="X1593" s="22"/>
      <c r="Y1593" s="22"/>
      <c r="Z1593" s="22"/>
      <c r="AA1593" s="22"/>
      <c r="AB1593" s="22"/>
      <c r="AC1593" s="22"/>
      <c r="AD1593" s="22"/>
    </row>
    <row r="1594" spans="1:30" ht="15.75" customHeight="1" x14ac:dyDescent="0.15">
      <c r="A1594" s="22"/>
      <c r="B1594" s="22"/>
      <c r="C1594" s="22"/>
      <c r="D1594" s="22"/>
      <c r="E1594" s="22"/>
      <c r="F1594" s="28"/>
      <c r="G1594" s="28"/>
      <c r="H1594" s="28"/>
      <c r="I1594" s="28"/>
      <c r="J1594" s="28"/>
      <c r="K1594" s="28"/>
      <c r="L1594" s="28"/>
      <c r="M1594" s="22"/>
      <c r="N1594" s="22"/>
      <c r="O1594" s="22"/>
      <c r="P1594" s="22"/>
      <c r="Q1594" s="22"/>
      <c r="R1594" s="28"/>
      <c r="S1594" s="28"/>
      <c r="T1594" s="28"/>
      <c r="U1594" s="28"/>
      <c r="V1594" s="22"/>
      <c r="W1594" s="22"/>
      <c r="X1594" s="22"/>
      <c r="Y1594" s="22"/>
      <c r="Z1594" s="22"/>
      <c r="AA1594" s="22"/>
      <c r="AB1594" s="22"/>
      <c r="AC1594" s="22"/>
      <c r="AD1594" s="22"/>
    </row>
    <row r="1595" spans="1:30" ht="15.75" customHeight="1" x14ac:dyDescent="0.15">
      <c r="A1595" s="22"/>
      <c r="B1595" s="22"/>
      <c r="C1595" s="22"/>
      <c r="D1595" s="22"/>
      <c r="E1595" s="22"/>
      <c r="F1595" s="28"/>
      <c r="G1595" s="28"/>
      <c r="H1595" s="28"/>
      <c r="I1595" s="28"/>
      <c r="J1595" s="28"/>
      <c r="K1595" s="28"/>
      <c r="L1595" s="28"/>
      <c r="M1595" s="22"/>
      <c r="N1595" s="22"/>
      <c r="O1595" s="22"/>
      <c r="P1595" s="22"/>
      <c r="Q1595" s="22"/>
      <c r="R1595" s="28"/>
      <c r="S1595" s="28"/>
      <c r="T1595" s="28"/>
      <c r="U1595" s="28"/>
      <c r="V1595" s="22"/>
      <c r="W1595" s="22"/>
      <c r="X1595" s="22"/>
      <c r="Y1595" s="22"/>
      <c r="Z1595" s="22"/>
      <c r="AA1595" s="22"/>
      <c r="AB1595" s="22"/>
      <c r="AC1595" s="22"/>
      <c r="AD1595" s="22"/>
    </row>
    <row r="1596" spans="1:30" ht="15.75" customHeight="1" x14ac:dyDescent="0.15">
      <c r="A1596" s="22"/>
      <c r="B1596" s="22"/>
      <c r="C1596" s="22"/>
      <c r="D1596" s="22"/>
      <c r="E1596" s="22"/>
      <c r="F1596" s="28"/>
      <c r="G1596" s="28"/>
      <c r="H1596" s="28"/>
      <c r="I1596" s="28"/>
      <c r="J1596" s="28"/>
      <c r="K1596" s="28"/>
      <c r="L1596" s="28"/>
      <c r="M1596" s="22"/>
      <c r="N1596" s="22"/>
      <c r="O1596" s="22"/>
      <c r="P1596" s="22"/>
      <c r="Q1596" s="22"/>
      <c r="R1596" s="28"/>
      <c r="S1596" s="28"/>
      <c r="T1596" s="28"/>
      <c r="U1596" s="28"/>
      <c r="V1596" s="22"/>
      <c r="W1596" s="22"/>
      <c r="X1596" s="22"/>
      <c r="Y1596" s="22"/>
      <c r="Z1596" s="22"/>
      <c r="AA1596" s="22"/>
      <c r="AB1596" s="22"/>
      <c r="AC1596" s="22"/>
      <c r="AD1596" s="22"/>
    </row>
    <row r="1597" spans="1:30" ht="15.75" customHeight="1" x14ac:dyDescent="0.15">
      <c r="A1597" s="22"/>
      <c r="B1597" s="22"/>
      <c r="C1597" s="22"/>
      <c r="D1597" s="22"/>
      <c r="E1597" s="22"/>
      <c r="F1597" s="28"/>
      <c r="G1597" s="28"/>
      <c r="H1597" s="28"/>
      <c r="I1597" s="28"/>
      <c r="J1597" s="28"/>
      <c r="K1597" s="28"/>
      <c r="L1597" s="28"/>
      <c r="M1597" s="22"/>
      <c r="N1597" s="22"/>
      <c r="O1597" s="22"/>
      <c r="P1597" s="22"/>
      <c r="Q1597" s="22"/>
      <c r="R1597" s="28"/>
      <c r="S1597" s="28"/>
      <c r="T1597" s="28"/>
      <c r="U1597" s="28"/>
      <c r="V1597" s="22"/>
      <c r="W1597" s="22"/>
      <c r="X1597" s="22"/>
      <c r="Y1597" s="22"/>
      <c r="Z1597" s="22"/>
      <c r="AA1597" s="22"/>
      <c r="AB1597" s="22"/>
      <c r="AC1597" s="22"/>
      <c r="AD1597" s="22"/>
    </row>
    <row r="1598" spans="1:30" ht="15.75" customHeight="1" x14ac:dyDescent="0.15">
      <c r="A1598" s="22"/>
      <c r="B1598" s="22"/>
      <c r="C1598" s="22"/>
      <c r="D1598" s="22"/>
      <c r="E1598" s="22"/>
      <c r="F1598" s="28"/>
      <c r="G1598" s="28"/>
      <c r="H1598" s="28"/>
      <c r="I1598" s="28"/>
      <c r="J1598" s="28"/>
      <c r="K1598" s="28"/>
      <c r="L1598" s="28"/>
      <c r="M1598" s="22"/>
      <c r="N1598" s="22"/>
      <c r="O1598" s="22"/>
      <c r="P1598" s="22"/>
      <c r="Q1598" s="22"/>
      <c r="R1598" s="28"/>
      <c r="S1598" s="28"/>
      <c r="T1598" s="28"/>
      <c r="U1598" s="28"/>
      <c r="V1598" s="22"/>
      <c r="W1598" s="22"/>
      <c r="X1598" s="22"/>
      <c r="Y1598" s="22"/>
      <c r="Z1598" s="22"/>
      <c r="AA1598" s="22"/>
      <c r="AB1598" s="22"/>
      <c r="AC1598" s="22"/>
      <c r="AD1598" s="22"/>
    </row>
    <row r="1599" spans="1:30" ht="15.75" customHeight="1" x14ac:dyDescent="0.15">
      <c r="A1599" s="22"/>
      <c r="B1599" s="22"/>
      <c r="C1599" s="22"/>
      <c r="D1599" s="22"/>
      <c r="E1599" s="22"/>
      <c r="F1599" s="28"/>
      <c r="G1599" s="28"/>
      <c r="H1599" s="28"/>
      <c r="I1599" s="28"/>
      <c r="J1599" s="28"/>
      <c r="K1599" s="28"/>
      <c r="L1599" s="28"/>
      <c r="M1599" s="22"/>
      <c r="N1599" s="22"/>
      <c r="O1599" s="22"/>
      <c r="P1599" s="22"/>
      <c r="Q1599" s="22"/>
      <c r="R1599" s="28"/>
      <c r="S1599" s="28"/>
      <c r="T1599" s="28"/>
      <c r="U1599" s="28"/>
      <c r="V1599" s="22"/>
      <c r="W1599" s="22"/>
      <c r="X1599" s="22"/>
      <c r="Y1599" s="22"/>
      <c r="Z1599" s="22"/>
      <c r="AA1599" s="22"/>
      <c r="AB1599" s="22"/>
      <c r="AC1599" s="22"/>
      <c r="AD1599" s="22"/>
    </row>
    <row r="1600" spans="1:30" ht="15.75" customHeight="1" x14ac:dyDescent="0.15">
      <c r="A1600" s="22"/>
      <c r="B1600" s="22"/>
      <c r="C1600" s="22"/>
      <c r="D1600" s="22"/>
      <c r="E1600" s="22"/>
      <c r="F1600" s="28"/>
      <c r="G1600" s="28"/>
      <c r="H1600" s="28"/>
      <c r="I1600" s="28"/>
      <c r="J1600" s="28"/>
      <c r="K1600" s="28"/>
      <c r="L1600" s="28"/>
      <c r="M1600" s="22"/>
      <c r="N1600" s="22"/>
      <c r="O1600" s="22"/>
      <c r="P1600" s="22"/>
      <c r="Q1600" s="22"/>
      <c r="R1600" s="28"/>
      <c r="S1600" s="28"/>
      <c r="T1600" s="28"/>
      <c r="U1600" s="28"/>
      <c r="V1600" s="22"/>
      <c r="W1600" s="22"/>
      <c r="X1600" s="22"/>
      <c r="Y1600" s="22"/>
      <c r="Z1600" s="22"/>
      <c r="AA1600" s="22"/>
      <c r="AB1600" s="22"/>
      <c r="AC1600" s="22"/>
      <c r="AD1600" s="22"/>
    </row>
    <row r="1601" spans="1:30" ht="15.75" customHeight="1" x14ac:dyDescent="0.15">
      <c r="A1601" s="22"/>
      <c r="B1601" s="22"/>
      <c r="C1601" s="22"/>
      <c r="D1601" s="22"/>
      <c r="E1601" s="22"/>
      <c r="F1601" s="28"/>
      <c r="G1601" s="28"/>
      <c r="H1601" s="28"/>
      <c r="I1601" s="28"/>
      <c r="J1601" s="28"/>
      <c r="K1601" s="28"/>
      <c r="L1601" s="28"/>
      <c r="M1601" s="22"/>
      <c r="N1601" s="22"/>
      <c r="O1601" s="22"/>
      <c r="P1601" s="22"/>
      <c r="Q1601" s="22"/>
      <c r="R1601" s="28"/>
      <c r="S1601" s="28"/>
      <c r="T1601" s="28"/>
      <c r="U1601" s="28"/>
      <c r="V1601" s="22"/>
      <c r="W1601" s="22"/>
      <c r="X1601" s="22"/>
      <c r="Y1601" s="22"/>
      <c r="Z1601" s="22"/>
      <c r="AA1601" s="22"/>
      <c r="AB1601" s="22"/>
      <c r="AC1601" s="22"/>
      <c r="AD1601" s="22"/>
    </row>
    <row r="1602" spans="1:30" ht="15.75" customHeight="1" x14ac:dyDescent="0.15">
      <c r="A1602" s="22"/>
      <c r="B1602" s="22"/>
      <c r="C1602" s="22"/>
      <c r="D1602" s="22"/>
      <c r="E1602" s="22"/>
      <c r="F1602" s="28"/>
      <c r="G1602" s="28"/>
      <c r="H1602" s="28"/>
      <c r="I1602" s="28"/>
      <c r="J1602" s="28"/>
      <c r="K1602" s="28"/>
      <c r="L1602" s="28"/>
      <c r="M1602" s="22"/>
      <c r="N1602" s="22"/>
      <c r="O1602" s="22"/>
      <c r="P1602" s="22"/>
      <c r="Q1602" s="22"/>
      <c r="R1602" s="28"/>
      <c r="S1602" s="28"/>
      <c r="T1602" s="28"/>
      <c r="U1602" s="28"/>
      <c r="V1602" s="22"/>
      <c r="W1602" s="22"/>
      <c r="X1602" s="22"/>
      <c r="Y1602" s="22"/>
      <c r="Z1602" s="22"/>
      <c r="AA1602" s="22"/>
      <c r="AB1602" s="22"/>
      <c r="AC1602" s="22"/>
      <c r="AD1602" s="22"/>
    </row>
    <row r="1603" spans="1:30" ht="15.75" customHeight="1" x14ac:dyDescent="0.15">
      <c r="A1603" s="22"/>
      <c r="B1603" s="22"/>
      <c r="C1603" s="22"/>
      <c r="D1603" s="22"/>
      <c r="E1603" s="22"/>
      <c r="F1603" s="28"/>
      <c r="G1603" s="28"/>
      <c r="H1603" s="28"/>
      <c r="I1603" s="28"/>
      <c r="J1603" s="28"/>
      <c r="K1603" s="28"/>
      <c r="L1603" s="28"/>
      <c r="M1603" s="22"/>
      <c r="N1603" s="22"/>
      <c r="O1603" s="22"/>
      <c r="P1603" s="22"/>
      <c r="Q1603" s="22"/>
      <c r="R1603" s="28"/>
      <c r="S1603" s="28"/>
      <c r="T1603" s="28"/>
      <c r="U1603" s="28"/>
      <c r="V1603" s="22"/>
      <c r="W1603" s="22"/>
      <c r="X1603" s="22"/>
      <c r="Y1603" s="22"/>
      <c r="Z1603" s="22"/>
      <c r="AA1603" s="22"/>
      <c r="AB1603" s="22"/>
      <c r="AC1603" s="22"/>
      <c r="AD1603" s="22"/>
    </row>
    <row r="1604" spans="1:30" ht="15.75" customHeight="1" x14ac:dyDescent="0.15">
      <c r="A1604" s="22"/>
      <c r="B1604" s="22"/>
      <c r="C1604" s="22"/>
      <c r="D1604" s="22"/>
      <c r="E1604" s="22"/>
      <c r="F1604" s="28"/>
      <c r="G1604" s="28"/>
      <c r="H1604" s="28"/>
      <c r="I1604" s="28"/>
      <c r="J1604" s="28"/>
      <c r="K1604" s="28"/>
      <c r="L1604" s="28"/>
      <c r="M1604" s="22"/>
      <c r="N1604" s="22"/>
      <c r="O1604" s="22"/>
      <c r="P1604" s="22"/>
      <c r="Q1604" s="22"/>
      <c r="R1604" s="28"/>
      <c r="S1604" s="28"/>
      <c r="T1604" s="28"/>
      <c r="U1604" s="28"/>
      <c r="V1604" s="22"/>
      <c r="W1604" s="22"/>
      <c r="X1604" s="22"/>
      <c r="Y1604" s="22"/>
      <c r="Z1604" s="22"/>
      <c r="AA1604" s="22"/>
      <c r="AB1604" s="22"/>
      <c r="AC1604" s="22"/>
      <c r="AD1604" s="22"/>
    </row>
    <row r="1605" spans="1:30" ht="15.75" customHeight="1" x14ac:dyDescent="0.15">
      <c r="A1605" s="22"/>
      <c r="B1605" s="22"/>
      <c r="C1605" s="22"/>
      <c r="D1605" s="22"/>
      <c r="E1605" s="22"/>
      <c r="F1605" s="28"/>
      <c r="G1605" s="28"/>
      <c r="H1605" s="28"/>
      <c r="I1605" s="28"/>
      <c r="J1605" s="28"/>
      <c r="K1605" s="28"/>
      <c r="L1605" s="28"/>
      <c r="M1605" s="22"/>
      <c r="N1605" s="22"/>
      <c r="O1605" s="22"/>
      <c r="P1605" s="22"/>
      <c r="Q1605" s="22"/>
      <c r="R1605" s="28"/>
      <c r="S1605" s="28"/>
      <c r="T1605" s="28"/>
      <c r="U1605" s="28"/>
      <c r="V1605" s="22"/>
      <c r="W1605" s="22"/>
      <c r="X1605" s="22"/>
      <c r="Y1605" s="22"/>
      <c r="Z1605" s="22"/>
      <c r="AA1605" s="22"/>
      <c r="AB1605" s="22"/>
      <c r="AC1605" s="22"/>
      <c r="AD1605" s="22"/>
    </row>
    <row r="1606" spans="1:30" ht="15.75" customHeight="1" x14ac:dyDescent="0.15">
      <c r="A1606" s="22"/>
      <c r="B1606" s="22"/>
      <c r="C1606" s="22"/>
      <c r="D1606" s="22"/>
      <c r="E1606" s="22"/>
      <c r="F1606" s="28"/>
      <c r="G1606" s="28"/>
      <c r="H1606" s="28"/>
      <c r="I1606" s="28"/>
      <c r="J1606" s="28"/>
      <c r="K1606" s="28"/>
      <c r="L1606" s="28"/>
      <c r="M1606" s="22"/>
      <c r="N1606" s="22"/>
      <c r="O1606" s="22"/>
      <c r="P1606" s="22"/>
      <c r="Q1606" s="22"/>
      <c r="R1606" s="28"/>
      <c r="S1606" s="28"/>
      <c r="T1606" s="28"/>
      <c r="U1606" s="28"/>
      <c r="V1606" s="22"/>
      <c r="W1606" s="22"/>
      <c r="X1606" s="22"/>
      <c r="Y1606" s="22"/>
      <c r="Z1606" s="22"/>
      <c r="AA1606" s="22"/>
      <c r="AB1606" s="22"/>
      <c r="AC1606" s="22"/>
      <c r="AD1606" s="22"/>
    </row>
    <row r="1607" spans="1:30" ht="15.75" customHeight="1" x14ac:dyDescent="0.15">
      <c r="A1607" s="22"/>
      <c r="B1607" s="22"/>
      <c r="C1607" s="22"/>
      <c r="D1607" s="22"/>
      <c r="E1607" s="22"/>
      <c r="F1607" s="28"/>
      <c r="G1607" s="28"/>
      <c r="H1607" s="28"/>
      <c r="I1607" s="28"/>
      <c r="J1607" s="28"/>
      <c r="K1607" s="28"/>
      <c r="L1607" s="28"/>
      <c r="M1607" s="22"/>
      <c r="N1607" s="22"/>
      <c r="O1607" s="22"/>
      <c r="P1607" s="22"/>
      <c r="Q1607" s="22"/>
      <c r="R1607" s="28"/>
      <c r="S1607" s="28"/>
      <c r="T1607" s="28"/>
      <c r="U1607" s="28"/>
      <c r="V1607" s="22"/>
      <c r="W1607" s="22"/>
      <c r="X1607" s="22"/>
      <c r="Y1607" s="22"/>
      <c r="Z1607" s="22"/>
      <c r="AA1607" s="22"/>
      <c r="AB1607" s="22"/>
      <c r="AC1607" s="22"/>
      <c r="AD1607" s="22"/>
    </row>
    <row r="1608" spans="1:30" ht="15.75" customHeight="1" x14ac:dyDescent="0.15">
      <c r="A1608" s="22"/>
      <c r="B1608" s="22"/>
      <c r="C1608" s="22"/>
      <c r="D1608" s="22"/>
      <c r="E1608" s="22"/>
      <c r="F1608" s="28"/>
      <c r="G1608" s="28"/>
      <c r="H1608" s="28"/>
      <c r="I1608" s="28"/>
      <c r="J1608" s="28"/>
      <c r="K1608" s="28"/>
      <c r="L1608" s="28"/>
      <c r="M1608" s="22"/>
      <c r="N1608" s="22"/>
      <c r="O1608" s="22"/>
      <c r="P1608" s="22"/>
      <c r="Q1608" s="22"/>
      <c r="R1608" s="28"/>
      <c r="S1608" s="28"/>
      <c r="T1608" s="28"/>
      <c r="U1608" s="28"/>
      <c r="V1608" s="22"/>
      <c r="W1608" s="22"/>
      <c r="X1608" s="22"/>
      <c r="Y1608" s="22"/>
      <c r="Z1608" s="22"/>
      <c r="AA1608" s="22"/>
      <c r="AB1608" s="22"/>
      <c r="AC1608" s="22"/>
      <c r="AD1608" s="22"/>
    </row>
    <row r="1609" spans="1:30" ht="15.75" customHeight="1" x14ac:dyDescent="0.15">
      <c r="A1609" s="22"/>
      <c r="B1609" s="22"/>
      <c r="C1609" s="22"/>
      <c r="D1609" s="22"/>
      <c r="E1609" s="22"/>
      <c r="F1609" s="28"/>
      <c r="G1609" s="28"/>
      <c r="H1609" s="28"/>
      <c r="I1609" s="28"/>
      <c r="J1609" s="28"/>
      <c r="K1609" s="28"/>
      <c r="L1609" s="28"/>
      <c r="M1609" s="22"/>
      <c r="N1609" s="22"/>
      <c r="O1609" s="22"/>
      <c r="P1609" s="22"/>
      <c r="Q1609" s="22"/>
      <c r="R1609" s="28"/>
      <c r="S1609" s="28"/>
      <c r="T1609" s="28"/>
      <c r="U1609" s="28"/>
      <c r="V1609" s="22"/>
      <c r="W1609" s="22"/>
      <c r="X1609" s="22"/>
      <c r="Y1609" s="22"/>
      <c r="Z1609" s="22"/>
      <c r="AA1609" s="22"/>
      <c r="AB1609" s="22"/>
      <c r="AC1609" s="22"/>
      <c r="AD1609" s="22"/>
    </row>
    <row r="1610" spans="1:30" ht="15.75" customHeight="1" x14ac:dyDescent="0.15">
      <c r="A1610" s="22"/>
      <c r="B1610" s="22"/>
      <c r="C1610" s="22"/>
      <c r="D1610" s="22"/>
      <c r="E1610" s="22"/>
      <c r="F1610" s="28"/>
      <c r="G1610" s="28"/>
      <c r="H1610" s="28"/>
      <c r="I1610" s="28"/>
      <c r="J1610" s="28"/>
      <c r="K1610" s="28"/>
      <c r="L1610" s="28"/>
      <c r="M1610" s="22"/>
      <c r="N1610" s="22"/>
      <c r="O1610" s="22"/>
      <c r="P1610" s="22"/>
      <c r="Q1610" s="22"/>
      <c r="R1610" s="28"/>
      <c r="S1610" s="28"/>
      <c r="T1610" s="28"/>
      <c r="U1610" s="28"/>
      <c r="V1610" s="22"/>
      <c r="W1610" s="22"/>
      <c r="X1610" s="22"/>
      <c r="Y1610" s="22"/>
      <c r="Z1610" s="22"/>
      <c r="AA1610" s="22"/>
      <c r="AB1610" s="22"/>
      <c r="AC1610" s="22"/>
      <c r="AD1610" s="22"/>
    </row>
    <row r="1611" spans="1:30" ht="15.75" customHeight="1" x14ac:dyDescent="0.15">
      <c r="A1611" s="22"/>
      <c r="B1611" s="22"/>
      <c r="C1611" s="22"/>
      <c r="D1611" s="22"/>
      <c r="E1611" s="22"/>
      <c r="F1611" s="28"/>
      <c r="G1611" s="28"/>
      <c r="H1611" s="28"/>
      <c r="I1611" s="28"/>
      <c r="J1611" s="28"/>
      <c r="K1611" s="28"/>
      <c r="L1611" s="28"/>
      <c r="M1611" s="22"/>
      <c r="N1611" s="22"/>
      <c r="O1611" s="22"/>
      <c r="P1611" s="22"/>
      <c r="Q1611" s="22"/>
      <c r="R1611" s="28"/>
      <c r="S1611" s="28"/>
      <c r="T1611" s="28"/>
      <c r="U1611" s="28"/>
      <c r="V1611" s="22"/>
      <c r="W1611" s="22"/>
      <c r="X1611" s="22"/>
      <c r="Y1611" s="22"/>
      <c r="Z1611" s="22"/>
      <c r="AA1611" s="22"/>
      <c r="AB1611" s="22"/>
      <c r="AC1611" s="22"/>
      <c r="AD1611" s="22"/>
    </row>
    <row r="1612" spans="1:30" ht="15.75" customHeight="1" x14ac:dyDescent="0.15">
      <c r="A1612" s="22"/>
      <c r="B1612" s="22"/>
      <c r="C1612" s="22"/>
      <c r="D1612" s="22"/>
      <c r="E1612" s="22"/>
      <c r="F1612" s="28"/>
      <c r="G1612" s="28"/>
      <c r="H1612" s="28"/>
      <c r="I1612" s="28"/>
      <c r="J1612" s="28"/>
      <c r="K1612" s="28"/>
      <c r="L1612" s="28"/>
      <c r="M1612" s="22"/>
      <c r="N1612" s="22"/>
      <c r="O1612" s="22"/>
      <c r="P1612" s="22"/>
      <c r="Q1612" s="22"/>
      <c r="R1612" s="28"/>
      <c r="S1612" s="28"/>
      <c r="T1612" s="28"/>
      <c r="U1612" s="28"/>
      <c r="V1612" s="22"/>
      <c r="W1612" s="22"/>
      <c r="X1612" s="22"/>
      <c r="Y1612" s="22"/>
      <c r="Z1612" s="22"/>
      <c r="AA1612" s="22"/>
      <c r="AB1612" s="22"/>
      <c r="AC1612" s="22"/>
      <c r="AD1612" s="22"/>
    </row>
    <row r="1613" spans="1:30" ht="15.75" customHeight="1" x14ac:dyDescent="0.15">
      <c r="A1613" s="22"/>
      <c r="B1613" s="22"/>
      <c r="C1613" s="22"/>
      <c r="D1613" s="22"/>
      <c r="E1613" s="22"/>
      <c r="F1613" s="28"/>
      <c r="G1613" s="28"/>
      <c r="H1613" s="28"/>
      <c r="I1613" s="28"/>
      <c r="J1613" s="28"/>
      <c r="K1613" s="28"/>
      <c r="L1613" s="28"/>
      <c r="M1613" s="22"/>
      <c r="N1613" s="22"/>
      <c r="O1613" s="22"/>
      <c r="P1613" s="22"/>
      <c r="Q1613" s="22"/>
      <c r="R1613" s="28"/>
      <c r="S1613" s="28"/>
      <c r="T1613" s="28"/>
      <c r="U1613" s="28"/>
      <c r="V1613" s="22"/>
      <c r="W1613" s="22"/>
      <c r="X1613" s="22"/>
      <c r="Y1613" s="22"/>
      <c r="Z1613" s="22"/>
      <c r="AA1613" s="22"/>
      <c r="AB1613" s="22"/>
      <c r="AC1613" s="22"/>
      <c r="AD1613" s="22"/>
    </row>
    <row r="1614" spans="1:30" ht="15.75" customHeight="1" x14ac:dyDescent="0.15">
      <c r="A1614" s="22"/>
      <c r="B1614" s="22"/>
      <c r="C1614" s="22"/>
      <c r="D1614" s="22"/>
      <c r="E1614" s="22"/>
      <c r="F1614" s="28"/>
      <c r="G1614" s="28"/>
      <c r="H1614" s="28"/>
      <c r="I1614" s="28"/>
      <c r="J1614" s="28"/>
      <c r="K1614" s="28"/>
      <c r="L1614" s="28"/>
      <c r="M1614" s="22"/>
      <c r="N1614" s="22"/>
      <c r="O1614" s="22"/>
      <c r="P1614" s="22"/>
      <c r="Q1614" s="22"/>
      <c r="R1614" s="28"/>
      <c r="S1614" s="28"/>
      <c r="T1614" s="28"/>
      <c r="U1614" s="28"/>
      <c r="V1614" s="22"/>
      <c r="W1614" s="22"/>
      <c r="X1614" s="22"/>
      <c r="Y1614" s="22"/>
      <c r="Z1614" s="22"/>
      <c r="AA1614" s="22"/>
      <c r="AB1614" s="22"/>
      <c r="AC1614" s="22"/>
      <c r="AD1614" s="22"/>
    </row>
    <row r="1615" spans="1:30" ht="15.75" customHeight="1" x14ac:dyDescent="0.15">
      <c r="A1615" s="22"/>
      <c r="B1615" s="22"/>
      <c r="C1615" s="22"/>
      <c r="D1615" s="22"/>
      <c r="E1615" s="22"/>
      <c r="F1615" s="28"/>
      <c r="G1615" s="28"/>
      <c r="H1615" s="28"/>
      <c r="I1615" s="28"/>
      <c r="J1615" s="28"/>
      <c r="K1615" s="28"/>
      <c r="L1615" s="28"/>
      <c r="M1615" s="22"/>
      <c r="N1615" s="22"/>
      <c r="O1615" s="22"/>
      <c r="P1615" s="22"/>
      <c r="Q1615" s="22"/>
      <c r="R1615" s="28"/>
      <c r="S1615" s="28"/>
      <c r="T1615" s="28"/>
      <c r="U1615" s="28"/>
      <c r="V1615" s="22"/>
      <c r="W1615" s="22"/>
      <c r="X1615" s="22"/>
      <c r="Y1615" s="22"/>
      <c r="Z1615" s="22"/>
      <c r="AA1615" s="22"/>
      <c r="AB1615" s="22"/>
      <c r="AC1615" s="22"/>
      <c r="AD1615" s="22"/>
    </row>
    <row r="1616" spans="1:30" ht="15.75" customHeight="1" x14ac:dyDescent="0.15">
      <c r="A1616" s="22"/>
      <c r="B1616" s="22"/>
      <c r="C1616" s="22"/>
      <c r="D1616" s="22"/>
      <c r="E1616" s="22"/>
      <c r="F1616" s="28"/>
      <c r="G1616" s="28"/>
      <c r="H1616" s="28"/>
      <c r="I1616" s="28"/>
      <c r="J1616" s="28"/>
      <c r="K1616" s="28"/>
      <c r="L1616" s="28"/>
      <c r="M1616" s="22"/>
      <c r="N1616" s="22"/>
      <c r="O1616" s="22"/>
      <c r="P1616" s="22"/>
      <c r="Q1616" s="22"/>
      <c r="R1616" s="28"/>
      <c r="S1616" s="28"/>
      <c r="T1616" s="28"/>
      <c r="U1616" s="28"/>
      <c r="V1616" s="22"/>
      <c r="W1616" s="22"/>
      <c r="X1616" s="22"/>
      <c r="Y1616" s="22"/>
      <c r="Z1616" s="22"/>
      <c r="AA1616" s="22"/>
      <c r="AB1616" s="22"/>
      <c r="AC1616" s="22"/>
      <c r="AD1616" s="22"/>
    </row>
    <row r="1617" spans="1:30" ht="15.75" customHeight="1" x14ac:dyDescent="0.15">
      <c r="A1617" s="22"/>
      <c r="B1617" s="22"/>
      <c r="C1617" s="22"/>
      <c r="D1617" s="22"/>
      <c r="E1617" s="22"/>
      <c r="F1617" s="28"/>
      <c r="G1617" s="28"/>
      <c r="H1617" s="28"/>
      <c r="I1617" s="28"/>
      <c r="J1617" s="28"/>
      <c r="K1617" s="28"/>
      <c r="L1617" s="28"/>
      <c r="M1617" s="22"/>
      <c r="N1617" s="22"/>
      <c r="O1617" s="22"/>
      <c r="P1617" s="22"/>
      <c r="Q1617" s="22"/>
      <c r="R1617" s="28"/>
      <c r="S1617" s="28"/>
      <c r="T1617" s="28"/>
      <c r="U1617" s="28"/>
      <c r="V1617" s="22"/>
      <c r="W1617" s="22"/>
      <c r="X1617" s="22"/>
      <c r="Y1617" s="22"/>
      <c r="Z1617" s="22"/>
      <c r="AA1617" s="22"/>
      <c r="AB1617" s="22"/>
      <c r="AC1617" s="22"/>
      <c r="AD1617" s="22"/>
    </row>
    <row r="1618" spans="1:30" ht="15.75" customHeight="1" x14ac:dyDescent="0.15">
      <c r="A1618" s="22"/>
      <c r="B1618" s="22"/>
      <c r="C1618" s="22"/>
      <c r="D1618" s="22"/>
      <c r="E1618" s="22"/>
      <c r="F1618" s="28"/>
      <c r="G1618" s="28"/>
      <c r="H1618" s="28"/>
      <c r="I1618" s="28"/>
      <c r="J1618" s="28"/>
      <c r="K1618" s="28"/>
      <c r="L1618" s="28"/>
      <c r="M1618" s="22"/>
      <c r="N1618" s="22"/>
      <c r="O1618" s="22"/>
      <c r="P1618" s="22"/>
      <c r="Q1618" s="22"/>
      <c r="R1618" s="28"/>
      <c r="S1618" s="28"/>
      <c r="T1618" s="28"/>
      <c r="U1618" s="28"/>
      <c r="V1618" s="22"/>
      <c r="W1618" s="22"/>
      <c r="X1618" s="22"/>
      <c r="Y1618" s="22"/>
      <c r="Z1618" s="22"/>
      <c r="AA1618" s="22"/>
      <c r="AB1618" s="22"/>
      <c r="AC1618" s="22"/>
      <c r="AD1618" s="22"/>
    </row>
    <row r="1619" spans="1:30" ht="15.75" customHeight="1" x14ac:dyDescent="0.15">
      <c r="A1619" s="22"/>
      <c r="B1619" s="22"/>
      <c r="C1619" s="22"/>
      <c r="D1619" s="22"/>
      <c r="E1619" s="22"/>
      <c r="F1619" s="28"/>
      <c r="G1619" s="28"/>
      <c r="H1619" s="28"/>
      <c r="I1619" s="28"/>
      <c r="J1619" s="28"/>
      <c r="K1619" s="28"/>
      <c r="L1619" s="28"/>
      <c r="M1619" s="22"/>
      <c r="N1619" s="22"/>
      <c r="O1619" s="22"/>
      <c r="P1619" s="22"/>
      <c r="Q1619" s="22"/>
      <c r="R1619" s="28"/>
      <c r="S1619" s="28"/>
      <c r="T1619" s="28"/>
      <c r="U1619" s="28"/>
      <c r="V1619" s="22"/>
      <c r="W1619" s="22"/>
      <c r="X1619" s="22"/>
      <c r="Y1619" s="22"/>
      <c r="Z1619" s="22"/>
      <c r="AA1619" s="22"/>
      <c r="AB1619" s="22"/>
      <c r="AC1619" s="22"/>
      <c r="AD1619" s="22"/>
    </row>
    <row r="1620" spans="1:30" ht="15.75" customHeight="1" x14ac:dyDescent="0.15">
      <c r="A1620" s="22"/>
      <c r="B1620" s="22"/>
      <c r="C1620" s="22"/>
      <c r="D1620" s="22"/>
      <c r="E1620" s="22"/>
      <c r="F1620" s="28"/>
      <c r="G1620" s="28"/>
      <c r="H1620" s="28"/>
      <c r="I1620" s="28"/>
      <c r="J1620" s="28"/>
      <c r="K1620" s="28"/>
      <c r="L1620" s="28"/>
      <c r="M1620" s="22"/>
      <c r="N1620" s="22"/>
      <c r="O1620" s="22"/>
      <c r="P1620" s="22"/>
      <c r="Q1620" s="22"/>
      <c r="R1620" s="28"/>
      <c r="S1620" s="28"/>
      <c r="T1620" s="28"/>
      <c r="U1620" s="28"/>
      <c r="V1620" s="22"/>
      <c r="W1620" s="22"/>
      <c r="X1620" s="22"/>
      <c r="Y1620" s="22"/>
      <c r="Z1620" s="22"/>
      <c r="AA1620" s="22"/>
      <c r="AB1620" s="22"/>
      <c r="AC1620" s="22"/>
      <c r="AD1620" s="22"/>
    </row>
    <row r="1621" spans="1:30" ht="15.75" customHeight="1" x14ac:dyDescent="0.15">
      <c r="A1621" s="22"/>
      <c r="B1621" s="22"/>
      <c r="C1621" s="22"/>
      <c r="D1621" s="22"/>
      <c r="E1621" s="22"/>
      <c r="F1621" s="28"/>
      <c r="G1621" s="28"/>
      <c r="H1621" s="28"/>
      <c r="I1621" s="28"/>
      <c r="J1621" s="28"/>
      <c r="K1621" s="28"/>
      <c r="L1621" s="28"/>
      <c r="M1621" s="22"/>
      <c r="N1621" s="22"/>
      <c r="O1621" s="22"/>
      <c r="P1621" s="22"/>
      <c r="Q1621" s="22"/>
      <c r="R1621" s="28"/>
      <c r="S1621" s="28"/>
      <c r="T1621" s="28"/>
      <c r="U1621" s="28"/>
      <c r="V1621" s="22"/>
      <c r="W1621" s="22"/>
      <c r="X1621" s="22"/>
      <c r="Y1621" s="22"/>
      <c r="Z1621" s="22"/>
      <c r="AA1621" s="22"/>
      <c r="AB1621" s="22"/>
      <c r="AC1621" s="22"/>
      <c r="AD1621" s="22"/>
    </row>
    <row r="1622" spans="1:30" ht="15.75" customHeight="1" x14ac:dyDescent="0.15">
      <c r="A1622" s="22"/>
      <c r="B1622" s="22"/>
      <c r="C1622" s="22"/>
      <c r="D1622" s="22"/>
      <c r="E1622" s="22"/>
      <c r="F1622" s="28"/>
      <c r="G1622" s="28"/>
      <c r="H1622" s="28"/>
      <c r="I1622" s="28"/>
      <c r="J1622" s="28"/>
      <c r="K1622" s="28"/>
      <c r="L1622" s="28"/>
      <c r="M1622" s="22"/>
      <c r="N1622" s="22"/>
      <c r="O1622" s="22"/>
      <c r="P1622" s="22"/>
      <c r="Q1622" s="22"/>
      <c r="R1622" s="28"/>
      <c r="S1622" s="28"/>
      <c r="T1622" s="28"/>
      <c r="U1622" s="28"/>
      <c r="V1622" s="22"/>
      <c r="W1622" s="22"/>
      <c r="X1622" s="22"/>
      <c r="Y1622" s="22"/>
      <c r="Z1622" s="22"/>
      <c r="AA1622" s="22"/>
      <c r="AB1622" s="22"/>
      <c r="AC1622" s="22"/>
      <c r="AD1622" s="22"/>
    </row>
    <row r="1623" spans="1:30" ht="15.75" customHeight="1" x14ac:dyDescent="0.15">
      <c r="A1623" s="22"/>
      <c r="B1623" s="22"/>
      <c r="C1623" s="22"/>
      <c r="D1623" s="22"/>
      <c r="E1623" s="22"/>
      <c r="F1623" s="28"/>
      <c r="G1623" s="28"/>
      <c r="H1623" s="28"/>
      <c r="I1623" s="28"/>
      <c r="J1623" s="28"/>
      <c r="K1623" s="28"/>
      <c r="L1623" s="28"/>
      <c r="M1623" s="22"/>
      <c r="N1623" s="22"/>
      <c r="O1623" s="22"/>
      <c r="P1623" s="22"/>
      <c r="Q1623" s="22"/>
      <c r="R1623" s="28"/>
      <c r="S1623" s="28"/>
      <c r="T1623" s="28"/>
      <c r="U1623" s="28"/>
      <c r="V1623" s="22"/>
      <c r="W1623" s="22"/>
      <c r="X1623" s="22"/>
      <c r="Y1623" s="22"/>
      <c r="Z1623" s="22"/>
      <c r="AA1623" s="22"/>
      <c r="AB1623" s="22"/>
      <c r="AC1623" s="22"/>
      <c r="AD1623" s="22"/>
    </row>
    <row r="1624" spans="1:30" ht="15.75" customHeight="1" x14ac:dyDescent="0.15">
      <c r="A1624" s="22"/>
      <c r="B1624" s="22"/>
      <c r="C1624" s="22"/>
      <c r="D1624" s="22"/>
      <c r="E1624" s="22"/>
      <c r="F1624" s="28"/>
      <c r="G1624" s="28"/>
      <c r="H1624" s="28"/>
      <c r="I1624" s="28"/>
      <c r="J1624" s="28"/>
      <c r="K1624" s="28"/>
      <c r="L1624" s="28"/>
      <c r="M1624" s="22"/>
      <c r="N1624" s="22"/>
      <c r="O1624" s="22"/>
      <c r="P1624" s="22"/>
      <c r="Q1624" s="22"/>
      <c r="R1624" s="28"/>
      <c r="S1624" s="28"/>
      <c r="T1624" s="28"/>
      <c r="U1624" s="28"/>
      <c r="V1624" s="22"/>
      <c r="W1624" s="22"/>
      <c r="X1624" s="22"/>
      <c r="Y1624" s="22"/>
      <c r="Z1624" s="22"/>
      <c r="AA1624" s="22"/>
      <c r="AB1624" s="22"/>
      <c r="AC1624" s="22"/>
      <c r="AD1624" s="22"/>
    </row>
    <row r="1625" spans="1:30" ht="15.75" customHeight="1" x14ac:dyDescent="0.15">
      <c r="A1625" s="22"/>
      <c r="B1625" s="22"/>
      <c r="C1625" s="22"/>
      <c r="D1625" s="22"/>
      <c r="E1625" s="22"/>
      <c r="F1625" s="28"/>
      <c r="G1625" s="28"/>
      <c r="H1625" s="28"/>
      <c r="I1625" s="28"/>
      <c r="J1625" s="28"/>
      <c r="K1625" s="28"/>
      <c r="L1625" s="28"/>
      <c r="M1625" s="22"/>
      <c r="N1625" s="22"/>
      <c r="O1625" s="22"/>
      <c r="P1625" s="22"/>
      <c r="Q1625" s="22"/>
      <c r="R1625" s="28"/>
      <c r="S1625" s="28"/>
      <c r="T1625" s="28"/>
      <c r="U1625" s="28"/>
      <c r="V1625" s="22"/>
      <c r="W1625" s="22"/>
      <c r="X1625" s="22"/>
      <c r="Y1625" s="22"/>
      <c r="Z1625" s="22"/>
      <c r="AA1625" s="22"/>
      <c r="AB1625" s="22"/>
      <c r="AC1625" s="22"/>
      <c r="AD1625" s="22"/>
    </row>
    <row r="1626" spans="1:30" ht="15.75" customHeight="1" x14ac:dyDescent="0.15">
      <c r="A1626" s="22"/>
      <c r="B1626" s="22"/>
      <c r="C1626" s="22"/>
      <c r="D1626" s="22"/>
      <c r="E1626" s="22"/>
      <c r="F1626" s="28"/>
      <c r="G1626" s="28"/>
      <c r="H1626" s="28"/>
      <c r="I1626" s="28"/>
      <c r="J1626" s="28"/>
      <c r="K1626" s="28"/>
      <c r="L1626" s="28"/>
      <c r="M1626" s="22"/>
      <c r="N1626" s="22"/>
      <c r="O1626" s="22"/>
      <c r="P1626" s="22"/>
      <c r="Q1626" s="22"/>
      <c r="R1626" s="28"/>
      <c r="S1626" s="28"/>
      <c r="T1626" s="28"/>
      <c r="U1626" s="28"/>
      <c r="V1626" s="22"/>
      <c r="W1626" s="22"/>
      <c r="X1626" s="22"/>
      <c r="Y1626" s="22"/>
      <c r="Z1626" s="22"/>
      <c r="AA1626" s="22"/>
      <c r="AB1626" s="22"/>
      <c r="AC1626" s="22"/>
      <c r="AD1626" s="22"/>
    </row>
    <row r="1627" spans="1:30" ht="15.75" customHeight="1" x14ac:dyDescent="0.15">
      <c r="A1627" s="22"/>
      <c r="B1627" s="22"/>
      <c r="C1627" s="22"/>
      <c r="D1627" s="22"/>
      <c r="E1627" s="22"/>
      <c r="F1627" s="28"/>
      <c r="G1627" s="28"/>
      <c r="H1627" s="28"/>
      <c r="I1627" s="28"/>
      <c r="J1627" s="28"/>
      <c r="K1627" s="28"/>
      <c r="L1627" s="28"/>
      <c r="M1627" s="22"/>
      <c r="N1627" s="22"/>
      <c r="O1627" s="22"/>
      <c r="P1627" s="22"/>
      <c r="Q1627" s="22"/>
      <c r="R1627" s="28"/>
      <c r="S1627" s="28"/>
      <c r="T1627" s="28"/>
      <c r="U1627" s="28"/>
      <c r="V1627" s="22"/>
      <c r="W1627" s="22"/>
      <c r="X1627" s="22"/>
      <c r="Y1627" s="22"/>
      <c r="Z1627" s="22"/>
      <c r="AA1627" s="22"/>
      <c r="AB1627" s="22"/>
      <c r="AC1627" s="22"/>
      <c r="AD1627" s="22"/>
    </row>
    <row r="1628" spans="1:30" ht="15.75" customHeight="1" x14ac:dyDescent="0.15">
      <c r="A1628" s="22"/>
      <c r="B1628" s="22"/>
      <c r="C1628" s="22"/>
      <c r="D1628" s="22"/>
      <c r="E1628" s="22"/>
      <c r="F1628" s="28"/>
      <c r="G1628" s="28"/>
      <c r="H1628" s="28"/>
      <c r="I1628" s="28"/>
      <c r="J1628" s="28"/>
      <c r="K1628" s="28"/>
      <c r="L1628" s="28"/>
      <c r="M1628" s="22"/>
      <c r="N1628" s="22"/>
      <c r="O1628" s="22"/>
      <c r="P1628" s="22"/>
      <c r="Q1628" s="22"/>
      <c r="R1628" s="28"/>
      <c r="S1628" s="28"/>
      <c r="T1628" s="28"/>
      <c r="U1628" s="28"/>
      <c r="V1628" s="22"/>
      <c r="W1628" s="22"/>
      <c r="X1628" s="22"/>
      <c r="Y1628" s="22"/>
      <c r="Z1628" s="22"/>
      <c r="AA1628" s="22"/>
      <c r="AB1628" s="22"/>
      <c r="AC1628" s="22"/>
      <c r="AD1628" s="22"/>
    </row>
    <row r="1629" spans="1:30" ht="15.75" customHeight="1" x14ac:dyDescent="0.15">
      <c r="A1629" s="22"/>
      <c r="B1629" s="22"/>
      <c r="C1629" s="22"/>
      <c r="D1629" s="22"/>
      <c r="E1629" s="22"/>
      <c r="F1629" s="28"/>
      <c r="G1629" s="28"/>
      <c r="H1629" s="28"/>
      <c r="I1629" s="28"/>
      <c r="J1629" s="28"/>
      <c r="K1629" s="28"/>
      <c r="L1629" s="28"/>
      <c r="M1629" s="22"/>
      <c r="N1629" s="22"/>
      <c r="O1629" s="22"/>
      <c r="P1629" s="22"/>
      <c r="Q1629" s="22"/>
      <c r="R1629" s="28"/>
      <c r="S1629" s="28"/>
      <c r="T1629" s="28"/>
      <c r="U1629" s="28"/>
      <c r="V1629" s="22"/>
      <c r="W1629" s="22"/>
      <c r="X1629" s="22"/>
      <c r="Y1629" s="22"/>
      <c r="Z1629" s="22"/>
      <c r="AA1629" s="22"/>
      <c r="AB1629" s="22"/>
      <c r="AC1629" s="22"/>
      <c r="AD1629" s="22"/>
    </row>
    <row r="1630" spans="1:30" ht="15.75" customHeight="1" x14ac:dyDescent="0.15">
      <c r="A1630" s="22"/>
      <c r="B1630" s="22"/>
      <c r="C1630" s="22"/>
      <c r="D1630" s="22"/>
      <c r="E1630" s="22"/>
      <c r="F1630" s="28"/>
      <c r="G1630" s="28"/>
      <c r="H1630" s="28"/>
      <c r="I1630" s="28"/>
      <c r="J1630" s="28"/>
      <c r="K1630" s="28"/>
      <c r="L1630" s="28"/>
      <c r="M1630" s="22"/>
      <c r="N1630" s="22"/>
      <c r="O1630" s="22"/>
      <c r="P1630" s="22"/>
      <c r="Q1630" s="22"/>
      <c r="R1630" s="28"/>
      <c r="S1630" s="28"/>
      <c r="T1630" s="28"/>
      <c r="U1630" s="28"/>
      <c r="V1630" s="22"/>
      <c r="W1630" s="22"/>
      <c r="X1630" s="22"/>
      <c r="Y1630" s="22"/>
      <c r="Z1630" s="22"/>
      <c r="AA1630" s="22"/>
      <c r="AB1630" s="22"/>
      <c r="AC1630" s="22"/>
      <c r="AD1630" s="22"/>
    </row>
    <row r="1631" spans="1:30" ht="15.75" customHeight="1" x14ac:dyDescent="0.15">
      <c r="A1631" s="22"/>
      <c r="B1631" s="22"/>
      <c r="C1631" s="22"/>
      <c r="D1631" s="22"/>
      <c r="E1631" s="22"/>
      <c r="F1631" s="28"/>
      <c r="G1631" s="28"/>
      <c r="H1631" s="28"/>
      <c r="I1631" s="28"/>
      <c r="J1631" s="28"/>
      <c r="K1631" s="28"/>
      <c r="L1631" s="28"/>
      <c r="M1631" s="22"/>
      <c r="N1631" s="22"/>
      <c r="O1631" s="22"/>
      <c r="P1631" s="22"/>
      <c r="Q1631" s="22"/>
      <c r="R1631" s="28"/>
      <c r="S1631" s="28"/>
      <c r="T1631" s="28"/>
      <c r="U1631" s="28"/>
      <c r="V1631" s="22"/>
      <c r="W1631" s="22"/>
      <c r="X1631" s="22"/>
      <c r="Y1631" s="22"/>
      <c r="Z1631" s="22"/>
      <c r="AA1631" s="22"/>
      <c r="AB1631" s="22"/>
      <c r="AC1631" s="22"/>
      <c r="AD1631" s="22"/>
    </row>
    <row r="1632" spans="1:30" ht="15.75" customHeight="1" x14ac:dyDescent="0.15">
      <c r="A1632" s="22"/>
      <c r="B1632" s="22"/>
      <c r="C1632" s="22"/>
      <c r="D1632" s="22"/>
      <c r="E1632" s="22"/>
      <c r="F1632" s="28"/>
      <c r="G1632" s="28"/>
      <c r="H1632" s="28"/>
      <c r="I1632" s="28"/>
      <c r="J1632" s="28"/>
      <c r="K1632" s="28"/>
      <c r="L1632" s="28"/>
      <c r="M1632" s="22"/>
      <c r="N1632" s="22"/>
      <c r="O1632" s="22"/>
      <c r="P1632" s="22"/>
      <c r="Q1632" s="22"/>
      <c r="R1632" s="28"/>
      <c r="S1632" s="28"/>
      <c r="T1632" s="28"/>
      <c r="U1632" s="28"/>
      <c r="V1632" s="22"/>
      <c r="W1632" s="22"/>
      <c r="X1632" s="22"/>
      <c r="Y1632" s="22"/>
      <c r="Z1632" s="22"/>
      <c r="AA1632" s="22"/>
      <c r="AB1632" s="22"/>
      <c r="AC1632" s="22"/>
      <c r="AD1632" s="22"/>
    </row>
    <row r="1633" spans="1:30" ht="15.75" customHeight="1" x14ac:dyDescent="0.15">
      <c r="A1633" s="22"/>
      <c r="B1633" s="22"/>
      <c r="C1633" s="22"/>
      <c r="D1633" s="22"/>
      <c r="E1633" s="22"/>
      <c r="F1633" s="28"/>
      <c r="G1633" s="28"/>
      <c r="H1633" s="28"/>
      <c r="I1633" s="28"/>
      <c r="J1633" s="28"/>
      <c r="K1633" s="28"/>
      <c r="L1633" s="28"/>
      <c r="M1633" s="22"/>
      <c r="N1633" s="22"/>
      <c r="O1633" s="22"/>
      <c r="P1633" s="22"/>
      <c r="Q1633" s="22"/>
      <c r="R1633" s="28"/>
      <c r="S1633" s="28"/>
      <c r="T1633" s="28"/>
      <c r="U1633" s="28"/>
      <c r="V1633" s="22"/>
      <c r="W1633" s="22"/>
      <c r="X1633" s="22"/>
      <c r="Y1633" s="22"/>
      <c r="Z1633" s="22"/>
      <c r="AA1633" s="22"/>
      <c r="AB1633" s="22"/>
      <c r="AC1633" s="22"/>
      <c r="AD1633" s="22"/>
    </row>
    <row r="1634" spans="1:30" ht="15.75" customHeight="1" x14ac:dyDescent="0.15">
      <c r="A1634" s="22"/>
      <c r="B1634" s="22"/>
      <c r="C1634" s="22"/>
      <c r="D1634" s="22"/>
      <c r="E1634" s="22"/>
      <c r="F1634" s="28"/>
      <c r="G1634" s="28"/>
      <c r="H1634" s="28"/>
      <c r="I1634" s="28"/>
      <c r="J1634" s="28"/>
      <c r="K1634" s="28"/>
      <c r="L1634" s="28"/>
      <c r="M1634" s="22"/>
      <c r="N1634" s="22"/>
      <c r="O1634" s="22"/>
      <c r="P1634" s="22"/>
      <c r="Q1634" s="22"/>
      <c r="R1634" s="28"/>
      <c r="S1634" s="28"/>
      <c r="T1634" s="28"/>
      <c r="U1634" s="28"/>
      <c r="V1634" s="22"/>
      <c r="W1634" s="22"/>
      <c r="X1634" s="22"/>
      <c r="Y1634" s="22"/>
      <c r="Z1634" s="22"/>
      <c r="AA1634" s="22"/>
      <c r="AB1634" s="22"/>
      <c r="AC1634" s="22"/>
      <c r="AD1634" s="22"/>
    </row>
    <row r="1635" spans="1:30" ht="15.75" customHeight="1" x14ac:dyDescent="0.15">
      <c r="A1635" s="22"/>
      <c r="B1635" s="22"/>
      <c r="C1635" s="22"/>
      <c r="D1635" s="22"/>
      <c r="E1635" s="22"/>
      <c r="F1635" s="28"/>
      <c r="G1635" s="28"/>
      <c r="H1635" s="28"/>
      <c r="I1635" s="28"/>
      <c r="J1635" s="28"/>
      <c r="K1635" s="28"/>
      <c r="L1635" s="28"/>
      <c r="M1635" s="22"/>
      <c r="N1635" s="22"/>
      <c r="O1635" s="22"/>
      <c r="P1635" s="22"/>
      <c r="Q1635" s="22"/>
      <c r="R1635" s="28"/>
      <c r="S1635" s="28"/>
      <c r="T1635" s="28"/>
      <c r="U1635" s="28"/>
      <c r="V1635" s="22"/>
      <c r="W1635" s="22"/>
      <c r="X1635" s="22"/>
      <c r="Y1635" s="22"/>
      <c r="Z1635" s="22"/>
      <c r="AA1635" s="22"/>
      <c r="AB1635" s="22"/>
      <c r="AC1635" s="22"/>
      <c r="AD1635" s="22"/>
    </row>
    <row r="1636" spans="1:30" ht="15.75" customHeight="1" x14ac:dyDescent="0.15">
      <c r="A1636" s="22"/>
      <c r="B1636" s="22"/>
      <c r="C1636" s="22"/>
      <c r="D1636" s="22"/>
      <c r="E1636" s="22"/>
      <c r="F1636" s="28"/>
      <c r="G1636" s="28"/>
      <c r="H1636" s="28"/>
      <c r="I1636" s="28"/>
      <c r="J1636" s="28"/>
      <c r="K1636" s="28"/>
      <c r="L1636" s="28"/>
      <c r="M1636" s="22"/>
      <c r="N1636" s="22"/>
      <c r="O1636" s="22"/>
      <c r="P1636" s="22"/>
      <c r="Q1636" s="22"/>
      <c r="R1636" s="28"/>
      <c r="S1636" s="28"/>
      <c r="T1636" s="28"/>
      <c r="U1636" s="28"/>
      <c r="V1636" s="22"/>
      <c r="W1636" s="22"/>
      <c r="X1636" s="22"/>
      <c r="Y1636" s="22"/>
      <c r="Z1636" s="22"/>
      <c r="AA1636" s="22"/>
      <c r="AB1636" s="22"/>
      <c r="AC1636" s="22"/>
      <c r="AD1636" s="22"/>
    </row>
    <row r="1637" spans="1:30" ht="15.75" customHeight="1" x14ac:dyDescent="0.15">
      <c r="A1637" s="22"/>
      <c r="B1637" s="22"/>
      <c r="C1637" s="22"/>
      <c r="D1637" s="22"/>
      <c r="E1637" s="22"/>
      <c r="F1637" s="28"/>
      <c r="G1637" s="28"/>
      <c r="H1637" s="28"/>
      <c r="I1637" s="28"/>
      <c r="J1637" s="28"/>
      <c r="K1637" s="28"/>
      <c r="L1637" s="28"/>
      <c r="M1637" s="22"/>
      <c r="N1637" s="22"/>
      <c r="O1637" s="22"/>
      <c r="P1637" s="22"/>
      <c r="Q1637" s="22"/>
      <c r="R1637" s="28"/>
      <c r="S1637" s="28"/>
      <c r="T1637" s="28"/>
      <c r="U1637" s="28"/>
      <c r="V1637" s="22"/>
      <c r="W1637" s="22"/>
      <c r="X1637" s="22"/>
      <c r="Y1637" s="22"/>
      <c r="Z1637" s="22"/>
      <c r="AA1637" s="22"/>
      <c r="AB1637" s="22"/>
      <c r="AC1637" s="22"/>
      <c r="AD1637" s="22"/>
    </row>
    <row r="1638" spans="1:30" ht="15.75" customHeight="1" x14ac:dyDescent="0.15">
      <c r="A1638" s="22"/>
      <c r="B1638" s="22"/>
      <c r="C1638" s="22"/>
      <c r="D1638" s="22"/>
      <c r="E1638" s="22"/>
      <c r="F1638" s="28"/>
      <c r="G1638" s="28"/>
      <c r="H1638" s="28"/>
      <c r="I1638" s="28"/>
      <c r="J1638" s="28"/>
      <c r="K1638" s="28"/>
      <c r="L1638" s="28"/>
      <c r="M1638" s="22"/>
      <c r="N1638" s="22"/>
      <c r="O1638" s="22"/>
      <c r="P1638" s="22"/>
      <c r="Q1638" s="22"/>
      <c r="R1638" s="28"/>
      <c r="S1638" s="28"/>
      <c r="T1638" s="28"/>
      <c r="U1638" s="28"/>
      <c r="V1638" s="22"/>
      <c r="W1638" s="22"/>
      <c r="X1638" s="22"/>
      <c r="Y1638" s="22"/>
      <c r="Z1638" s="22"/>
      <c r="AA1638" s="22"/>
      <c r="AB1638" s="22"/>
      <c r="AC1638" s="22"/>
      <c r="AD1638" s="22"/>
    </row>
    <row r="1639" spans="1:30" ht="15.75" customHeight="1" x14ac:dyDescent="0.15">
      <c r="A1639" s="22"/>
      <c r="B1639" s="22"/>
      <c r="C1639" s="22"/>
      <c r="D1639" s="22"/>
      <c r="E1639" s="22"/>
      <c r="F1639" s="28"/>
      <c r="G1639" s="28"/>
      <c r="H1639" s="28"/>
      <c r="I1639" s="28"/>
      <c r="J1639" s="28"/>
      <c r="K1639" s="28"/>
      <c r="L1639" s="28"/>
      <c r="M1639" s="22"/>
      <c r="N1639" s="22"/>
      <c r="O1639" s="22"/>
      <c r="P1639" s="22"/>
      <c r="Q1639" s="22"/>
      <c r="R1639" s="28"/>
      <c r="S1639" s="28"/>
      <c r="T1639" s="28"/>
      <c r="U1639" s="28"/>
      <c r="V1639" s="22"/>
      <c r="W1639" s="22"/>
      <c r="X1639" s="22"/>
      <c r="Y1639" s="22"/>
      <c r="Z1639" s="22"/>
      <c r="AA1639" s="22"/>
      <c r="AB1639" s="22"/>
      <c r="AC1639" s="22"/>
      <c r="AD1639" s="22"/>
    </row>
    <row r="1640" spans="1:30" ht="15.75" customHeight="1" x14ac:dyDescent="0.15">
      <c r="A1640" s="22"/>
      <c r="B1640" s="22"/>
      <c r="C1640" s="22"/>
      <c r="D1640" s="22"/>
      <c r="E1640" s="22"/>
      <c r="F1640" s="28"/>
      <c r="G1640" s="28"/>
      <c r="H1640" s="28"/>
      <c r="I1640" s="28"/>
      <c r="J1640" s="28"/>
      <c r="K1640" s="28"/>
      <c r="L1640" s="28"/>
      <c r="M1640" s="22"/>
      <c r="N1640" s="22"/>
      <c r="O1640" s="22"/>
      <c r="P1640" s="22"/>
      <c r="Q1640" s="22"/>
      <c r="R1640" s="28"/>
      <c r="S1640" s="28"/>
      <c r="T1640" s="28"/>
      <c r="U1640" s="28"/>
      <c r="V1640" s="22"/>
      <c r="W1640" s="22"/>
      <c r="X1640" s="22"/>
      <c r="Y1640" s="22"/>
      <c r="Z1640" s="22"/>
      <c r="AA1640" s="22"/>
      <c r="AB1640" s="22"/>
      <c r="AC1640" s="22"/>
      <c r="AD1640" s="22"/>
    </row>
    <row r="1641" spans="1:30" ht="15.75" customHeight="1" x14ac:dyDescent="0.15">
      <c r="A1641" s="22"/>
      <c r="B1641" s="22"/>
      <c r="C1641" s="22"/>
      <c r="D1641" s="22"/>
      <c r="E1641" s="22"/>
      <c r="F1641" s="28"/>
      <c r="G1641" s="28"/>
      <c r="H1641" s="28"/>
      <c r="I1641" s="28"/>
      <c r="J1641" s="28"/>
      <c r="K1641" s="28"/>
      <c r="L1641" s="28"/>
      <c r="M1641" s="22"/>
      <c r="N1641" s="22"/>
      <c r="O1641" s="22"/>
      <c r="P1641" s="22"/>
      <c r="Q1641" s="22"/>
      <c r="R1641" s="28"/>
      <c r="S1641" s="28"/>
      <c r="T1641" s="28"/>
      <c r="U1641" s="28"/>
      <c r="V1641" s="22"/>
      <c r="W1641" s="22"/>
      <c r="X1641" s="22"/>
      <c r="Y1641" s="22"/>
      <c r="Z1641" s="22"/>
      <c r="AA1641" s="22"/>
      <c r="AB1641" s="22"/>
      <c r="AC1641" s="22"/>
      <c r="AD1641" s="22"/>
    </row>
    <row r="1642" spans="1:30" ht="15.75" customHeight="1" x14ac:dyDescent="0.15">
      <c r="A1642" s="22"/>
      <c r="B1642" s="22"/>
      <c r="C1642" s="22"/>
      <c r="D1642" s="22"/>
      <c r="E1642" s="22"/>
      <c r="F1642" s="28"/>
      <c r="G1642" s="28"/>
      <c r="H1642" s="28"/>
      <c r="I1642" s="28"/>
      <c r="J1642" s="28"/>
      <c r="K1642" s="28"/>
      <c r="L1642" s="28"/>
      <c r="M1642" s="22"/>
      <c r="N1642" s="22"/>
      <c r="O1642" s="22"/>
      <c r="P1642" s="22"/>
      <c r="Q1642" s="22"/>
      <c r="R1642" s="28"/>
      <c r="S1642" s="28"/>
      <c r="T1642" s="28"/>
      <c r="U1642" s="28"/>
      <c r="V1642" s="22"/>
      <c r="W1642" s="22"/>
      <c r="X1642" s="22"/>
      <c r="Y1642" s="22"/>
      <c r="Z1642" s="22"/>
      <c r="AA1642" s="22"/>
      <c r="AB1642" s="22"/>
      <c r="AC1642" s="22"/>
      <c r="AD1642" s="22"/>
    </row>
    <row r="1643" spans="1:30" ht="15.75" customHeight="1" x14ac:dyDescent="0.15">
      <c r="A1643" s="22"/>
      <c r="B1643" s="22"/>
      <c r="C1643" s="22"/>
      <c r="D1643" s="22"/>
      <c r="E1643" s="22"/>
      <c r="F1643" s="28"/>
      <c r="G1643" s="28"/>
      <c r="H1643" s="28"/>
      <c r="I1643" s="28"/>
      <c r="J1643" s="28"/>
      <c r="K1643" s="28"/>
      <c r="L1643" s="28"/>
      <c r="M1643" s="22"/>
      <c r="N1643" s="22"/>
      <c r="O1643" s="22"/>
      <c r="P1643" s="22"/>
      <c r="Q1643" s="22"/>
      <c r="R1643" s="28"/>
      <c r="S1643" s="28"/>
      <c r="T1643" s="28"/>
      <c r="U1643" s="28"/>
      <c r="V1643" s="22"/>
      <c r="W1643" s="22"/>
      <c r="X1643" s="22"/>
      <c r="Y1643" s="22"/>
      <c r="Z1643" s="22"/>
      <c r="AA1643" s="22"/>
      <c r="AB1643" s="22"/>
      <c r="AC1643" s="22"/>
      <c r="AD1643" s="22"/>
    </row>
    <row r="1644" spans="1:30" ht="15.75" customHeight="1" x14ac:dyDescent="0.15">
      <c r="A1644" s="22"/>
      <c r="B1644" s="22"/>
      <c r="C1644" s="22"/>
      <c r="D1644" s="22"/>
      <c r="E1644" s="22"/>
      <c r="F1644" s="28"/>
      <c r="G1644" s="28"/>
      <c r="H1644" s="28"/>
      <c r="I1644" s="28"/>
      <c r="J1644" s="28"/>
      <c r="K1644" s="28"/>
      <c r="L1644" s="28"/>
      <c r="M1644" s="22"/>
      <c r="N1644" s="22"/>
      <c r="O1644" s="22"/>
      <c r="P1644" s="22"/>
      <c r="Q1644" s="22"/>
      <c r="R1644" s="28"/>
      <c r="S1644" s="28"/>
      <c r="T1644" s="28"/>
      <c r="U1644" s="28"/>
      <c r="V1644" s="22"/>
      <c r="W1644" s="22"/>
      <c r="X1644" s="22"/>
      <c r="Y1644" s="22"/>
      <c r="Z1644" s="22"/>
      <c r="AA1644" s="22"/>
      <c r="AB1644" s="22"/>
      <c r="AC1644" s="22"/>
      <c r="AD1644" s="22"/>
    </row>
    <row r="1645" spans="1:30" ht="15.75" customHeight="1" x14ac:dyDescent="0.15">
      <c r="A1645" s="22"/>
      <c r="B1645" s="22"/>
      <c r="C1645" s="22"/>
      <c r="D1645" s="22"/>
      <c r="E1645" s="22"/>
      <c r="F1645" s="28"/>
      <c r="G1645" s="28"/>
      <c r="H1645" s="28"/>
      <c r="I1645" s="28"/>
      <c r="J1645" s="28"/>
      <c r="K1645" s="28"/>
      <c r="L1645" s="28"/>
      <c r="M1645" s="22"/>
      <c r="N1645" s="22"/>
      <c r="O1645" s="22"/>
      <c r="P1645" s="22"/>
      <c r="Q1645" s="22"/>
      <c r="R1645" s="28"/>
      <c r="S1645" s="28"/>
      <c r="T1645" s="28"/>
      <c r="U1645" s="28"/>
      <c r="V1645" s="22"/>
      <c r="W1645" s="22"/>
      <c r="X1645" s="22"/>
      <c r="Y1645" s="22"/>
      <c r="Z1645" s="22"/>
      <c r="AA1645" s="22"/>
      <c r="AB1645" s="22"/>
      <c r="AC1645" s="22"/>
      <c r="AD1645" s="22"/>
    </row>
    <row r="1646" spans="1:30" ht="15.75" customHeight="1" x14ac:dyDescent="0.15">
      <c r="A1646" s="22"/>
      <c r="B1646" s="22"/>
      <c r="C1646" s="22"/>
      <c r="D1646" s="22"/>
      <c r="E1646" s="22"/>
      <c r="F1646" s="28"/>
      <c r="G1646" s="28"/>
      <c r="H1646" s="28"/>
      <c r="I1646" s="28"/>
      <c r="J1646" s="28"/>
      <c r="K1646" s="28"/>
      <c r="L1646" s="28"/>
      <c r="M1646" s="22"/>
      <c r="N1646" s="22"/>
      <c r="O1646" s="22"/>
      <c r="P1646" s="22"/>
      <c r="Q1646" s="22"/>
      <c r="R1646" s="28"/>
      <c r="S1646" s="28"/>
      <c r="T1646" s="28"/>
      <c r="U1646" s="28"/>
      <c r="V1646" s="22"/>
      <c r="W1646" s="22"/>
      <c r="X1646" s="22"/>
      <c r="Y1646" s="22"/>
      <c r="Z1646" s="22"/>
      <c r="AA1646" s="22"/>
      <c r="AB1646" s="22"/>
      <c r="AC1646" s="22"/>
      <c r="AD1646" s="22"/>
    </row>
    <row r="1647" spans="1:30" ht="15.75" customHeight="1" x14ac:dyDescent="0.15">
      <c r="A1647" s="22"/>
      <c r="B1647" s="22"/>
      <c r="C1647" s="22"/>
      <c r="D1647" s="22"/>
      <c r="E1647" s="22"/>
      <c r="F1647" s="28"/>
      <c r="G1647" s="28"/>
      <c r="H1647" s="28"/>
      <c r="I1647" s="28"/>
      <c r="J1647" s="28"/>
      <c r="K1647" s="28"/>
      <c r="L1647" s="28"/>
      <c r="M1647" s="22"/>
      <c r="N1647" s="22"/>
      <c r="O1647" s="22"/>
      <c r="P1647" s="22"/>
      <c r="Q1647" s="22"/>
      <c r="R1647" s="28"/>
      <c r="S1647" s="28"/>
      <c r="T1647" s="28"/>
      <c r="U1647" s="28"/>
      <c r="V1647" s="22"/>
      <c r="W1647" s="22"/>
      <c r="X1647" s="22"/>
      <c r="Y1647" s="22"/>
      <c r="Z1647" s="22"/>
      <c r="AA1647" s="22"/>
      <c r="AB1647" s="22"/>
      <c r="AC1647" s="22"/>
      <c r="AD1647" s="22"/>
    </row>
    <row r="1648" spans="1:30" ht="15.75" customHeight="1" x14ac:dyDescent="0.15">
      <c r="A1648" s="22"/>
      <c r="B1648" s="22"/>
      <c r="C1648" s="22"/>
      <c r="D1648" s="22"/>
      <c r="E1648" s="22"/>
      <c r="F1648" s="28"/>
      <c r="G1648" s="28"/>
      <c r="H1648" s="28"/>
      <c r="I1648" s="28"/>
      <c r="J1648" s="28"/>
      <c r="K1648" s="28"/>
      <c r="L1648" s="28"/>
      <c r="M1648" s="22"/>
      <c r="N1648" s="22"/>
      <c r="O1648" s="22"/>
      <c r="P1648" s="22"/>
      <c r="Q1648" s="22"/>
      <c r="R1648" s="28"/>
      <c r="S1648" s="28"/>
      <c r="T1648" s="28"/>
      <c r="U1648" s="28"/>
      <c r="V1648" s="22"/>
      <c r="W1648" s="22"/>
      <c r="X1648" s="22"/>
      <c r="Y1648" s="22"/>
      <c r="Z1648" s="22"/>
      <c r="AA1648" s="22"/>
      <c r="AB1648" s="22"/>
      <c r="AC1648" s="22"/>
      <c r="AD1648" s="22"/>
    </row>
    <row r="1649" spans="1:30" ht="15.75" customHeight="1" x14ac:dyDescent="0.15">
      <c r="A1649" s="22"/>
      <c r="B1649" s="22"/>
      <c r="C1649" s="22"/>
      <c r="D1649" s="22"/>
      <c r="E1649" s="22"/>
      <c r="F1649" s="28"/>
      <c r="G1649" s="28"/>
      <c r="H1649" s="28"/>
      <c r="I1649" s="28"/>
      <c r="J1649" s="28"/>
      <c r="K1649" s="28"/>
      <c r="L1649" s="28"/>
      <c r="M1649" s="22"/>
      <c r="N1649" s="22"/>
      <c r="O1649" s="22"/>
      <c r="P1649" s="22"/>
      <c r="Q1649" s="22"/>
      <c r="R1649" s="28"/>
      <c r="S1649" s="28"/>
      <c r="T1649" s="28"/>
      <c r="U1649" s="28"/>
      <c r="V1649" s="22"/>
      <c r="W1649" s="22"/>
      <c r="X1649" s="22"/>
      <c r="Y1649" s="22"/>
      <c r="Z1649" s="22"/>
      <c r="AA1649" s="22"/>
      <c r="AB1649" s="22"/>
      <c r="AC1649" s="22"/>
      <c r="AD1649" s="22"/>
    </row>
    <row r="1650" spans="1:30" ht="15.75" customHeight="1" x14ac:dyDescent="0.15">
      <c r="A1650" s="22"/>
      <c r="B1650" s="22"/>
      <c r="C1650" s="22"/>
      <c r="D1650" s="22"/>
      <c r="E1650" s="22"/>
      <c r="F1650" s="28"/>
      <c r="G1650" s="28"/>
      <c r="H1650" s="28"/>
      <c r="I1650" s="28"/>
      <c r="J1650" s="28"/>
      <c r="K1650" s="28"/>
      <c r="L1650" s="28"/>
      <c r="M1650" s="22"/>
      <c r="N1650" s="22"/>
      <c r="O1650" s="22"/>
      <c r="P1650" s="22"/>
      <c r="Q1650" s="22"/>
      <c r="R1650" s="28"/>
      <c r="S1650" s="28"/>
      <c r="T1650" s="28"/>
      <c r="U1650" s="28"/>
      <c r="V1650" s="22"/>
      <c r="W1650" s="22"/>
      <c r="X1650" s="22"/>
      <c r="Y1650" s="22"/>
      <c r="Z1650" s="22"/>
      <c r="AA1650" s="22"/>
      <c r="AB1650" s="22"/>
      <c r="AC1650" s="22"/>
      <c r="AD1650" s="22"/>
    </row>
    <row r="1651" spans="1:30" ht="15.75" customHeight="1" x14ac:dyDescent="0.15">
      <c r="A1651" s="22"/>
      <c r="B1651" s="22"/>
      <c r="C1651" s="22"/>
      <c r="D1651" s="22"/>
      <c r="E1651" s="22"/>
      <c r="F1651" s="28"/>
      <c r="G1651" s="28"/>
      <c r="H1651" s="28"/>
      <c r="I1651" s="28"/>
      <c r="J1651" s="28"/>
      <c r="K1651" s="28"/>
      <c r="L1651" s="28"/>
      <c r="M1651" s="22"/>
      <c r="N1651" s="22"/>
      <c r="O1651" s="22"/>
      <c r="P1651" s="22"/>
      <c r="Q1651" s="22"/>
      <c r="R1651" s="28"/>
      <c r="S1651" s="28"/>
      <c r="T1651" s="28"/>
      <c r="U1651" s="28"/>
      <c r="V1651" s="22"/>
      <c r="W1651" s="22"/>
      <c r="X1651" s="22"/>
      <c r="Y1651" s="22"/>
      <c r="Z1651" s="22"/>
      <c r="AA1651" s="22"/>
      <c r="AB1651" s="22"/>
      <c r="AC1651" s="22"/>
      <c r="AD1651" s="22"/>
    </row>
    <row r="1652" spans="1:30" ht="15.75" customHeight="1" x14ac:dyDescent="0.15">
      <c r="A1652" s="22"/>
      <c r="B1652" s="22"/>
      <c r="C1652" s="22"/>
      <c r="D1652" s="22"/>
      <c r="E1652" s="22"/>
      <c r="F1652" s="28"/>
      <c r="G1652" s="28"/>
      <c r="H1652" s="28"/>
      <c r="I1652" s="28"/>
      <c r="J1652" s="28"/>
      <c r="K1652" s="28"/>
      <c r="L1652" s="28"/>
      <c r="M1652" s="22"/>
      <c r="N1652" s="22"/>
      <c r="O1652" s="22"/>
      <c r="P1652" s="22"/>
      <c r="Q1652" s="22"/>
      <c r="R1652" s="28"/>
      <c r="S1652" s="28"/>
      <c r="T1652" s="28"/>
      <c r="U1652" s="28"/>
      <c r="V1652" s="22"/>
      <c r="W1652" s="22"/>
      <c r="X1652" s="22"/>
      <c r="Y1652" s="22"/>
      <c r="Z1652" s="22"/>
      <c r="AA1652" s="22"/>
      <c r="AB1652" s="22"/>
      <c r="AC1652" s="22"/>
      <c r="AD1652" s="22"/>
    </row>
    <row r="1653" spans="1:30" ht="15.75" customHeight="1" x14ac:dyDescent="0.15">
      <c r="A1653" s="22"/>
      <c r="B1653" s="22"/>
      <c r="C1653" s="22"/>
      <c r="D1653" s="22"/>
      <c r="E1653" s="22"/>
      <c r="F1653" s="28"/>
      <c r="G1653" s="28"/>
      <c r="H1653" s="28"/>
      <c r="I1653" s="28"/>
      <c r="J1653" s="28"/>
      <c r="K1653" s="28"/>
      <c r="L1653" s="28"/>
      <c r="M1653" s="22"/>
      <c r="N1653" s="22"/>
      <c r="O1653" s="22"/>
      <c r="P1653" s="22"/>
      <c r="Q1653" s="22"/>
      <c r="R1653" s="28"/>
      <c r="S1653" s="28"/>
      <c r="T1653" s="28"/>
      <c r="U1653" s="28"/>
      <c r="V1653" s="22"/>
      <c r="W1653" s="22"/>
      <c r="X1653" s="22"/>
      <c r="Y1653" s="22"/>
      <c r="Z1653" s="22"/>
      <c r="AA1653" s="22"/>
      <c r="AB1653" s="22"/>
      <c r="AC1653" s="22"/>
      <c r="AD1653" s="22"/>
    </row>
    <row r="1654" spans="1:30" ht="15.75" customHeight="1" x14ac:dyDescent="0.15">
      <c r="A1654" s="22"/>
      <c r="B1654" s="22"/>
      <c r="C1654" s="22"/>
      <c r="D1654" s="22"/>
      <c r="E1654" s="22"/>
      <c r="F1654" s="28"/>
      <c r="G1654" s="28"/>
      <c r="H1654" s="28"/>
      <c r="I1654" s="28"/>
      <c r="J1654" s="28"/>
      <c r="K1654" s="28"/>
      <c r="L1654" s="28"/>
      <c r="M1654" s="22"/>
      <c r="N1654" s="22"/>
      <c r="O1654" s="22"/>
      <c r="P1654" s="22"/>
      <c r="Q1654" s="22"/>
      <c r="R1654" s="28"/>
      <c r="S1654" s="28"/>
      <c r="T1654" s="28"/>
      <c r="U1654" s="28"/>
      <c r="V1654" s="22"/>
      <c r="W1654" s="22"/>
      <c r="X1654" s="22"/>
      <c r="Y1654" s="22"/>
      <c r="Z1654" s="22"/>
      <c r="AA1654" s="22"/>
      <c r="AB1654" s="22"/>
      <c r="AC1654" s="22"/>
      <c r="AD1654" s="22"/>
    </row>
    <row r="1655" spans="1:30" ht="15.75" customHeight="1" x14ac:dyDescent="0.15">
      <c r="A1655" s="22"/>
      <c r="B1655" s="22"/>
      <c r="C1655" s="22"/>
      <c r="D1655" s="22"/>
      <c r="E1655" s="22"/>
      <c r="F1655" s="28"/>
      <c r="G1655" s="28"/>
      <c r="H1655" s="28"/>
      <c r="I1655" s="28"/>
      <c r="J1655" s="28"/>
      <c r="K1655" s="28"/>
      <c r="L1655" s="28"/>
      <c r="M1655" s="22"/>
      <c r="N1655" s="22"/>
      <c r="O1655" s="22"/>
      <c r="P1655" s="22"/>
      <c r="Q1655" s="22"/>
      <c r="R1655" s="28"/>
      <c r="S1655" s="28"/>
      <c r="T1655" s="28"/>
      <c r="U1655" s="28"/>
      <c r="V1655" s="22"/>
      <c r="W1655" s="22"/>
      <c r="X1655" s="22"/>
      <c r="Y1655" s="22"/>
      <c r="Z1655" s="22"/>
      <c r="AA1655" s="22"/>
      <c r="AB1655" s="22"/>
      <c r="AC1655" s="22"/>
      <c r="AD1655" s="22"/>
    </row>
    <row r="1656" spans="1:30" ht="15.75" customHeight="1" x14ac:dyDescent="0.15">
      <c r="A1656" s="22"/>
      <c r="B1656" s="22"/>
      <c r="C1656" s="22"/>
      <c r="D1656" s="22"/>
      <c r="E1656" s="22"/>
      <c r="F1656" s="28"/>
      <c r="G1656" s="28"/>
      <c r="H1656" s="28"/>
      <c r="I1656" s="28"/>
      <c r="J1656" s="28"/>
      <c r="K1656" s="28"/>
      <c r="L1656" s="28"/>
      <c r="M1656" s="22"/>
      <c r="N1656" s="22"/>
      <c r="O1656" s="22"/>
      <c r="P1656" s="22"/>
      <c r="Q1656" s="22"/>
      <c r="R1656" s="28"/>
      <c r="S1656" s="28"/>
      <c r="T1656" s="28"/>
      <c r="U1656" s="28"/>
      <c r="V1656" s="22"/>
      <c r="W1656" s="22"/>
      <c r="X1656" s="22"/>
      <c r="Y1656" s="22"/>
      <c r="Z1656" s="22"/>
      <c r="AA1656" s="22"/>
      <c r="AB1656" s="22"/>
      <c r="AC1656" s="22"/>
      <c r="AD1656" s="22"/>
    </row>
    <row r="1657" spans="1:30" ht="15.75" customHeight="1" x14ac:dyDescent="0.15">
      <c r="A1657" s="22"/>
      <c r="B1657" s="22"/>
      <c r="C1657" s="22"/>
      <c r="D1657" s="22"/>
      <c r="E1657" s="22"/>
      <c r="F1657" s="28"/>
      <c r="G1657" s="28"/>
      <c r="H1657" s="28"/>
      <c r="I1657" s="28"/>
      <c r="J1657" s="28"/>
      <c r="K1657" s="28"/>
      <c r="L1657" s="28"/>
      <c r="M1657" s="22"/>
      <c r="N1657" s="22"/>
      <c r="O1657" s="22"/>
      <c r="P1657" s="22"/>
      <c r="Q1657" s="22"/>
      <c r="R1657" s="28"/>
      <c r="S1657" s="28"/>
      <c r="T1657" s="28"/>
      <c r="U1657" s="28"/>
      <c r="V1657" s="22"/>
      <c r="W1657" s="22"/>
      <c r="X1657" s="22"/>
      <c r="Y1657" s="22"/>
      <c r="Z1657" s="22"/>
      <c r="AA1657" s="22"/>
      <c r="AB1657" s="22"/>
      <c r="AC1657" s="22"/>
      <c r="AD1657" s="22"/>
    </row>
    <row r="1658" spans="1:30" ht="15.75" customHeight="1" x14ac:dyDescent="0.15">
      <c r="A1658" s="22"/>
      <c r="B1658" s="22"/>
      <c r="C1658" s="22"/>
      <c r="D1658" s="22"/>
      <c r="E1658" s="22"/>
      <c r="F1658" s="28"/>
      <c r="G1658" s="28"/>
      <c r="H1658" s="28"/>
      <c r="I1658" s="28"/>
      <c r="J1658" s="28"/>
      <c r="K1658" s="28"/>
      <c r="L1658" s="28"/>
      <c r="M1658" s="22"/>
      <c r="N1658" s="22"/>
      <c r="O1658" s="22"/>
      <c r="P1658" s="22"/>
      <c r="Q1658" s="22"/>
      <c r="R1658" s="28"/>
      <c r="S1658" s="28"/>
      <c r="T1658" s="28"/>
      <c r="U1658" s="28"/>
      <c r="V1658" s="22"/>
      <c r="W1658" s="22"/>
      <c r="X1658" s="22"/>
      <c r="Y1658" s="22"/>
      <c r="Z1658" s="22"/>
      <c r="AA1658" s="22"/>
      <c r="AB1658" s="22"/>
      <c r="AC1658" s="22"/>
      <c r="AD1658" s="22"/>
    </row>
    <row r="1659" spans="1:30" ht="15.75" customHeight="1" x14ac:dyDescent="0.15">
      <c r="A1659" s="22"/>
      <c r="B1659" s="22"/>
      <c r="C1659" s="22"/>
      <c r="D1659" s="22"/>
      <c r="E1659" s="22"/>
      <c r="F1659" s="28"/>
      <c r="G1659" s="28"/>
      <c r="H1659" s="28"/>
      <c r="I1659" s="28"/>
      <c r="J1659" s="28"/>
      <c r="K1659" s="28"/>
      <c r="L1659" s="28"/>
      <c r="M1659" s="22"/>
      <c r="N1659" s="22"/>
      <c r="O1659" s="22"/>
      <c r="P1659" s="22"/>
      <c r="Q1659" s="22"/>
      <c r="R1659" s="28"/>
      <c r="S1659" s="28"/>
      <c r="T1659" s="28"/>
      <c r="U1659" s="28"/>
      <c r="V1659" s="22"/>
      <c r="W1659" s="22"/>
      <c r="X1659" s="22"/>
      <c r="Y1659" s="22"/>
      <c r="Z1659" s="22"/>
      <c r="AA1659" s="22"/>
      <c r="AB1659" s="22"/>
      <c r="AC1659" s="22"/>
      <c r="AD1659" s="22"/>
    </row>
    <row r="1660" spans="1:30" ht="15.75" customHeight="1" x14ac:dyDescent="0.15">
      <c r="A1660" s="22"/>
      <c r="B1660" s="22"/>
      <c r="C1660" s="22"/>
      <c r="D1660" s="22"/>
      <c r="E1660" s="22"/>
      <c r="F1660" s="28"/>
      <c r="G1660" s="28"/>
      <c r="H1660" s="28"/>
      <c r="I1660" s="28"/>
      <c r="J1660" s="28"/>
      <c r="K1660" s="28"/>
      <c r="L1660" s="28"/>
      <c r="M1660" s="22"/>
      <c r="N1660" s="22"/>
      <c r="O1660" s="22"/>
      <c r="P1660" s="22"/>
      <c r="Q1660" s="22"/>
      <c r="R1660" s="28"/>
      <c r="S1660" s="28"/>
      <c r="T1660" s="28"/>
      <c r="U1660" s="28"/>
      <c r="V1660" s="22"/>
      <c r="W1660" s="22"/>
      <c r="X1660" s="22"/>
      <c r="Y1660" s="22"/>
      <c r="Z1660" s="22"/>
      <c r="AA1660" s="22"/>
      <c r="AB1660" s="22"/>
      <c r="AC1660" s="22"/>
      <c r="AD1660" s="22"/>
    </row>
    <row r="1661" spans="1:30" ht="15.75" customHeight="1" x14ac:dyDescent="0.15">
      <c r="A1661" s="22"/>
      <c r="B1661" s="22"/>
      <c r="C1661" s="22"/>
      <c r="D1661" s="22"/>
      <c r="E1661" s="22"/>
      <c r="F1661" s="28"/>
      <c r="G1661" s="28"/>
      <c r="H1661" s="28"/>
      <c r="I1661" s="28"/>
      <c r="J1661" s="28"/>
      <c r="K1661" s="28"/>
      <c r="L1661" s="28"/>
      <c r="M1661" s="22"/>
      <c r="N1661" s="22"/>
      <c r="O1661" s="22"/>
      <c r="P1661" s="22"/>
      <c r="Q1661" s="22"/>
      <c r="R1661" s="28"/>
      <c r="S1661" s="28"/>
      <c r="T1661" s="28"/>
      <c r="U1661" s="28"/>
      <c r="V1661" s="22"/>
      <c r="W1661" s="22"/>
      <c r="X1661" s="22"/>
      <c r="Y1661" s="22"/>
      <c r="Z1661" s="22"/>
      <c r="AA1661" s="22"/>
      <c r="AB1661" s="22"/>
      <c r="AC1661" s="22"/>
      <c r="AD1661" s="22"/>
    </row>
    <row r="1662" spans="1:30" ht="15.75" customHeight="1" x14ac:dyDescent="0.15">
      <c r="A1662" s="22"/>
      <c r="B1662" s="22"/>
      <c r="C1662" s="22"/>
      <c r="D1662" s="22"/>
      <c r="E1662" s="22"/>
      <c r="F1662" s="28"/>
      <c r="G1662" s="28"/>
      <c r="H1662" s="28"/>
      <c r="I1662" s="28"/>
      <c r="J1662" s="28"/>
      <c r="K1662" s="28"/>
      <c r="L1662" s="28"/>
      <c r="M1662" s="22"/>
      <c r="N1662" s="22"/>
      <c r="O1662" s="22"/>
      <c r="P1662" s="22"/>
      <c r="Q1662" s="22"/>
      <c r="R1662" s="28"/>
      <c r="S1662" s="28"/>
      <c r="T1662" s="28"/>
      <c r="U1662" s="28"/>
      <c r="V1662" s="22"/>
      <c r="W1662" s="22"/>
      <c r="X1662" s="22"/>
      <c r="Y1662" s="22"/>
      <c r="Z1662" s="22"/>
      <c r="AA1662" s="22"/>
      <c r="AB1662" s="22"/>
      <c r="AC1662" s="22"/>
      <c r="AD1662" s="22"/>
    </row>
    <row r="1663" spans="1:30" ht="15.75" customHeight="1" x14ac:dyDescent="0.15">
      <c r="A1663" s="22"/>
      <c r="B1663" s="22"/>
      <c r="C1663" s="22"/>
      <c r="D1663" s="22"/>
      <c r="E1663" s="22"/>
      <c r="F1663" s="28"/>
      <c r="G1663" s="28"/>
      <c r="H1663" s="28"/>
      <c r="I1663" s="28"/>
      <c r="J1663" s="28"/>
      <c r="K1663" s="28"/>
      <c r="L1663" s="28"/>
      <c r="M1663" s="22"/>
      <c r="N1663" s="22"/>
      <c r="O1663" s="22"/>
      <c r="P1663" s="22"/>
      <c r="Q1663" s="22"/>
      <c r="R1663" s="28"/>
      <c r="S1663" s="28"/>
      <c r="T1663" s="28"/>
      <c r="U1663" s="28"/>
      <c r="V1663" s="22"/>
      <c r="W1663" s="22"/>
      <c r="X1663" s="22"/>
      <c r="Y1663" s="22"/>
      <c r="Z1663" s="22"/>
      <c r="AA1663" s="22"/>
      <c r="AB1663" s="22"/>
      <c r="AC1663" s="22"/>
      <c r="AD1663" s="22"/>
    </row>
    <row r="1664" spans="1:30" ht="15.75" customHeight="1" x14ac:dyDescent="0.15">
      <c r="A1664" s="22"/>
      <c r="B1664" s="22"/>
      <c r="C1664" s="22"/>
      <c r="D1664" s="22"/>
      <c r="E1664" s="22"/>
      <c r="F1664" s="28"/>
      <c r="G1664" s="28"/>
      <c r="H1664" s="28"/>
      <c r="I1664" s="28"/>
      <c r="J1664" s="28"/>
      <c r="K1664" s="28"/>
      <c r="L1664" s="28"/>
      <c r="M1664" s="22"/>
      <c r="N1664" s="22"/>
      <c r="O1664" s="22"/>
      <c r="P1664" s="22"/>
      <c r="Q1664" s="22"/>
      <c r="R1664" s="28"/>
      <c r="S1664" s="28"/>
      <c r="T1664" s="28"/>
      <c r="U1664" s="28"/>
      <c r="V1664" s="22"/>
      <c r="W1664" s="22"/>
      <c r="X1664" s="22"/>
      <c r="Y1664" s="22"/>
      <c r="Z1664" s="22"/>
      <c r="AA1664" s="22"/>
      <c r="AB1664" s="22"/>
      <c r="AC1664" s="22"/>
      <c r="AD1664" s="22"/>
    </row>
    <row r="1665" spans="1:30" ht="15.75" customHeight="1" x14ac:dyDescent="0.15">
      <c r="A1665" s="22"/>
      <c r="B1665" s="22"/>
      <c r="C1665" s="22"/>
      <c r="D1665" s="22"/>
      <c r="E1665" s="22"/>
      <c r="F1665" s="28"/>
      <c r="G1665" s="28"/>
      <c r="H1665" s="28"/>
      <c r="I1665" s="28"/>
      <c r="J1665" s="28"/>
      <c r="K1665" s="28"/>
      <c r="L1665" s="28"/>
      <c r="M1665" s="22"/>
      <c r="N1665" s="22"/>
      <c r="O1665" s="22"/>
      <c r="P1665" s="22"/>
      <c r="Q1665" s="22"/>
      <c r="R1665" s="28"/>
      <c r="S1665" s="28"/>
      <c r="T1665" s="28"/>
      <c r="U1665" s="28"/>
      <c r="V1665" s="22"/>
      <c r="W1665" s="22"/>
      <c r="X1665" s="22"/>
      <c r="Y1665" s="22"/>
      <c r="Z1665" s="22"/>
      <c r="AA1665" s="22"/>
      <c r="AB1665" s="22"/>
      <c r="AC1665" s="22"/>
      <c r="AD1665" s="22"/>
    </row>
    <row r="1666" spans="1:30" ht="15.75" customHeight="1" x14ac:dyDescent="0.15">
      <c r="A1666" s="22"/>
      <c r="B1666" s="22"/>
      <c r="C1666" s="22"/>
      <c r="D1666" s="22"/>
      <c r="E1666" s="22"/>
      <c r="F1666" s="28"/>
      <c r="G1666" s="28"/>
      <c r="H1666" s="28"/>
      <c r="I1666" s="28"/>
      <c r="J1666" s="28"/>
      <c r="K1666" s="28"/>
      <c r="L1666" s="28"/>
      <c r="M1666" s="22"/>
      <c r="N1666" s="22"/>
      <c r="O1666" s="22"/>
      <c r="P1666" s="22"/>
      <c r="Q1666" s="22"/>
      <c r="R1666" s="28"/>
      <c r="S1666" s="28"/>
      <c r="T1666" s="28"/>
      <c r="U1666" s="28"/>
      <c r="V1666" s="22"/>
      <c r="W1666" s="22"/>
      <c r="X1666" s="22"/>
      <c r="Y1666" s="22"/>
      <c r="Z1666" s="22"/>
      <c r="AA1666" s="22"/>
      <c r="AB1666" s="22"/>
      <c r="AC1666" s="22"/>
      <c r="AD1666" s="22"/>
    </row>
    <row r="1667" spans="1:30" ht="15.75" customHeight="1" x14ac:dyDescent="0.15">
      <c r="A1667" s="22"/>
      <c r="B1667" s="22"/>
      <c r="C1667" s="22"/>
      <c r="D1667" s="22"/>
      <c r="E1667" s="22"/>
      <c r="F1667" s="28"/>
      <c r="G1667" s="28"/>
      <c r="H1667" s="28"/>
      <c r="I1667" s="28"/>
      <c r="J1667" s="28"/>
      <c r="K1667" s="28"/>
      <c r="L1667" s="28"/>
      <c r="M1667" s="22"/>
      <c r="N1667" s="22"/>
      <c r="O1667" s="22"/>
      <c r="P1667" s="22"/>
      <c r="Q1667" s="22"/>
      <c r="R1667" s="28"/>
      <c r="S1667" s="28"/>
      <c r="T1667" s="28"/>
      <c r="U1667" s="28"/>
      <c r="V1667" s="22"/>
      <c r="W1667" s="22"/>
      <c r="X1667" s="22"/>
      <c r="Y1667" s="22"/>
      <c r="Z1667" s="22"/>
      <c r="AA1667" s="22"/>
      <c r="AB1667" s="22"/>
      <c r="AC1667" s="22"/>
      <c r="AD1667" s="22"/>
    </row>
    <row r="1668" spans="1:30" ht="15.75" customHeight="1" x14ac:dyDescent="0.15">
      <c r="A1668" s="22"/>
      <c r="B1668" s="22"/>
      <c r="C1668" s="22"/>
      <c r="D1668" s="22"/>
      <c r="E1668" s="22"/>
      <c r="F1668" s="28"/>
      <c r="G1668" s="28"/>
      <c r="H1668" s="28"/>
      <c r="I1668" s="28"/>
      <c r="J1668" s="28"/>
      <c r="K1668" s="28"/>
      <c r="L1668" s="28"/>
      <c r="M1668" s="22"/>
      <c r="N1668" s="22"/>
      <c r="O1668" s="22"/>
      <c r="P1668" s="22"/>
      <c r="Q1668" s="22"/>
      <c r="R1668" s="28"/>
      <c r="S1668" s="28"/>
      <c r="T1668" s="28"/>
      <c r="U1668" s="28"/>
      <c r="V1668" s="22"/>
      <c r="W1668" s="22"/>
      <c r="X1668" s="22"/>
      <c r="Y1668" s="22"/>
      <c r="Z1668" s="22"/>
      <c r="AA1668" s="22"/>
      <c r="AB1668" s="22"/>
      <c r="AC1668" s="22"/>
      <c r="AD1668" s="22"/>
    </row>
    <row r="1669" spans="1:30" ht="15.75" customHeight="1" x14ac:dyDescent="0.15">
      <c r="A1669" s="22"/>
      <c r="B1669" s="22"/>
      <c r="C1669" s="22"/>
      <c r="D1669" s="22"/>
      <c r="E1669" s="22"/>
      <c r="F1669" s="28"/>
      <c r="G1669" s="28"/>
      <c r="H1669" s="28"/>
      <c r="I1669" s="28"/>
      <c r="J1669" s="28"/>
      <c r="K1669" s="28"/>
      <c r="L1669" s="28"/>
      <c r="M1669" s="22"/>
      <c r="N1669" s="22"/>
      <c r="O1669" s="22"/>
      <c r="P1669" s="22"/>
      <c r="Q1669" s="22"/>
      <c r="R1669" s="28"/>
      <c r="S1669" s="28"/>
      <c r="T1669" s="28"/>
      <c r="U1669" s="28"/>
      <c r="V1669" s="22"/>
      <c r="W1669" s="22"/>
      <c r="X1669" s="22"/>
      <c r="Y1669" s="22"/>
      <c r="Z1669" s="22"/>
      <c r="AA1669" s="22"/>
      <c r="AB1669" s="22"/>
      <c r="AC1669" s="22"/>
      <c r="AD1669" s="22"/>
    </row>
    <row r="1670" spans="1:30" ht="15.75" customHeight="1" x14ac:dyDescent="0.15">
      <c r="A1670" s="22"/>
      <c r="B1670" s="22"/>
      <c r="C1670" s="22"/>
      <c r="D1670" s="22"/>
      <c r="E1670" s="22"/>
      <c r="F1670" s="28"/>
      <c r="G1670" s="28"/>
      <c r="H1670" s="28"/>
      <c r="I1670" s="28"/>
      <c r="J1670" s="28"/>
      <c r="K1670" s="28"/>
      <c r="L1670" s="28"/>
      <c r="M1670" s="22"/>
      <c r="N1670" s="22"/>
      <c r="O1670" s="22"/>
      <c r="P1670" s="22"/>
      <c r="Q1670" s="22"/>
      <c r="R1670" s="28"/>
      <c r="S1670" s="28"/>
      <c r="T1670" s="28"/>
      <c r="U1670" s="28"/>
      <c r="V1670" s="22"/>
      <c r="W1670" s="22"/>
      <c r="X1670" s="22"/>
      <c r="Y1670" s="22"/>
      <c r="Z1670" s="22"/>
      <c r="AA1670" s="22"/>
      <c r="AB1670" s="22"/>
      <c r="AC1670" s="22"/>
      <c r="AD1670" s="22"/>
    </row>
    <row r="1671" spans="1:30" ht="15.75" customHeight="1" x14ac:dyDescent="0.15">
      <c r="A1671" s="22"/>
      <c r="B1671" s="22"/>
      <c r="C1671" s="22"/>
      <c r="D1671" s="22"/>
      <c r="E1671" s="22"/>
      <c r="F1671" s="28"/>
      <c r="G1671" s="28"/>
      <c r="H1671" s="28"/>
      <c r="I1671" s="28"/>
      <c r="J1671" s="28"/>
      <c r="K1671" s="28"/>
      <c r="L1671" s="28"/>
      <c r="M1671" s="22"/>
      <c r="N1671" s="22"/>
      <c r="O1671" s="22"/>
      <c r="P1671" s="22"/>
      <c r="Q1671" s="22"/>
      <c r="R1671" s="28"/>
      <c r="S1671" s="28"/>
      <c r="T1671" s="28"/>
      <c r="U1671" s="28"/>
      <c r="V1671" s="22"/>
      <c r="W1671" s="22"/>
      <c r="X1671" s="22"/>
      <c r="Y1671" s="22"/>
      <c r="Z1671" s="22"/>
      <c r="AA1671" s="22"/>
      <c r="AB1671" s="22"/>
      <c r="AC1671" s="22"/>
      <c r="AD1671" s="22"/>
    </row>
    <row r="1672" spans="1:30" ht="15.75" customHeight="1" x14ac:dyDescent="0.15">
      <c r="A1672" s="22"/>
      <c r="B1672" s="22"/>
      <c r="C1672" s="22"/>
      <c r="D1672" s="22"/>
      <c r="E1672" s="22"/>
      <c r="F1672" s="28"/>
      <c r="G1672" s="28"/>
      <c r="H1672" s="28"/>
      <c r="I1672" s="28"/>
      <c r="J1672" s="28"/>
      <c r="K1672" s="28"/>
      <c r="L1672" s="28"/>
      <c r="M1672" s="22"/>
      <c r="N1672" s="22"/>
      <c r="O1672" s="22"/>
      <c r="P1672" s="22"/>
      <c r="Q1672" s="22"/>
      <c r="R1672" s="28"/>
      <c r="S1672" s="28"/>
      <c r="T1672" s="28"/>
      <c r="U1672" s="28"/>
      <c r="V1672" s="22"/>
      <c r="W1672" s="22"/>
      <c r="X1672" s="22"/>
      <c r="Y1672" s="22"/>
      <c r="Z1672" s="22"/>
      <c r="AA1672" s="22"/>
      <c r="AB1672" s="22"/>
      <c r="AC1672" s="22"/>
      <c r="AD1672" s="22"/>
    </row>
    <row r="1673" spans="1:30" ht="15.75" customHeight="1" x14ac:dyDescent="0.15">
      <c r="A1673" s="22"/>
      <c r="B1673" s="22"/>
      <c r="C1673" s="22"/>
      <c r="D1673" s="22"/>
      <c r="E1673" s="22"/>
      <c r="F1673" s="28"/>
      <c r="G1673" s="28"/>
      <c r="H1673" s="28"/>
      <c r="I1673" s="28"/>
      <c r="J1673" s="28"/>
      <c r="K1673" s="28"/>
      <c r="L1673" s="28"/>
      <c r="M1673" s="22"/>
      <c r="N1673" s="22"/>
      <c r="O1673" s="22"/>
      <c r="P1673" s="22"/>
      <c r="Q1673" s="22"/>
      <c r="R1673" s="28"/>
      <c r="S1673" s="28"/>
      <c r="T1673" s="28"/>
      <c r="U1673" s="28"/>
      <c r="V1673" s="22"/>
      <c r="W1673" s="22"/>
      <c r="X1673" s="22"/>
      <c r="Y1673" s="22"/>
      <c r="Z1673" s="22"/>
      <c r="AA1673" s="22"/>
      <c r="AB1673" s="22"/>
      <c r="AC1673" s="22"/>
      <c r="AD1673" s="22"/>
    </row>
    <row r="1674" spans="1:30" ht="15.75" customHeight="1" x14ac:dyDescent="0.15">
      <c r="A1674" s="22"/>
      <c r="B1674" s="22"/>
      <c r="C1674" s="22"/>
      <c r="D1674" s="22"/>
      <c r="E1674" s="22"/>
      <c r="F1674" s="28"/>
      <c r="G1674" s="28"/>
      <c r="H1674" s="28"/>
      <c r="I1674" s="28"/>
      <c r="J1674" s="28"/>
      <c r="K1674" s="28"/>
      <c r="L1674" s="28"/>
      <c r="M1674" s="22"/>
      <c r="N1674" s="22"/>
      <c r="O1674" s="22"/>
      <c r="P1674" s="22"/>
      <c r="Q1674" s="22"/>
      <c r="R1674" s="28"/>
      <c r="S1674" s="28"/>
      <c r="T1674" s="28"/>
      <c r="U1674" s="28"/>
      <c r="V1674" s="22"/>
      <c r="W1674" s="22"/>
      <c r="X1674" s="22"/>
      <c r="Y1674" s="22"/>
      <c r="Z1674" s="22"/>
      <c r="AA1674" s="22"/>
      <c r="AB1674" s="22"/>
      <c r="AC1674" s="22"/>
      <c r="AD1674" s="22"/>
    </row>
    <row r="1675" spans="1:30" ht="15.75" customHeight="1" x14ac:dyDescent="0.15">
      <c r="A1675" s="22"/>
      <c r="B1675" s="22"/>
      <c r="C1675" s="22"/>
      <c r="D1675" s="22"/>
      <c r="E1675" s="22"/>
      <c r="F1675" s="28"/>
      <c r="G1675" s="28"/>
      <c r="H1675" s="28"/>
      <c r="I1675" s="28"/>
      <c r="J1675" s="28"/>
      <c r="K1675" s="28"/>
      <c r="L1675" s="28"/>
      <c r="M1675" s="22"/>
      <c r="N1675" s="22"/>
      <c r="O1675" s="22"/>
      <c r="P1675" s="22"/>
      <c r="Q1675" s="22"/>
      <c r="R1675" s="28"/>
      <c r="S1675" s="28"/>
      <c r="T1675" s="28"/>
      <c r="U1675" s="28"/>
      <c r="V1675" s="22"/>
      <c r="W1675" s="22"/>
      <c r="X1675" s="22"/>
      <c r="Y1675" s="22"/>
      <c r="Z1675" s="22"/>
      <c r="AA1675" s="22"/>
      <c r="AB1675" s="22"/>
      <c r="AC1675" s="22"/>
      <c r="AD1675" s="22"/>
    </row>
    <row r="1676" spans="1:30" ht="15.75" customHeight="1" x14ac:dyDescent="0.15">
      <c r="A1676" s="22"/>
      <c r="B1676" s="22"/>
      <c r="C1676" s="22"/>
      <c r="D1676" s="22"/>
      <c r="E1676" s="22"/>
      <c r="F1676" s="28"/>
      <c r="G1676" s="28"/>
      <c r="H1676" s="28"/>
      <c r="I1676" s="28"/>
      <c r="J1676" s="28"/>
      <c r="K1676" s="28"/>
      <c r="L1676" s="28"/>
      <c r="M1676" s="22"/>
      <c r="N1676" s="22"/>
      <c r="O1676" s="22"/>
      <c r="P1676" s="22"/>
      <c r="Q1676" s="22"/>
      <c r="R1676" s="28"/>
      <c r="S1676" s="28"/>
      <c r="T1676" s="28"/>
      <c r="U1676" s="28"/>
      <c r="V1676" s="22"/>
      <c r="W1676" s="22"/>
      <c r="X1676" s="22"/>
      <c r="Y1676" s="22"/>
      <c r="Z1676" s="22"/>
      <c r="AA1676" s="22"/>
      <c r="AB1676" s="22"/>
      <c r="AC1676" s="22"/>
      <c r="AD1676" s="22"/>
    </row>
    <row r="1677" spans="1:30" ht="15.75" customHeight="1" x14ac:dyDescent="0.15">
      <c r="A1677" s="22"/>
      <c r="B1677" s="22"/>
      <c r="C1677" s="22"/>
      <c r="D1677" s="22"/>
      <c r="E1677" s="22"/>
      <c r="F1677" s="28"/>
      <c r="G1677" s="28"/>
      <c r="H1677" s="28"/>
      <c r="I1677" s="28"/>
      <c r="J1677" s="28"/>
      <c r="K1677" s="28"/>
      <c r="L1677" s="28"/>
      <c r="M1677" s="22"/>
      <c r="N1677" s="22"/>
      <c r="O1677" s="22"/>
      <c r="P1677" s="22"/>
      <c r="Q1677" s="22"/>
      <c r="R1677" s="28"/>
      <c r="S1677" s="28"/>
      <c r="T1677" s="28"/>
      <c r="U1677" s="28"/>
      <c r="V1677" s="22"/>
      <c r="W1677" s="22"/>
      <c r="X1677" s="22"/>
      <c r="Y1677" s="22"/>
      <c r="Z1677" s="22"/>
      <c r="AA1677" s="22"/>
      <c r="AB1677" s="22"/>
      <c r="AC1677" s="22"/>
      <c r="AD1677" s="22"/>
    </row>
    <row r="1678" spans="1:30" ht="15.75" customHeight="1" x14ac:dyDescent="0.15">
      <c r="A1678" s="22"/>
      <c r="B1678" s="22"/>
      <c r="C1678" s="22"/>
      <c r="D1678" s="22"/>
      <c r="E1678" s="22"/>
      <c r="F1678" s="28"/>
      <c r="G1678" s="28"/>
      <c r="H1678" s="28"/>
      <c r="I1678" s="28"/>
      <c r="J1678" s="28"/>
      <c r="K1678" s="28"/>
      <c r="L1678" s="28"/>
      <c r="M1678" s="22"/>
      <c r="N1678" s="22"/>
      <c r="O1678" s="22"/>
      <c r="P1678" s="22"/>
      <c r="Q1678" s="22"/>
      <c r="R1678" s="28"/>
      <c r="S1678" s="28"/>
      <c r="T1678" s="28"/>
      <c r="U1678" s="28"/>
      <c r="V1678" s="22"/>
      <c r="W1678" s="22"/>
      <c r="X1678" s="22"/>
      <c r="Y1678" s="22"/>
      <c r="Z1678" s="22"/>
      <c r="AA1678" s="22"/>
      <c r="AB1678" s="22"/>
      <c r="AC1678" s="22"/>
      <c r="AD1678" s="22"/>
    </row>
    <row r="1679" spans="1:30" ht="15.75" customHeight="1" x14ac:dyDescent="0.15">
      <c r="A1679" s="22"/>
      <c r="B1679" s="22"/>
      <c r="C1679" s="22"/>
      <c r="D1679" s="22"/>
      <c r="E1679" s="22"/>
      <c r="F1679" s="28"/>
      <c r="G1679" s="28"/>
      <c r="H1679" s="28"/>
      <c r="I1679" s="28"/>
      <c r="J1679" s="28"/>
      <c r="K1679" s="28"/>
      <c r="L1679" s="28"/>
      <c r="M1679" s="22"/>
      <c r="N1679" s="22"/>
      <c r="O1679" s="22"/>
      <c r="P1679" s="22"/>
      <c r="Q1679" s="22"/>
      <c r="R1679" s="28"/>
      <c r="S1679" s="28"/>
      <c r="T1679" s="28"/>
      <c r="U1679" s="28"/>
      <c r="V1679" s="22"/>
      <c r="W1679" s="22"/>
      <c r="X1679" s="22"/>
      <c r="Y1679" s="22"/>
      <c r="Z1679" s="22"/>
      <c r="AA1679" s="22"/>
      <c r="AB1679" s="22"/>
      <c r="AC1679" s="22"/>
      <c r="AD1679" s="22"/>
    </row>
    <row r="1680" spans="1:30" ht="15.75" customHeight="1" x14ac:dyDescent="0.15">
      <c r="A1680" s="22"/>
      <c r="B1680" s="22"/>
      <c r="C1680" s="22"/>
      <c r="D1680" s="22"/>
      <c r="E1680" s="22"/>
      <c r="F1680" s="28"/>
      <c r="G1680" s="28"/>
      <c r="H1680" s="28"/>
      <c r="I1680" s="28"/>
      <c r="J1680" s="28"/>
      <c r="K1680" s="28"/>
      <c r="L1680" s="28"/>
      <c r="M1680" s="22"/>
      <c r="N1680" s="22"/>
      <c r="O1680" s="22"/>
      <c r="P1680" s="22"/>
      <c r="Q1680" s="22"/>
      <c r="R1680" s="28"/>
      <c r="S1680" s="28"/>
      <c r="T1680" s="28"/>
      <c r="U1680" s="28"/>
      <c r="V1680" s="22"/>
      <c r="W1680" s="22"/>
      <c r="X1680" s="22"/>
      <c r="Y1680" s="22"/>
      <c r="Z1680" s="22"/>
      <c r="AA1680" s="22"/>
      <c r="AB1680" s="22"/>
      <c r="AC1680" s="22"/>
      <c r="AD1680" s="22"/>
    </row>
    <row r="1681" spans="1:30" ht="15.75" customHeight="1" x14ac:dyDescent="0.15">
      <c r="A1681" s="22"/>
      <c r="B1681" s="22"/>
      <c r="C1681" s="22"/>
      <c r="D1681" s="22"/>
      <c r="E1681" s="22"/>
      <c r="F1681" s="28"/>
      <c r="G1681" s="28"/>
      <c r="H1681" s="28"/>
      <c r="I1681" s="28"/>
      <c r="J1681" s="28"/>
      <c r="K1681" s="28"/>
      <c r="L1681" s="28"/>
      <c r="M1681" s="22"/>
      <c r="N1681" s="22"/>
      <c r="O1681" s="22"/>
      <c r="P1681" s="22"/>
      <c r="Q1681" s="22"/>
      <c r="R1681" s="28"/>
      <c r="S1681" s="28"/>
      <c r="T1681" s="28"/>
      <c r="U1681" s="28"/>
      <c r="V1681" s="22"/>
      <c r="W1681" s="22"/>
      <c r="X1681" s="22"/>
      <c r="Y1681" s="22"/>
      <c r="Z1681" s="22"/>
      <c r="AA1681" s="22"/>
      <c r="AB1681" s="22"/>
      <c r="AC1681" s="22"/>
      <c r="AD1681" s="22"/>
    </row>
    <row r="1682" spans="1:30" ht="15.75" customHeight="1" x14ac:dyDescent="0.15">
      <c r="A1682" s="22"/>
      <c r="B1682" s="22"/>
      <c r="C1682" s="22"/>
      <c r="D1682" s="22"/>
      <c r="E1682" s="22"/>
      <c r="F1682" s="28"/>
      <c r="G1682" s="28"/>
      <c r="H1682" s="28"/>
      <c r="I1682" s="28"/>
      <c r="J1682" s="28"/>
      <c r="K1682" s="28"/>
      <c r="L1682" s="28"/>
      <c r="M1682" s="22"/>
      <c r="N1682" s="22"/>
      <c r="O1682" s="22"/>
      <c r="P1682" s="22"/>
      <c r="Q1682" s="22"/>
      <c r="R1682" s="28"/>
      <c r="S1682" s="28"/>
      <c r="T1682" s="28"/>
      <c r="U1682" s="28"/>
      <c r="V1682" s="22"/>
      <c r="W1682" s="22"/>
      <c r="X1682" s="22"/>
      <c r="Y1682" s="22"/>
      <c r="Z1682" s="22"/>
      <c r="AA1682" s="22"/>
      <c r="AB1682" s="22"/>
      <c r="AC1682" s="22"/>
      <c r="AD1682" s="22"/>
    </row>
    <row r="1683" spans="1:30" ht="15.75" customHeight="1" x14ac:dyDescent="0.15">
      <c r="A1683" s="22"/>
      <c r="B1683" s="22"/>
      <c r="C1683" s="22"/>
      <c r="D1683" s="22"/>
      <c r="E1683" s="22"/>
      <c r="F1683" s="28"/>
      <c r="G1683" s="28"/>
      <c r="H1683" s="28"/>
      <c r="I1683" s="28"/>
      <c r="J1683" s="28"/>
      <c r="K1683" s="28"/>
      <c r="L1683" s="28"/>
      <c r="M1683" s="22"/>
      <c r="N1683" s="22"/>
      <c r="O1683" s="22"/>
      <c r="P1683" s="22"/>
      <c r="Q1683" s="22"/>
      <c r="R1683" s="28"/>
      <c r="S1683" s="28"/>
      <c r="T1683" s="28"/>
      <c r="U1683" s="28"/>
      <c r="V1683" s="22"/>
      <c r="W1683" s="22"/>
      <c r="X1683" s="22"/>
      <c r="Y1683" s="22"/>
      <c r="Z1683" s="22"/>
      <c r="AA1683" s="22"/>
      <c r="AB1683" s="22"/>
      <c r="AC1683" s="22"/>
      <c r="AD1683" s="22"/>
    </row>
    <row r="1684" spans="1:30" ht="15.75" customHeight="1" x14ac:dyDescent="0.15">
      <c r="A1684" s="22"/>
      <c r="B1684" s="22"/>
      <c r="C1684" s="22"/>
      <c r="D1684" s="22"/>
      <c r="E1684" s="22"/>
      <c r="F1684" s="28"/>
      <c r="G1684" s="28"/>
      <c r="H1684" s="28"/>
      <c r="I1684" s="28"/>
      <c r="J1684" s="28"/>
      <c r="K1684" s="28"/>
      <c r="L1684" s="28"/>
      <c r="M1684" s="22"/>
      <c r="N1684" s="22"/>
      <c r="O1684" s="22"/>
      <c r="P1684" s="22"/>
      <c r="Q1684" s="22"/>
      <c r="R1684" s="28"/>
      <c r="S1684" s="28"/>
      <c r="T1684" s="28"/>
      <c r="U1684" s="28"/>
      <c r="V1684" s="22"/>
      <c r="W1684" s="22"/>
      <c r="X1684" s="22"/>
      <c r="Y1684" s="22"/>
      <c r="Z1684" s="22"/>
      <c r="AA1684" s="22"/>
      <c r="AB1684" s="22"/>
      <c r="AC1684" s="22"/>
      <c r="AD1684" s="22"/>
    </row>
    <row r="1685" spans="1:30" ht="15.75" customHeight="1" x14ac:dyDescent="0.15">
      <c r="A1685" s="22"/>
      <c r="B1685" s="22"/>
      <c r="C1685" s="22"/>
      <c r="D1685" s="22"/>
      <c r="E1685" s="22"/>
      <c r="F1685" s="28"/>
      <c r="G1685" s="28"/>
      <c r="H1685" s="28"/>
      <c r="I1685" s="28"/>
      <c r="J1685" s="28"/>
      <c r="K1685" s="28"/>
      <c r="L1685" s="28"/>
      <c r="M1685" s="22"/>
      <c r="N1685" s="22"/>
      <c r="O1685" s="22"/>
      <c r="P1685" s="22"/>
      <c r="Q1685" s="22"/>
      <c r="R1685" s="28"/>
      <c r="S1685" s="28"/>
      <c r="T1685" s="28"/>
      <c r="U1685" s="28"/>
      <c r="V1685" s="22"/>
      <c r="W1685" s="22"/>
      <c r="X1685" s="22"/>
      <c r="Y1685" s="22"/>
      <c r="Z1685" s="22"/>
      <c r="AA1685" s="22"/>
      <c r="AB1685" s="22"/>
      <c r="AC1685" s="22"/>
      <c r="AD1685" s="22"/>
    </row>
    <row r="1686" spans="1:30" ht="15.75" customHeight="1" x14ac:dyDescent="0.15">
      <c r="A1686" s="22"/>
      <c r="B1686" s="22"/>
      <c r="C1686" s="22"/>
      <c r="D1686" s="22"/>
      <c r="E1686" s="22"/>
      <c r="F1686" s="28"/>
      <c r="G1686" s="28"/>
      <c r="H1686" s="28"/>
      <c r="I1686" s="28"/>
      <c r="J1686" s="28"/>
      <c r="K1686" s="28"/>
      <c r="L1686" s="28"/>
      <c r="M1686" s="22"/>
      <c r="N1686" s="22"/>
      <c r="O1686" s="22"/>
      <c r="P1686" s="22"/>
      <c r="Q1686" s="22"/>
      <c r="R1686" s="28"/>
      <c r="S1686" s="28"/>
      <c r="T1686" s="28"/>
      <c r="U1686" s="28"/>
      <c r="V1686" s="22"/>
      <c r="W1686" s="22"/>
      <c r="X1686" s="22"/>
      <c r="Y1686" s="22"/>
      <c r="Z1686" s="22"/>
      <c r="AA1686" s="22"/>
      <c r="AB1686" s="22"/>
      <c r="AC1686" s="22"/>
      <c r="AD1686" s="22"/>
    </row>
    <row r="1687" spans="1:30" ht="15.75" customHeight="1" x14ac:dyDescent="0.15">
      <c r="A1687" s="22"/>
      <c r="B1687" s="22"/>
      <c r="C1687" s="22"/>
      <c r="D1687" s="22"/>
      <c r="E1687" s="22"/>
      <c r="F1687" s="28"/>
      <c r="G1687" s="28"/>
      <c r="H1687" s="28"/>
      <c r="I1687" s="28"/>
      <c r="J1687" s="28"/>
      <c r="K1687" s="28"/>
      <c r="L1687" s="28"/>
      <c r="M1687" s="22"/>
      <c r="N1687" s="22"/>
      <c r="O1687" s="22"/>
      <c r="P1687" s="22"/>
      <c r="Q1687" s="22"/>
      <c r="R1687" s="28"/>
      <c r="S1687" s="28"/>
      <c r="T1687" s="28"/>
      <c r="U1687" s="28"/>
      <c r="V1687" s="22"/>
      <c r="W1687" s="22"/>
      <c r="X1687" s="22"/>
      <c r="Y1687" s="22"/>
      <c r="Z1687" s="22"/>
      <c r="AA1687" s="22"/>
      <c r="AB1687" s="22"/>
      <c r="AC1687" s="22"/>
      <c r="AD1687" s="22"/>
    </row>
    <row r="1688" spans="1:30" ht="15.75" customHeight="1" x14ac:dyDescent="0.15">
      <c r="A1688" s="22"/>
      <c r="B1688" s="22"/>
      <c r="C1688" s="22"/>
      <c r="D1688" s="22"/>
      <c r="E1688" s="22"/>
      <c r="F1688" s="28"/>
      <c r="G1688" s="28"/>
      <c r="H1688" s="28"/>
      <c r="I1688" s="28"/>
      <c r="J1688" s="28"/>
      <c r="K1688" s="28"/>
      <c r="L1688" s="28"/>
      <c r="M1688" s="22"/>
      <c r="N1688" s="22"/>
      <c r="O1688" s="22"/>
      <c r="P1688" s="22"/>
      <c r="Q1688" s="22"/>
      <c r="R1688" s="28"/>
      <c r="S1688" s="28"/>
      <c r="T1688" s="28"/>
      <c r="U1688" s="28"/>
      <c r="V1688" s="22"/>
      <c r="W1688" s="22"/>
      <c r="X1688" s="22"/>
      <c r="Y1688" s="22"/>
      <c r="Z1688" s="22"/>
      <c r="AA1688" s="22"/>
      <c r="AB1688" s="22"/>
      <c r="AC1688" s="22"/>
      <c r="AD1688" s="22"/>
    </row>
    <row r="1689" spans="1:30" ht="15.75" customHeight="1" x14ac:dyDescent="0.15">
      <c r="A1689" s="22"/>
      <c r="B1689" s="22"/>
      <c r="C1689" s="22"/>
      <c r="D1689" s="22"/>
      <c r="E1689" s="22"/>
      <c r="F1689" s="28"/>
      <c r="G1689" s="28"/>
      <c r="H1689" s="28"/>
      <c r="I1689" s="28"/>
      <c r="J1689" s="28"/>
      <c r="K1689" s="28"/>
      <c r="L1689" s="28"/>
      <c r="M1689" s="22"/>
      <c r="N1689" s="22"/>
      <c r="O1689" s="22"/>
      <c r="P1689" s="22"/>
      <c r="Q1689" s="22"/>
      <c r="R1689" s="28"/>
      <c r="S1689" s="28"/>
      <c r="T1689" s="28"/>
      <c r="U1689" s="28"/>
      <c r="V1689" s="22"/>
      <c r="W1689" s="22"/>
      <c r="X1689" s="22"/>
      <c r="Y1689" s="22"/>
      <c r="Z1689" s="22"/>
      <c r="AA1689" s="22"/>
      <c r="AB1689" s="22"/>
      <c r="AC1689" s="22"/>
      <c r="AD1689" s="22"/>
    </row>
    <row r="1690" spans="1:30" ht="15.75" customHeight="1" x14ac:dyDescent="0.15">
      <c r="A1690" s="22"/>
      <c r="B1690" s="22"/>
      <c r="C1690" s="22"/>
      <c r="D1690" s="22"/>
      <c r="E1690" s="22"/>
      <c r="F1690" s="28"/>
      <c r="G1690" s="28"/>
      <c r="H1690" s="28"/>
      <c r="I1690" s="28"/>
      <c r="J1690" s="28"/>
      <c r="K1690" s="28"/>
      <c r="L1690" s="28"/>
      <c r="M1690" s="22"/>
      <c r="N1690" s="22"/>
      <c r="O1690" s="22"/>
      <c r="P1690" s="22"/>
      <c r="Q1690" s="22"/>
      <c r="R1690" s="28"/>
      <c r="S1690" s="28"/>
      <c r="T1690" s="28"/>
      <c r="U1690" s="28"/>
      <c r="V1690" s="22"/>
      <c r="W1690" s="22"/>
      <c r="X1690" s="22"/>
      <c r="Y1690" s="22"/>
      <c r="Z1690" s="22"/>
      <c r="AA1690" s="22"/>
      <c r="AB1690" s="22"/>
      <c r="AC1690" s="22"/>
      <c r="AD1690" s="22"/>
    </row>
    <row r="1691" spans="1:30" ht="15.75" customHeight="1" x14ac:dyDescent="0.15">
      <c r="A1691" s="22"/>
      <c r="B1691" s="22"/>
      <c r="C1691" s="22"/>
      <c r="D1691" s="22"/>
      <c r="E1691" s="22"/>
      <c r="F1691" s="28"/>
      <c r="G1691" s="28"/>
      <c r="H1691" s="28"/>
      <c r="I1691" s="28"/>
      <c r="J1691" s="28"/>
      <c r="K1691" s="28"/>
      <c r="L1691" s="28"/>
      <c r="M1691" s="22"/>
      <c r="N1691" s="22"/>
      <c r="O1691" s="22"/>
      <c r="P1691" s="22"/>
      <c r="Q1691" s="22"/>
      <c r="R1691" s="28"/>
      <c r="S1691" s="28"/>
      <c r="T1691" s="28"/>
      <c r="U1691" s="28"/>
      <c r="V1691" s="22"/>
      <c r="W1691" s="22"/>
      <c r="X1691" s="22"/>
      <c r="Y1691" s="22"/>
      <c r="Z1691" s="22"/>
      <c r="AA1691" s="22"/>
      <c r="AB1691" s="22"/>
      <c r="AC1691" s="22"/>
      <c r="AD1691" s="22"/>
    </row>
    <row r="1692" spans="1:30" ht="15.75" customHeight="1" x14ac:dyDescent="0.15">
      <c r="A1692" s="22"/>
      <c r="B1692" s="22"/>
      <c r="C1692" s="22"/>
      <c r="D1692" s="22"/>
      <c r="E1692" s="22"/>
      <c r="F1692" s="28"/>
      <c r="G1692" s="28"/>
      <c r="H1692" s="28"/>
      <c r="I1692" s="28"/>
      <c r="J1692" s="28"/>
      <c r="K1692" s="28"/>
      <c r="L1692" s="28"/>
      <c r="M1692" s="22"/>
      <c r="N1692" s="22"/>
      <c r="O1692" s="22"/>
      <c r="P1692" s="22"/>
      <c r="Q1692" s="22"/>
      <c r="R1692" s="28"/>
      <c r="S1692" s="28"/>
      <c r="T1692" s="28"/>
      <c r="U1692" s="28"/>
      <c r="V1692" s="22"/>
      <c r="W1692" s="22"/>
      <c r="X1692" s="22"/>
      <c r="Y1692" s="22"/>
      <c r="Z1692" s="22"/>
      <c r="AA1692" s="22"/>
      <c r="AB1692" s="22"/>
      <c r="AC1692" s="22"/>
      <c r="AD1692" s="22"/>
    </row>
    <row r="1693" spans="1:30" ht="15.75" customHeight="1" x14ac:dyDescent="0.15">
      <c r="A1693" s="22"/>
      <c r="B1693" s="22"/>
      <c r="C1693" s="22"/>
      <c r="D1693" s="22"/>
      <c r="E1693" s="22"/>
      <c r="F1693" s="28"/>
      <c r="G1693" s="28"/>
      <c r="H1693" s="28"/>
      <c r="I1693" s="28"/>
      <c r="J1693" s="28"/>
      <c r="K1693" s="28"/>
      <c r="L1693" s="28"/>
      <c r="M1693" s="22"/>
      <c r="N1693" s="22"/>
      <c r="O1693" s="22"/>
      <c r="P1693" s="22"/>
      <c r="Q1693" s="22"/>
      <c r="R1693" s="28"/>
      <c r="S1693" s="28"/>
      <c r="T1693" s="28"/>
      <c r="U1693" s="28"/>
      <c r="V1693" s="22"/>
      <c r="W1693" s="22"/>
      <c r="X1693" s="22"/>
      <c r="Y1693" s="22"/>
      <c r="Z1693" s="22"/>
      <c r="AA1693" s="22"/>
      <c r="AB1693" s="22"/>
      <c r="AC1693" s="22"/>
      <c r="AD1693" s="22"/>
    </row>
    <row r="1694" spans="1:30" ht="15.75" customHeight="1" x14ac:dyDescent="0.15">
      <c r="A1694" s="22"/>
      <c r="B1694" s="22"/>
      <c r="C1694" s="22"/>
      <c r="D1694" s="22"/>
      <c r="E1694" s="22"/>
      <c r="F1694" s="28"/>
      <c r="G1694" s="28"/>
      <c r="H1694" s="28"/>
      <c r="I1694" s="28"/>
      <c r="J1694" s="28"/>
      <c r="K1694" s="28"/>
      <c r="L1694" s="28"/>
      <c r="M1694" s="22"/>
      <c r="N1694" s="22"/>
      <c r="O1694" s="22"/>
      <c r="P1694" s="22"/>
      <c r="Q1694" s="22"/>
      <c r="R1694" s="28"/>
      <c r="S1694" s="28"/>
      <c r="T1694" s="28"/>
      <c r="U1694" s="28"/>
      <c r="V1694" s="22"/>
      <c r="W1694" s="22"/>
      <c r="X1694" s="22"/>
      <c r="Y1694" s="22"/>
      <c r="Z1694" s="22"/>
      <c r="AA1694" s="22"/>
      <c r="AB1694" s="22"/>
      <c r="AC1694" s="22"/>
      <c r="AD1694" s="22"/>
    </row>
    <row r="1695" spans="1:30" ht="15.75" customHeight="1" x14ac:dyDescent="0.15">
      <c r="A1695" s="22"/>
      <c r="B1695" s="22"/>
      <c r="C1695" s="22"/>
      <c r="D1695" s="22"/>
      <c r="E1695" s="22"/>
      <c r="F1695" s="28"/>
      <c r="G1695" s="28"/>
      <c r="H1695" s="28"/>
      <c r="I1695" s="28"/>
      <c r="J1695" s="28"/>
      <c r="K1695" s="28"/>
      <c r="L1695" s="28"/>
      <c r="M1695" s="22"/>
      <c r="N1695" s="22"/>
      <c r="O1695" s="22"/>
      <c r="P1695" s="22"/>
      <c r="Q1695" s="22"/>
      <c r="R1695" s="28"/>
      <c r="S1695" s="28"/>
      <c r="T1695" s="28"/>
      <c r="U1695" s="28"/>
      <c r="V1695" s="22"/>
      <c r="W1695" s="22"/>
      <c r="X1695" s="22"/>
      <c r="Y1695" s="22"/>
      <c r="Z1695" s="22"/>
      <c r="AA1695" s="22"/>
      <c r="AB1695" s="22"/>
      <c r="AC1695" s="22"/>
      <c r="AD1695" s="22"/>
    </row>
    <row r="1696" spans="1:30" ht="15.75" customHeight="1" x14ac:dyDescent="0.15">
      <c r="A1696" s="22"/>
      <c r="B1696" s="22"/>
      <c r="C1696" s="22"/>
      <c r="D1696" s="22"/>
      <c r="E1696" s="22"/>
      <c r="F1696" s="28"/>
      <c r="G1696" s="28"/>
      <c r="H1696" s="28"/>
      <c r="I1696" s="28"/>
      <c r="J1696" s="28"/>
      <c r="K1696" s="28"/>
      <c r="L1696" s="28"/>
      <c r="M1696" s="22"/>
      <c r="N1696" s="22"/>
      <c r="O1696" s="22"/>
      <c r="P1696" s="22"/>
      <c r="Q1696" s="22"/>
      <c r="R1696" s="28"/>
      <c r="S1696" s="28"/>
      <c r="T1696" s="28"/>
      <c r="U1696" s="28"/>
      <c r="V1696" s="22"/>
      <c r="W1696" s="22"/>
      <c r="X1696" s="22"/>
      <c r="Y1696" s="22"/>
      <c r="Z1696" s="22"/>
      <c r="AA1696" s="22"/>
      <c r="AB1696" s="22"/>
      <c r="AC1696" s="22"/>
      <c r="AD1696" s="22"/>
    </row>
    <row r="1697" spans="1:30" ht="15.75" customHeight="1" x14ac:dyDescent="0.15">
      <c r="A1697" s="22"/>
      <c r="B1697" s="22"/>
      <c r="C1697" s="22"/>
      <c r="D1697" s="22"/>
      <c r="E1697" s="22"/>
      <c r="F1697" s="28"/>
      <c r="G1697" s="28"/>
      <c r="H1697" s="28"/>
      <c r="I1697" s="28"/>
      <c r="J1697" s="28"/>
      <c r="K1697" s="28"/>
      <c r="L1697" s="28"/>
      <c r="M1697" s="22"/>
      <c r="N1697" s="22"/>
      <c r="O1697" s="22"/>
      <c r="P1697" s="22"/>
      <c r="Q1697" s="22"/>
      <c r="R1697" s="28"/>
      <c r="S1697" s="28"/>
      <c r="T1697" s="28"/>
      <c r="U1697" s="28"/>
      <c r="V1697" s="22"/>
      <c r="W1697" s="22"/>
      <c r="X1697" s="22"/>
      <c r="Y1697" s="22"/>
      <c r="Z1697" s="22"/>
      <c r="AA1697" s="22"/>
      <c r="AB1697" s="22"/>
      <c r="AC1697" s="22"/>
      <c r="AD1697" s="22"/>
    </row>
    <row r="1698" spans="1:30" ht="15.75" customHeight="1" x14ac:dyDescent="0.15">
      <c r="A1698" s="22"/>
      <c r="B1698" s="22"/>
      <c r="C1698" s="22"/>
      <c r="D1698" s="22"/>
      <c r="E1698" s="22"/>
      <c r="F1698" s="28"/>
      <c r="G1698" s="28"/>
      <c r="H1698" s="28"/>
      <c r="I1698" s="28"/>
      <c r="J1698" s="28"/>
      <c r="K1698" s="28"/>
      <c r="L1698" s="28"/>
      <c r="M1698" s="22"/>
      <c r="N1698" s="22"/>
      <c r="O1698" s="22"/>
      <c r="P1698" s="22"/>
      <c r="Q1698" s="22"/>
      <c r="R1698" s="28"/>
      <c r="S1698" s="28"/>
      <c r="T1698" s="28"/>
      <c r="U1698" s="28"/>
      <c r="V1698" s="22"/>
      <c r="W1698" s="22"/>
      <c r="X1698" s="22"/>
      <c r="Y1698" s="22"/>
      <c r="Z1698" s="22"/>
      <c r="AA1698" s="22"/>
      <c r="AB1698" s="22"/>
      <c r="AC1698" s="22"/>
      <c r="AD1698" s="22"/>
    </row>
    <row r="1699" spans="1:30" ht="15.75" customHeight="1" x14ac:dyDescent="0.15">
      <c r="A1699" s="22"/>
      <c r="B1699" s="22"/>
      <c r="C1699" s="22"/>
      <c r="D1699" s="22"/>
      <c r="E1699" s="22"/>
      <c r="F1699" s="28"/>
      <c r="G1699" s="28"/>
      <c r="H1699" s="28"/>
      <c r="I1699" s="28"/>
      <c r="J1699" s="28"/>
      <c r="K1699" s="28"/>
      <c r="L1699" s="28"/>
      <c r="M1699" s="22"/>
      <c r="N1699" s="22"/>
      <c r="O1699" s="22"/>
      <c r="P1699" s="22"/>
      <c r="Q1699" s="22"/>
      <c r="R1699" s="28"/>
      <c r="S1699" s="28"/>
      <c r="T1699" s="28"/>
      <c r="U1699" s="28"/>
      <c r="V1699" s="22"/>
      <c r="W1699" s="22"/>
      <c r="X1699" s="22"/>
      <c r="Y1699" s="22"/>
      <c r="Z1699" s="22"/>
      <c r="AA1699" s="22"/>
      <c r="AB1699" s="22"/>
      <c r="AC1699" s="22"/>
      <c r="AD1699" s="22"/>
    </row>
    <row r="1700" spans="1:30" ht="15.75" customHeight="1" x14ac:dyDescent="0.15">
      <c r="A1700" s="22"/>
      <c r="B1700" s="22"/>
      <c r="C1700" s="22"/>
      <c r="D1700" s="22"/>
      <c r="E1700" s="22"/>
      <c r="F1700" s="28"/>
      <c r="G1700" s="28"/>
      <c r="H1700" s="28"/>
      <c r="I1700" s="28"/>
      <c r="J1700" s="28"/>
      <c r="K1700" s="28"/>
      <c r="L1700" s="28"/>
      <c r="M1700" s="22"/>
      <c r="N1700" s="22"/>
      <c r="O1700" s="22"/>
      <c r="P1700" s="22"/>
      <c r="Q1700" s="22"/>
      <c r="R1700" s="28"/>
      <c r="S1700" s="28"/>
      <c r="T1700" s="28"/>
      <c r="U1700" s="28"/>
      <c r="V1700" s="22"/>
      <c r="W1700" s="22"/>
      <c r="X1700" s="22"/>
      <c r="Y1700" s="22"/>
      <c r="Z1700" s="22"/>
      <c r="AA1700" s="22"/>
      <c r="AB1700" s="22"/>
      <c r="AC1700" s="22"/>
      <c r="AD1700" s="22"/>
    </row>
    <row r="1701" spans="1:30" ht="15.75" customHeight="1" x14ac:dyDescent="0.15">
      <c r="A1701" s="22"/>
      <c r="B1701" s="22"/>
      <c r="C1701" s="22"/>
      <c r="D1701" s="22"/>
      <c r="E1701" s="22"/>
      <c r="F1701" s="28"/>
      <c r="G1701" s="28"/>
      <c r="H1701" s="28"/>
      <c r="I1701" s="28"/>
      <c r="J1701" s="28"/>
      <c r="K1701" s="28"/>
      <c r="L1701" s="28"/>
      <c r="M1701" s="22"/>
      <c r="N1701" s="22"/>
      <c r="O1701" s="22"/>
      <c r="P1701" s="22"/>
      <c r="Q1701" s="22"/>
      <c r="R1701" s="28"/>
      <c r="S1701" s="28"/>
      <c r="T1701" s="28"/>
      <c r="U1701" s="28"/>
      <c r="V1701" s="22"/>
      <c r="W1701" s="22"/>
      <c r="X1701" s="22"/>
      <c r="Y1701" s="22"/>
      <c r="Z1701" s="22"/>
      <c r="AA1701" s="22"/>
      <c r="AB1701" s="22"/>
      <c r="AC1701" s="22"/>
      <c r="AD1701" s="22"/>
    </row>
    <row r="1702" spans="1:30" ht="15.75" customHeight="1" x14ac:dyDescent="0.15">
      <c r="A1702" s="22"/>
      <c r="B1702" s="22"/>
      <c r="C1702" s="22"/>
      <c r="D1702" s="22"/>
      <c r="E1702" s="22"/>
      <c r="F1702" s="28"/>
      <c r="G1702" s="28"/>
      <c r="H1702" s="28"/>
      <c r="I1702" s="28"/>
      <c r="J1702" s="28"/>
      <c r="K1702" s="28"/>
      <c r="L1702" s="28"/>
      <c r="M1702" s="22"/>
      <c r="N1702" s="22"/>
      <c r="O1702" s="22"/>
      <c r="P1702" s="22"/>
      <c r="Q1702" s="22"/>
      <c r="R1702" s="28"/>
      <c r="S1702" s="28"/>
      <c r="T1702" s="28"/>
      <c r="U1702" s="28"/>
      <c r="V1702" s="22"/>
      <c r="W1702" s="22"/>
      <c r="X1702" s="22"/>
      <c r="Y1702" s="22"/>
      <c r="Z1702" s="22"/>
      <c r="AA1702" s="22"/>
      <c r="AB1702" s="22"/>
      <c r="AC1702" s="22"/>
      <c r="AD1702" s="22"/>
    </row>
    <row r="1703" spans="1:30" ht="15.75" customHeight="1" x14ac:dyDescent="0.15">
      <c r="A1703" s="22"/>
      <c r="B1703" s="22"/>
      <c r="C1703" s="22"/>
      <c r="D1703" s="22"/>
      <c r="E1703" s="22"/>
      <c r="F1703" s="28"/>
      <c r="G1703" s="28"/>
      <c r="H1703" s="28"/>
      <c r="I1703" s="28"/>
      <c r="J1703" s="28"/>
      <c r="K1703" s="28"/>
      <c r="L1703" s="28"/>
      <c r="M1703" s="22"/>
      <c r="N1703" s="22"/>
      <c r="O1703" s="22"/>
      <c r="P1703" s="22"/>
      <c r="Q1703" s="22"/>
      <c r="R1703" s="28"/>
      <c r="S1703" s="28"/>
      <c r="T1703" s="28"/>
      <c r="U1703" s="28"/>
      <c r="V1703" s="22"/>
      <c r="W1703" s="22"/>
      <c r="X1703" s="22"/>
      <c r="Y1703" s="22"/>
      <c r="Z1703" s="22"/>
      <c r="AA1703" s="22"/>
      <c r="AB1703" s="22"/>
      <c r="AC1703" s="22"/>
      <c r="AD1703" s="22"/>
    </row>
    <row r="1704" spans="1:30" ht="15.75" customHeight="1" x14ac:dyDescent="0.15">
      <c r="A1704" s="22"/>
      <c r="B1704" s="22"/>
      <c r="C1704" s="22"/>
      <c r="D1704" s="22"/>
      <c r="E1704" s="22"/>
      <c r="F1704" s="28"/>
      <c r="G1704" s="28"/>
      <c r="H1704" s="28"/>
      <c r="I1704" s="28"/>
      <c r="J1704" s="28"/>
      <c r="K1704" s="28"/>
      <c r="L1704" s="28"/>
      <c r="M1704" s="22"/>
      <c r="N1704" s="22"/>
      <c r="O1704" s="22"/>
      <c r="P1704" s="22"/>
      <c r="Q1704" s="22"/>
      <c r="R1704" s="28"/>
      <c r="S1704" s="28"/>
      <c r="T1704" s="28"/>
      <c r="U1704" s="28"/>
      <c r="V1704" s="22"/>
      <c r="W1704" s="22"/>
      <c r="X1704" s="22"/>
      <c r="Y1704" s="22"/>
      <c r="Z1704" s="22"/>
      <c r="AA1704" s="22"/>
      <c r="AB1704" s="22"/>
      <c r="AC1704" s="22"/>
      <c r="AD1704" s="22"/>
    </row>
    <row r="1705" spans="1:30" ht="15.75" customHeight="1" x14ac:dyDescent="0.15">
      <c r="A1705" s="22"/>
      <c r="B1705" s="22"/>
      <c r="C1705" s="22"/>
      <c r="D1705" s="22"/>
      <c r="E1705" s="22"/>
      <c r="F1705" s="28"/>
      <c r="G1705" s="28"/>
      <c r="H1705" s="28"/>
      <c r="I1705" s="28"/>
      <c r="J1705" s="28"/>
      <c r="K1705" s="28"/>
      <c r="L1705" s="28"/>
      <c r="M1705" s="22"/>
      <c r="N1705" s="22"/>
      <c r="O1705" s="22"/>
      <c r="P1705" s="22"/>
      <c r="Q1705" s="22"/>
      <c r="R1705" s="28"/>
      <c r="S1705" s="28"/>
      <c r="T1705" s="28"/>
      <c r="U1705" s="28"/>
      <c r="V1705" s="22"/>
      <c r="W1705" s="22"/>
      <c r="X1705" s="22"/>
      <c r="Y1705" s="22"/>
      <c r="Z1705" s="22"/>
      <c r="AA1705" s="22"/>
      <c r="AB1705" s="22"/>
      <c r="AC1705" s="22"/>
      <c r="AD1705" s="22"/>
    </row>
    <row r="1706" spans="1:30" ht="15.75" customHeight="1" x14ac:dyDescent="0.15">
      <c r="A1706" s="22"/>
      <c r="B1706" s="22"/>
      <c r="C1706" s="22"/>
      <c r="D1706" s="22"/>
      <c r="E1706" s="22"/>
      <c r="F1706" s="28"/>
      <c r="G1706" s="28"/>
      <c r="H1706" s="28"/>
      <c r="I1706" s="28"/>
      <c r="J1706" s="28"/>
      <c r="K1706" s="28"/>
      <c r="L1706" s="28"/>
      <c r="M1706" s="22"/>
      <c r="N1706" s="22"/>
      <c r="O1706" s="22"/>
      <c r="P1706" s="22"/>
      <c r="Q1706" s="22"/>
      <c r="R1706" s="28"/>
      <c r="S1706" s="28"/>
      <c r="T1706" s="28"/>
      <c r="U1706" s="28"/>
      <c r="V1706" s="22"/>
      <c r="W1706" s="22"/>
      <c r="X1706" s="22"/>
      <c r="Y1706" s="22"/>
      <c r="Z1706" s="22"/>
      <c r="AA1706" s="22"/>
      <c r="AB1706" s="22"/>
      <c r="AC1706" s="22"/>
      <c r="AD1706" s="22"/>
    </row>
    <row r="1707" spans="1:30" ht="15.75" customHeight="1" x14ac:dyDescent="0.15">
      <c r="A1707" s="22"/>
      <c r="B1707" s="22"/>
      <c r="C1707" s="22"/>
      <c r="D1707" s="22"/>
      <c r="E1707" s="22"/>
      <c r="F1707" s="28"/>
      <c r="G1707" s="28"/>
      <c r="H1707" s="28"/>
      <c r="I1707" s="28"/>
      <c r="J1707" s="28"/>
      <c r="K1707" s="28"/>
      <c r="L1707" s="28"/>
      <c r="M1707" s="22"/>
      <c r="N1707" s="22"/>
      <c r="O1707" s="22"/>
      <c r="P1707" s="22"/>
      <c r="Q1707" s="22"/>
      <c r="R1707" s="28"/>
      <c r="S1707" s="28"/>
      <c r="T1707" s="28"/>
      <c r="U1707" s="28"/>
      <c r="V1707" s="22"/>
      <c r="W1707" s="22"/>
      <c r="X1707" s="22"/>
      <c r="Y1707" s="22"/>
      <c r="Z1707" s="22"/>
      <c r="AA1707" s="22"/>
      <c r="AB1707" s="22"/>
      <c r="AC1707" s="22"/>
      <c r="AD1707" s="22"/>
    </row>
    <row r="1708" spans="1:30" ht="15.75" customHeight="1" x14ac:dyDescent="0.15">
      <c r="A1708" s="22"/>
      <c r="B1708" s="22"/>
      <c r="C1708" s="22"/>
      <c r="D1708" s="22"/>
      <c r="E1708" s="22"/>
      <c r="F1708" s="28"/>
      <c r="G1708" s="28"/>
      <c r="H1708" s="28"/>
      <c r="I1708" s="28"/>
      <c r="J1708" s="28"/>
      <c r="K1708" s="28"/>
      <c r="L1708" s="28"/>
      <c r="M1708" s="22"/>
      <c r="N1708" s="22"/>
      <c r="O1708" s="22"/>
      <c r="P1708" s="22"/>
      <c r="Q1708" s="22"/>
      <c r="R1708" s="28"/>
      <c r="S1708" s="28"/>
      <c r="T1708" s="28"/>
      <c r="U1708" s="28"/>
      <c r="V1708" s="22"/>
      <c r="W1708" s="22"/>
      <c r="X1708" s="22"/>
      <c r="Y1708" s="22"/>
      <c r="Z1708" s="22"/>
      <c r="AA1708" s="22"/>
      <c r="AB1708" s="22"/>
      <c r="AC1708" s="22"/>
      <c r="AD1708" s="22"/>
    </row>
    <row r="1709" spans="1:30" ht="15.75" customHeight="1" x14ac:dyDescent="0.15">
      <c r="A1709" s="22"/>
      <c r="B1709" s="22"/>
      <c r="C1709" s="22"/>
      <c r="D1709" s="22"/>
      <c r="E1709" s="22"/>
      <c r="F1709" s="28"/>
      <c r="G1709" s="28"/>
      <c r="H1709" s="28"/>
      <c r="I1709" s="28"/>
      <c r="J1709" s="28"/>
      <c r="K1709" s="28"/>
      <c r="L1709" s="28"/>
      <c r="M1709" s="22"/>
      <c r="N1709" s="22"/>
      <c r="O1709" s="22"/>
      <c r="P1709" s="22"/>
      <c r="Q1709" s="22"/>
      <c r="R1709" s="28"/>
      <c r="S1709" s="28"/>
      <c r="T1709" s="28"/>
      <c r="U1709" s="28"/>
      <c r="V1709" s="22"/>
      <c r="W1709" s="22"/>
      <c r="X1709" s="22"/>
      <c r="Y1709" s="22"/>
      <c r="Z1709" s="22"/>
      <c r="AA1709" s="22"/>
      <c r="AB1709" s="22"/>
      <c r="AC1709" s="22"/>
      <c r="AD1709" s="22"/>
    </row>
    <row r="1710" spans="1:30" ht="15.75" customHeight="1" x14ac:dyDescent="0.15">
      <c r="A1710" s="22"/>
      <c r="B1710" s="22"/>
      <c r="C1710" s="22"/>
      <c r="D1710" s="22"/>
      <c r="E1710" s="22"/>
      <c r="F1710" s="28"/>
      <c r="G1710" s="28"/>
      <c r="H1710" s="28"/>
      <c r="I1710" s="28"/>
      <c r="J1710" s="28"/>
      <c r="K1710" s="28"/>
      <c r="L1710" s="28"/>
      <c r="M1710" s="22"/>
      <c r="N1710" s="22"/>
      <c r="O1710" s="22"/>
      <c r="P1710" s="22"/>
      <c r="Q1710" s="22"/>
      <c r="R1710" s="28"/>
      <c r="S1710" s="28"/>
      <c r="T1710" s="28"/>
      <c r="U1710" s="28"/>
      <c r="V1710" s="22"/>
      <c r="W1710" s="22"/>
      <c r="X1710" s="22"/>
      <c r="Y1710" s="22"/>
      <c r="Z1710" s="22"/>
      <c r="AA1710" s="22"/>
      <c r="AB1710" s="22"/>
      <c r="AC1710" s="22"/>
      <c r="AD1710" s="22"/>
    </row>
    <row r="1711" spans="1:30" ht="15.75" customHeight="1" x14ac:dyDescent="0.15">
      <c r="A1711" s="22"/>
      <c r="B1711" s="22"/>
      <c r="C1711" s="22"/>
      <c r="D1711" s="22"/>
      <c r="E1711" s="22"/>
      <c r="F1711" s="28"/>
      <c r="G1711" s="28"/>
      <c r="H1711" s="28"/>
      <c r="I1711" s="28"/>
      <c r="J1711" s="28"/>
      <c r="K1711" s="28"/>
      <c r="L1711" s="28"/>
      <c r="M1711" s="22"/>
      <c r="N1711" s="22"/>
      <c r="O1711" s="22"/>
      <c r="P1711" s="22"/>
      <c r="Q1711" s="22"/>
      <c r="R1711" s="28"/>
      <c r="S1711" s="28"/>
      <c r="T1711" s="28"/>
      <c r="U1711" s="28"/>
      <c r="V1711" s="22"/>
      <c r="W1711" s="22"/>
      <c r="X1711" s="22"/>
      <c r="Y1711" s="22"/>
      <c r="Z1711" s="22"/>
      <c r="AA1711" s="22"/>
      <c r="AB1711" s="22"/>
      <c r="AC1711" s="22"/>
      <c r="AD1711" s="22"/>
    </row>
    <row r="1712" spans="1:30" ht="15.75" customHeight="1" x14ac:dyDescent="0.15">
      <c r="A1712" s="22"/>
      <c r="B1712" s="22"/>
      <c r="C1712" s="22"/>
      <c r="D1712" s="22"/>
      <c r="E1712" s="22"/>
      <c r="F1712" s="28"/>
      <c r="G1712" s="28"/>
      <c r="H1712" s="28"/>
      <c r="I1712" s="28"/>
      <c r="J1712" s="28"/>
      <c r="K1712" s="28"/>
      <c r="L1712" s="28"/>
      <c r="M1712" s="22"/>
      <c r="N1712" s="22"/>
      <c r="O1712" s="22"/>
      <c r="P1712" s="22"/>
      <c r="Q1712" s="22"/>
      <c r="R1712" s="28"/>
      <c r="S1712" s="28"/>
      <c r="T1712" s="28"/>
      <c r="U1712" s="28"/>
      <c r="V1712" s="22"/>
      <c r="W1712" s="22"/>
      <c r="X1712" s="22"/>
      <c r="Y1712" s="22"/>
      <c r="Z1712" s="22"/>
      <c r="AA1712" s="22"/>
      <c r="AB1712" s="22"/>
      <c r="AC1712" s="22"/>
      <c r="AD1712" s="22"/>
    </row>
    <row r="1713" spans="1:30" ht="15.75" customHeight="1" x14ac:dyDescent="0.15">
      <c r="A1713" s="22"/>
      <c r="B1713" s="22"/>
      <c r="C1713" s="22"/>
      <c r="D1713" s="22"/>
      <c r="E1713" s="22"/>
      <c r="F1713" s="28"/>
      <c r="G1713" s="28"/>
      <c r="H1713" s="28"/>
      <c r="I1713" s="28"/>
      <c r="J1713" s="28"/>
      <c r="K1713" s="28"/>
      <c r="L1713" s="28"/>
      <c r="M1713" s="22"/>
      <c r="N1713" s="22"/>
      <c r="O1713" s="22"/>
      <c r="P1713" s="22"/>
      <c r="Q1713" s="22"/>
      <c r="R1713" s="28"/>
      <c r="S1713" s="28"/>
      <c r="T1713" s="28"/>
      <c r="U1713" s="28"/>
      <c r="V1713" s="22"/>
      <c r="W1713" s="22"/>
      <c r="X1713" s="22"/>
      <c r="Y1713" s="22"/>
      <c r="Z1713" s="22"/>
      <c r="AA1713" s="22"/>
      <c r="AB1713" s="22"/>
      <c r="AC1713" s="22"/>
      <c r="AD1713" s="22"/>
    </row>
    <row r="1714" spans="1:30" ht="15.75" customHeight="1" x14ac:dyDescent="0.15">
      <c r="A1714" s="22"/>
      <c r="B1714" s="22"/>
      <c r="C1714" s="22"/>
      <c r="D1714" s="22"/>
      <c r="E1714" s="22"/>
      <c r="F1714" s="28"/>
      <c r="G1714" s="28"/>
      <c r="H1714" s="28"/>
      <c r="I1714" s="28"/>
      <c r="J1714" s="28"/>
      <c r="K1714" s="28"/>
      <c r="L1714" s="28"/>
      <c r="M1714" s="22"/>
      <c r="N1714" s="22"/>
      <c r="O1714" s="22"/>
      <c r="P1714" s="22"/>
      <c r="Q1714" s="22"/>
      <c r="R1714" s="28"/>
      <c r="S1714" s="28"/>
      <c r="T1714" s="28"/>
      <c r="U1714" s="28"/>
      <c r="V1714" s="22"/>
      <c r="W1714" s="22"/>
      <c r="X1714" s="22"/>
      <c r="Y1714" s="22"/>
      <c r="Z1714" s="22"/>
      <c r="AA1714" s="22"/>
      <c r="AB1714" s="22"/>
      <c r="AC1714" s="22"/>
      <c r="AD1714" s="22"/>
    </row>
    <row r="1715" spans="1:30" ht="15.75" customHeight="1" x14ac:dyDescent="0.15">
      <c r="A1715" s="22"/>
      <c r="B1715" s="22"/>
      <c r="C1715" s="22"/>
      <c r="D1715" s="22"/>
      <c r="E1715" s="22"/>
      <c r="F1715" s="28"/>
      <c r="G1715" s="28"/>
      <c r="H1715" s="28"/>
      <c r="I1715" s="28"/>
      <c r="J1715" s="28"/>
      <c r="K1715" s="28"/>
      <c r="L1715" s="28"/>
      <c r="M1715" s="22"/>
      <c r="N1715" s="22"/>
      <c r="O1715" s="22"/>
      <c r="P1715" s="22"/>
      <c r="Q1715" s="22"/>
      <c r="R1715" s="28"/>
      <c r="S1715" s="28"/>
      <c r="T1715" s="28"/>
      <c r="U1715" s="28"/>
      <c r="V1715" s="22"/>
      <c r="W1715" s="22"/>
      <c r="X1715" s="22"/>
      <c r="Y1715" s="22"/>
      <c r="Z1715" s="22"/>
      <c r="AA1715" s="22"/>
      <c r="AB1715" s="22"/>
      <c r="AC1715" s="22"/>
      <c r="AD1715" s="22"/>
    </row>
    <row r="1716" spans="1:30" ht="15.75" customHeight="1" x14ac:dyDescent="0.15">
      <c r="A1716" s="22"/>
      <c r="B1716" s="22"/>
      <c r="C1716" s="22"/>
      <c r="D1716" s="22"/>
      <c r="E1716" s="22"/>
      <c r="F1716" s="28"/>
      <c r="G1716" s="28"/>
      <c r="H1716" s="28"/>
      <c r="I1716" s="28"/>
      <c r="J1716" s="28"/>
      <c r="K1716" s="28"/>
      <c r="L1716" s="28"/>
      <c r="M1716" s="22"/>
      <c r="N1716" s="22"/>
      <c r="O1716" s="22"/>
      <c r="P1716" s="22"/>
      <c r="Q1716" s="22"/>
      <c r="R1716" s="28"/>
      <c r="S1716" s="28"/>
      <c r="T1716" s="28"/>
      <c r="U1716" s="28"/>
      <c r="V1716" s="22"/>
      <c r="W1716" s="22"/>
      <c r="X1716" s="22"/>
      <c r="Y1716" s="22"/>
      <c r="Z1716" s="22"/>
      <c r="AA1716" s="22"/>
      <c r="AB1716" s="22"/>
      <c r="AC1716" s="22"/>
      <c r="AD1716" s="22"/>
    </row>
    <row r="1717" spans="1:30" ht="15.75" customHeight="1" x14ac:dyDescent="0.15">
      <c r="A1717" s="22"/>
      <c r="B1717" s="22"/>
      <c r="C1717" s="22"/>
      <c r="D1717" s="22"/>
      <c r="E1717" s="22"/>
      <c r="F1717" s="28"/>
      <c r="G1717" s="28"/>
      <c r="H1717" s="28"/>
      <c r="I1717" s="28"/>
      <c r="J1717" s="28"/>
      <c r="K1717" s="28"/>
      <c r="L1717" s="28"/>
      <c r="M1717" s="22"/>
      <c r="N1717" s="22"/>
      <c r="O1717" s="22"/>
      <c r="P1717" s="22"/>
      <c r="Q1717" s="22"/>
      <c r="R1717" s="28"/>
      <c r="S1717" s="28"/>
      <c r="T1717" s="28"/>
      <c r="U1717" s="28"/>
      <c r="V1717" s="22"/>
      <c r="W1717" s="22"/>
      <c r="X1717" s="22"/>
      <c r="Y1717" s="22"/>
      <c r="Z1717" s="22"/>
      <c r="AA1717" s="22"/>
      <c r="AB1717" s="22"/>
      <c r="AC1717" s="22"/>
      <c r="AD1717" s="22"/>
    </row>
    <row r="1718" spans="1:30" ht="15.75" customHeight="1" x14ac:dyDescent="0.15">
      <c r="A1718" s="22"/>
      <c r="B1718" s="22"/>
      <c r="C1718" s="22"/>
      <c r="D1718" s="22"/>
      <c r="E1718" s="22"/>
      <c r="F1718" s="28"/>
      <c r="G1718" s="28"/>
      <c r="H1718" s="28"/>
      <c r="I1718" s="28"/>
      <c r="J1718" s="28"/>
      <c r="K1718" s="28"/>
      <c r="L1718" s="28"/>
      <c r="M1718" s="22"/>
      <c r="N1718" s="22"/>
      <c r="O1718" s="22"/>
      <c r="P1718" s="22"/>
      <c r="Q1718" s="22"/>
      <c r="R1718" s="28"/>
      <c r="S1718" s="28"/>
      <c r="T1718" s="28"/>
      <c r="U1718" s="28"/>
      <c r="V1718" s="22"/>
      <c r="W1718" s="22"/>
      <c r="X1718" s="22"/>
      <c r="Y1718" s="22"/>
      <c r="Z1718" s="22"/>
      <c r="AA1718" s="22"/>
      <c r="AB1718" s="22"/>
      <c r="AC1718" s="22"/>
      <c r="AD1718" s="22"/>
    </row>
    <row r="1719" spans="1:30" ht="15.75" customHeight="1" x14ac:dyDescent="0.15">
      <c r="A1719" s="22"/>
      <c r="B1719" s="22"/>
      <c r="C1719" s="22"/>
      <c r="D1719" s="22"/>
      <c r="E1719" s="22"/>
      <c r="F1719" s="28"/>
      <c r="G1719" s="28"/>
      <c r="H1719" s="28"/>
      <c r="I1719" s="28"/>
      <c r="J1719" s="28"/>
      <c r="K1719" s="28"/>
      <c r="L1719" s="28"/>
      <c r="M1719" s="22"/>
      <c r="N1719" s="22"/>
      <c r="O1719" s="22"/>
      <c r="P1719" s="22"/>
      <c r="Q1719" s="22"/>
      <c r="R1719" s="28"/>
      <c r="S1719" s="28"/>
      <c r="T1719" s="28"/>
      <c r="U1719" s="28"/>
      <c r="V1719" s="22"/>
      <c r="W1719" s="22"/>
      <c r="X1719" s="22"/>
      <c r="Y1719" s="22"/>
      <c r="Z1719" s="22"/>
      <c r="AA1719" s="22"/>
      <c r="AB1719" s="22"/>
      <c r="AC1719" s="22"/>
      <c r="AD1719" s="22"/>
    </row>
    <row r="1720" spans="1:30" ht="15.75" customHeight="1" x14ac:dyDescent="0.15">
      <c r="A1720" s="22"/>
      <c r="B1720" s="22"/>
      <c r="C1720" s="22"/>
      <c r="D1720" s="22"/>
      <c r="E1720" s="22"/>
      <c r="F1720" s="28"/>
      <c r="G1720" s="28"/>
      <c r="H1720" s="28"/>
      <c r="I1720" s="28"/>
      <c r="J1720" s="28"/>
      <c r="K1720" s="28"/>
      <c r="L1720" s="28"/>
      <c r="M1720" s="22"/>
      <c r="N1720" s="22"/>
      <c r="O1720" s="22"/>
      <c r="P1720" s="22"/>
      <c r="Q1720" s="22"/>
      <c r="R1720" s="28"/>
      <c r="S1720" s="28"/>
      <c r="T1720" s="28"/>
      <c r="U1720" s="28"/>
      <c r="V1720" s="22"/>
      <c r="W1720" s="22"/>
      <c r="X1720" s="22"/>
      <c r="Y1720" s="22"/>
      <c r="Z1720" s="22"/>
      <c r="AA1720" s="22"/>
      <c r="AB1720" s="22"/>
      <c r="AC1720" s="22"/>
      <c r="AD1720" s="22"/>
    </row>
    <row r="1721" spans="1:30" ht="15.75" customHeight="1" x14ac:dyDescent="0.15">
      <c r="A1721" s="22"/>
      <c r="B1721" s="22"/>
      <c r="C1721" s="22"/>
      <c r="D1721" s="22"/>
      <c r="E1721" s="22"/>
      <c r="F1721" s="28"/>
      <c r="G1721" s="28"/>
      <c r="H1721" s="28"/>
      <c r="I1721" s="28"/>
      <c r="J1721" s="28"/>
      <c r="K1721" s="28"/>
      <c r="L1721" s="28"/>
      <c r="M1721" s="22"/>
      <c r="N1721" s="22"/>
      <c r="O1721" s="22"/>
      <c r="P1721" s="22"/>
      <c r="Q1721" s="22"/>
      <c r="R1721" s="28"/>
      <c r="S1721" s="28"/>
      <c r="T1721" s="28"/>
      <c r="U1721" s="28"/>
      <c r="V1721" s="22"/>
      <c r="W1721" s="22"/>
      <c r="X1721" s="22"/>
      <c r="Y1721" s="22"/>
      <c r="Z1721" s="22"/>
      <c r="AA1721" s="22"/>
      <c r="AB1721" s="22"/>
      <c r="AC1721" s="22"/>
      <c r="AD1721" s="22"/>
    </row>
    <row r="1722" spans="1:30" ht="15.75" customHeight="1" x14ac:dyDescent="0.15">
      <c r="A1722" s="22"/>
      <c r="B1722" s="22"/>
      <c r="C1722" s="22"/>
      <c r="D1722" s="22"/>
      <c r="E1722" s="22"/>
      <c r="F1722" s="28"/>
      <c r="G1722" s="28"/>
      <c r="H1722" s="28"/>
      <c r="I1722" s="28"/>
      <c r="J1722" s="28"/>
      <c r="K1722" s="28"/>
      <c r="L1722" s="28"/>
      <c r="M1722" s="22"/>
      <c r="N1722" s="22"/>
      <c r="O1722" s="22"/>
      <c r="P1722" s="22"/>
      <c r="Q1722" s="22"/>
      <c r="R1722" s="28"/>
      <c r="S1722" s="28"/>
      <c r="T1722" s="28"/>
      <c r="U1722" s="28"/>
      <c r="V1722" s="22"/>
      <c r="W1722" s="22"/>
      <c r="X1722" s="22"/>
      <c r="Y1722" s="22"/>
      <c r="Z1722" s="22"/>
      <c r="AA1722" s="22"/>
      <c r="AB1722" s="22"/>
      <c r="AC1722" s="22"/>
      <c r="AD1722" s="22"/>
    </row>
    <row r="1723" spans="1:30" ht="15.75" customHeight="1" x14ac:dyDescent="0.15">
      <c r="A1723" s="22"/>
      <c r="B1723" s="22"/>
      <c r="C1723" s="22"/>
      <c r="D1723" s="22"/>
      <c r="E1723" s="22"/>
      <c r="F1723" s="28"/>
      <c r="G1723" s="28"/>
      <c r="H1723" s="28"/>
      <c r="I1723" s="28"/>
      <c r="J1723" s="28"/>
      <c r="K1723" s="28"/>
      <c r="L1723" s="28"/>
      <c r="M1723" s="22"/>
      <c r="N1723" s="22"/>
      <c r="O1723" s="22"/>
      <c r="P1723" s="22"/>
      <c r="Q1723" s="22"/>
      <c r="R1723" s="28"/>
      <c r="S1723" s="28"/>
      <c r="T1723" s="28"/>
      <c r="U1723" s="28"/>
      <c r="V1723" s="22"/>
      <c r="W1723" s="22"/>
      <c r="X1723" s="22"/>
      <c r="Y1723" s="22"/>
      <c r="Z1723" s="22"/>
      <c r="AA1723" s="22"/>
      <c r="AB1723" s="22"/>
      <c r="AC1723" s="22"/>
      <c r="AD1723" s="22"/>
    </row>
    <row r="1724" spans="1:30" ht="15.75" customHeight="1" x14ac:dyDescent="0.15">
      <c r="A1724" s="22"/>
      <c r="B1724" s="22"/>
      <c r="C1724" s="22"/>
      <c r="D1724" s="22"/>
      <c r="E1724" s="22"/>
      <c r="F1724" s="28"/>
      <c r="G1724" s="28"/>
      <c r="H1724" s="28"/>
      <c r="I1724" s="28"/>
      <c r="J1724" s="28"/>
      <c r="K1724" s="28"/>
      <c r="L1724" s="28"/>
      <c r="M1724" s="22"/>
      <c r="N1724" s="22"/>
      <c r="O1724" s="22"/>
      <c r="P1724" s="22"/>
      <c r="Q1724" s="22"/>
      <c r="R1724" s="28"/>
      <c r="S1724" s="28"/>
      <c r="T1724" s="28"/>
      <c r="U1724" s="28"/>
      <c r="V1724" s="22"/>
      <c r="W1724" s="22"/>
      <c r="X1724" s="22"/>
      <c r="Y1724" s="22"/>
      <c r="Z1724" s="22"/>
      <c r="AA1724" s="22"/>
      <c r="AB1724" s="22"/>
      <c r="AC1724" s="22"/>
      <c r="AD1724" s="22"/>
    </row>
    <row r="1725" spans="1:30" ht="15.75" customHeight="1" x14ac:dyDescent="0.15">
      <c r="A1725" s="22"/>
      <c r="B1725" s="22"/>
      <c r="C1725" s="22"/>
      <c r="D1725" s="22"/>
      <c r="E1725" s="22"/>
      <c r="F1725" s="28"/>
      <c r="G1725" s="28"/>
      <c r="H1725" s="28"/>
      <c r="I1725" s="28"/>
      <c r="J1725" s="28"/>
      <c r="K1725" s="28"/>
      <c r="L1725" s="28"/>
      <c r="M1725" s="22"/>
      <c r="N1725" s="22"/>
      <c r="O1725" s="22"/>
      <c r="P1725" s="22"/>
      <c r="Q1725" s="22"/>
      <c r="R1725" s="28"/>
      <c r="S1725" s="28"/>
      <c r="T1725" s="28"/>
      <c r="U1725" s="28"/>
      <c r="V1725" s="22"/>
      <c r="W1725" s="22"/>
      <c r="X1725" s="22"/>
      <c r="Y1725" s="22"/>
      <c r="Z1725" s="22"/>
      <c r="AA1725" s="22"/>
      <c r="AB1725" s="22"/>
      <c r="AC1725" s="22"/>
      <c r="AD1725" s="22"/>
    </row>
    <row r="1726" spans="1:30" ht="15.75" customHeight="1" x14ac:dyDescent="0.15">
      <c r="A1726" s="22"/>
      <c r="B1726" s="22"/>
      <c r="C1726" s="22"/>
      <c r="D1726" s="22"/>
      <c r="E1726" s="22"/>
      <c r="F1726" s="28"/>
      <c r="G1726" s="28"/>
      <c r="H1726" s="28"/>
      <c r="I1726" s="28"/>
      <c r="J1726" s="28"/>
      <c r="K1726" s="28"/>
      <c r="L1726" s="28"/>
      <c r="M1726" s="22"/>
      <c r="N1726" s="22"/>
      <c r="O1726" s="22"/>
      <c r="P1726" s="22"/>
      <c r="Q1726" s="22"/>
      <c r="R1726" s="28"/>
      <c r="S1726" s="28"/>
      <c r="T1726" s="28"/>
      <c r="U1726" s="28"/>
      <c r="V1726" s="22"/>
      <c r="W1726" s="22"/>
      <c r="X1726" s="22"/>
      <c r="Y1726" s="22"/>
      <c r="Z1726" s="22"/>
      <c r="AA1726" s="22"/>
      <c r="AB1726" s="22"/>
      <c r="AC1726" s="22"/>
      <c r="AD1726" s="22"/>
    </row>
    <row r="1727" spans="1:30" ht="15.75" customHeight="1" x14ac:dyDescent="0.15">
      <c r="A1727" s="22"/>
      <c r="B1727" s="22"/>
      <c r="C1727" s="22"/>
      <c r="D1727" s="22"/>
      <c r="E1727" s="22"/>
      <c r="F1727" s="28"/>
      <c r="G1727" s="28"/>
      <c r="H1727" s="28"/>
      <c r="I1727" s="28"/>
      <c r="J1727" s="28"/>
      <c r="K1727" s="28"/>
      <c r="L1727" s="28"/>
      <c r="M1727" s="22"/>
      <c r="N1727" s="22"/>
      <c r="O1727" s="22"/>
      <c r="P1727" s="22"/>
      <c r="Q1727" s="22"/>
      <c r="R1727" s="28"/>
      <c r="S1727" s="28"/>
      <c r="T1727" s="28"/>
      <c r="U1727" s="28"/>
      <c r="V1727" s="22"/>
      <c r="W1727" s="22"/>
      <c r="X1727" s="22"/>
      <c r="Y1727" s="22"/>
      <c r="Z1727" s="22"/>
      <c r="AA1727" s="22"/>
      <c r="AB1727" s="22"/>
      <c r="AC1727" s="22"/>
      <c r="AD1727" s="22"/>
    </row>
    <row r="1728" spans="1:30" ht="15.75" customHeight="1" x14ac:dyDescent="0.15">
      <c r="A1728" s="22"/>
      <c r="B1728" s="22"/>
      <c r="C1728" s="22"/>
      <c r="D1728" s="22"/>
      <c r="E1728" s="22"/>
      <c r="F1728" s="28"/>
      <c r="G1728" s="28"/>
      <c r="H1728" s="28"/>
      <c r="I1728" s="28"/>
      <c r="J1728" s="28"/>
      <c r="K1728" s="28"/>
      <c r="L1728" s="28"/>
      <c r="M1728" s="22"/>
      <c r="N1728" s="22"/>
      <c r="O1728" s="22"/>
      <c r="P1728" s="22"/>
      <c r="Q1728" s="22"/>
      <c r="R1728" s="28"/>
      <c r="S1728" s="28"/>
      <c r="T1728" s="28"/>
      <c r="U1728" s="28"/>
      <c r="V1728" s="22"/>
      <c r="W1728" s="22"/>
      <c r="X1728" s="22"/>
      <c r="Y1728" s="22"/>
      <c r="Z1728" s="22"/>
      <c r="AA1728" s="22"/>
      <c r="AB1728" s="22"/>
      <c r="AC1728" s="22"/>
      <c r="AD1728" s="22"/>
    </row>
    <row r="1729" spans="1:30" ht="15.75" customHeight="1" x14ac:dyDescent="0.15">
      <c r="A1729" s="22"/>
      <c r="B1729" s="22"/>
      <c r="C1729" s="22"/>
      <c r="D1729" s="22"/>
      <c r="E1729" s="22"/>
      <c r="F1729" s="28"/>
      <c r="G1729" s="28"/>
      <c r="H1729" s="28"/>
      <c r="I1729" s="28"/>
      <c r="J1729" s="28"/>
      <c r="K1729" s="28"/>
      <c r="L1729" s="28"/>
      <c r="M1729" s="22"/>
      <c r="N1729" s="22"/>
      <c r="O1729" s="22"/>
      <c r="P1729" s="22"/>
      <c r="Q1729" s="22"/>
      <c r="R1729" s="28"/>
      <c r="S1729" s="28"/>
      <c r="T1729" s="28"/>
      <c r="U1729" s="28"/>
      <c r="V1729" s="22"/>
      <c r="W1729" s="22"/>
      <c r="X1729" s="22"/>
      <c r="Y1729" s="22"/>
      <c r="Z1729" s="22"/>
      <c r="AA1729" s="22"/>
      <c r="AB1729" s="22"/>
      <c r="AC1729" s="22"/>
      <c r="AD1729" s="22"/>
    </row>
    <row r="1730" spans="1:30" ht="15.75" customHeight="1" x14ac:dyDescent="0.15">
      <c r="A1730" s="22"/>
      <c r="B1730" s="22"/>
      <c r="C1730" s="22"/>
      <c r="D1730" s="22"/>
      <c r="E1730" s="22"/>
      <c r="F1730" s="28"/>
      <c r="G1730" s="28"/>
      <c r="H1730" s="28"/>
      <c r="I1730" s="28"/>
      <c r="J1730" s="28"/>
      <c r="K1730" s="28"/>
      <c r="L1730" s="28"/>
      <c r="M1730" s="22"/>
      <c r="N1730" s="22"/>
      <c r="O1730" s="22"/>
      <c r="P1730" s="22"/>
      <c r="Q1730" s="22"/>
      <c r="R1730" s="28"/>
      <c r="S1730" s="28"/>
      <c r="T1730" s="28"/>
      <c r="U1730" s="28"/>
      <c r="V1730" s="22"/>
      <c r="W1730" s="22"/>
      <c r="X1730" s="22"/>
      <c r="Y1730" s="22"/>
      <c r="Z1730" s="22"/>
      <c r="AA1730" s="22"/>
      <c r="AB1730" s="22"/>
      <c r="AC1730" s="22"/>
      <c r="AD1730" s="22"/>
    </row>
    <row r="1731" spans="1:30" ht="15.75" customHeight="1" x14ac:dyDescent="0.15">
      <c r="A1731" s="22"/>
      <c r="B1731" s="22"/>
      <c r="C1731" s="22"/>
      <c r="D1731" s="22"/>
      <c r="E1731" s="22"/>
      <c r="F1731" s="28"/>
      <c r="G1731" s="28"/>
      <c r="H1731" s="28"/>
      <c r="I1731" s="28"/>
      <c r="J1731" s="28"/>
      <c r="K1731" s="28"/>
      <c r="L1731" s="28"/>
      <c r="M1731" s="22"/>
      <c r="N1731" s="22"/>
      <c r="O1731" s="22"/>
      <c r="P1731" s="22"/>
      <c r="Q1731" s="22"/>
      <c r="R1731" s="28"/>
      <c r="S1731" s="28"/>
      <c r="T1731" s="28"/>
      <c r="U1731" s="28"/>
      <c r="V1731" s="22"/>
      <c r="W1731" s="22"/>
      <c r="X1731" s="22"/>
      <c r="Y1731" s="22"/>
      <c r="Z1731" s="22"/>
      <c r="AA1731" s="22"/>
      <c r="AB1731" s="22"/>
      <c r="AC1731" s="22"/>
      <c r="AD1731" s="22"/>
    </row>
    <row r="1732" spans="1:30" ht="15.75" customHeight="1" x14ac:dyDescent="0.15">
      <c r="A1732" s="22"/>
      <c r="B1732" s="22"/>
      <c r="C1732" s="22"/>
      <c r="D1732" s="22"/>
      <c r="E1732" s="22"/>
      <c r="F1732" s="28"/>
      <c r="G1732" s="28"/>
      <c r="H1732" s="28"/>
      <c r="I1732" s="28"/>
      <c r="J1732" s="28"/>
      <c r="K1732" s="28"/>
      <c r="L1732" s="28"/>
      <c r="M1732" s="22"/>
      <c r="N1732" s="22"/>
      <c r="O1732" s="22"/>
      <c r="P1732" s="22"/>
      <c r="Q1732" s="22"/>
      <c r="R1732" s="28"/>
      <c r="S1732" s="28"/>
      <c r="T1732" s="28"/>
      <c r="U1732" s="28"/>
      <c r="V1732" s="22"/>
      <c r="W1732" s="22"/>
      <c r="X1732" s="22"/>
      <c r="Y1732" s="22"/>
      <c r="Z1732" s="22"/>
      <c r="AA1732" s="22"/>
      <c r="AB1732" s="22"/>
      <c r="AC1732" s="22"/>
      <c r="AD1732" s="22"/>
    </row>
    <row r="1733" spans="1:30" ht="15.75" customHeight="1" x14ac:dyDescent="0.15">
      <c r="A1733" s="22"/>
      <c r="B1733" s="22"/>
      <c r="C1733" s="22"/>
      <c r="D1733" s="22"/>
      <c r="E1733" s="22"/>
      <c r="F1733" s="28"/>
      <c r="G1733" s="28"/>
      <c r="H1733" s="28"/>
      <c r="I1733" s="28"/>
      <c r="J1733" s="28"/>
      <c r="K1733" s="28"/>
      <c r="L1733" s="28"/>
      <c r="M1733" s="22"/>
      <c r="N1733" s="22"/>
      <c r="O1733" s="22"/>
      <c r="P1733" s="22"/>
      <c r="Q1733" s="22"/>
      <c r="R1733" s="28"/>
      <c r="S1733" s="28"/>
      <c r="T1733" s="28"/>
      <c r="U1733" s="28"/>
      <c r="V1733" s="22"/>
      <c r="W1733" s="22"/>
      <c r="X1733" s="22"/>
      <c r="Y1733" s="22"/>
      <c r="Z1733" s="22"/>
      <c r="AA1733" s="22"/>
      <c r="AB1733" s="22"/>
      <c r="AC1733" s="22"/>
      <c r="AD1733" s="22"/>
    </row>
    <row r="1734" spans="1:30" ht="15.75" customHeight="1" x14ac:dyDescent="0.15">
      <c r="A1734" s="22"/>
      <c r="B1734" s="22"/>
      <c r="C1734" s="22"/>
      <c r="D1734" s="22"/>
      <c r="E1734" s="22"/>
      <c r="F1734" s="28"/>
      <c r="G1734" s="28"/>
      <c r="H1734" s="28"/>
      <c r="I1734" s="28"/>
      <c r="J1734" s="28"/>
      <c r="K1734" s="28"/>
      <c r="L1734" s="28"/>
      <c r="M1734" s="22"/>
      <c r="N1734" s="22"/>
      <c r="O1734" s="22"/>
      <c r="P1734" s="22"/>
      <c r="Q1734" s="22"/>
      <c r="R1734" s="28"/>
      <c r="S1734" s="28"/>
      <c r="T1734" s="28"/>
      <c r="U1734" s="28"/>
      <c r="V1734" s="22"/>
      <c r="W1734" s="22"/>
      <c r="X1734" s="22"/>
      <c r="Y1734" s="22"/>
      <c r="Z1734" s="22"/>
      <c r="AA1734" s="22"/>
      <c r="AB1734" s="22"/>
      <c r="AC1734" s="22"/>
      <c r="AD1734" s="22"/>
    </row>
    <row r="1735" spans="1:30" ht="15.75" customHeight="1" x14ac:dyDescent="0.15">
      <c r="A1735" s="22"/>
      <c r="B1735" s="22"/>
      <c r="C1735" s="22"/>
      <c r="D1735" s="22"/>
      <c r="E1735" s="22"/>
      <c r="F1735" s="28"/>
      <c r="G1735" s="28"/>
      <c r="H1735" s="28"/>
      <c r="I1735" s="28"/>
      <c r="J1735" s="28"/>
      <c r="K1735" s="28"/>
      <c r="L1735" s="28"/>
      <c r="M1735" s="22"/>
      <c r="N1735" s="22"/>
      <c r="O1735" s="22"/>
      <c r="P1735" s="22"/>
      <c r="Q1735" s="22"/>
      <c r="R1735" s="28"/>
      <c r="S1735" s="28"/>
      <c r="T1735" s="28"/>
      <c r="U1735" s="28"/>
      <c r="V1735" s="22"/>
      <c r="W1735" s="22"/>
      <c r="X1735" s="22"/>
      <c r="Y1735" s="22"/>
      <c r="Z1735" s="22"/>
      <c r="AA1735" s="22"/>
      <c r="AB1735" s="22"/>
      <c r="AC1735" s="22"/>
      <c r="AD1735" s="22"/>
    </row>
    <row r="1736" spans="1:30" ht="15.75" customHeight="1" x14ac:dyDescent="0.15">
      <c r="A1736" s="22"/>
      <c r="B1736" s="22"/>
      <c r="C1736" s="22"/>
      <c r="D1736" s="22"/>
      <c r="E1736" s="22"/>
      <c r="F1736" s="28"/>
      <c r="G1736" s="28"/>
      <c r="H1736" s="28"/>
      <c r="I1736" s="28"/>
      <c r="J1736" s="28"/>
      <c r="K1736" s="28"/>
      <c r="L1736" s="28"/>
      <c r="M1736" s="22"/>
      <c r="N1736" s="22"/>
      <c r="O1736" s="22"/>
      <c r="P1736" s="22"/>
      <c r="Q1736" s="22"/>
      <c r="R1736" s="28"/>
      <c r="S1736" s="28"/>
      <c r="T1736" s="28"/>
      <c r="U1736" s="28"/>
      <c r="V1736" s="22"/>
      <c r="W1736" s="22"/>
      <c r="X1736" s="22"/>
      <c r="Y1736" s="22"/>
      <c r="Z1736" s="22"/>
      <c r="AA1736" s="22"/>
      <c r="AB1736" s="22"/>
      <c r="AC1736" s="22"/>
      <c r="AD1736" s="22"/>
    </row>
    <row r="1737" spans="1:30" ht="15.75" customHeight="1" x14ac:dyDescent="0.15">
      <c r="A1737" s="22"/>
      <c r="B1737" s="22"/>
      <c r="C1737" s="22"/>
      <c r="D1737" s="22"/>
      <c r="E1737" s="22"/>
      <c r="F1737" s="28"/>
      <c r="G1737" s="28"/>
      <c r="H1737" s="28"/>
      <c r="I1737" s="28"/>
      <c r="J1737" s="28"/>
      <c r="K1737" s="28"/>
      <c r="L1737" s="28"/>
      <c r="M1737" s="22"/>
      <c r="N1737" s="22"/>
      <c r="O1737" s="22"/>
      <c r="P1737" s="22"/>
      <c r="Q1737" s="22"/>
      <c r="R1737" s="28"/>
      <c r="S1737" s="28"/>
      <c r="T1737" s="28"/>
      <c r="U1737" s="28"/>
      <c r="V1737" s="22"/>
      <c r="W1737" s="22"/>
      <c r="X1737" s="22"/>
      <c r="Y1737" s="22"/>
      <c r="Z1737" s="22"/>
      <c r="AA1737" s="22"/>
      <c r="AB1737" s="22"/>
      <c r="AC1737" s="22"/>
      <c r="AD1737" s="22"/>
    </row>
    <row r="1738" spans="1:30" ht="15.75" customHeight="1" x14ac:dyDescent="0.15">
      <c r="A1738" s="22"/>
      <c r="B1738" s="22"/>
      <c r="C1738" s="22"/>
      <c r="D1738" s="22"/>
      <c r="E1738" s="22"/>
      <c r="F1738" s="28"/>
      <c r="G1738" s="28"/>
      <c r="H1738" s="28"/>
      <c r="I1738" s="28"/>
      <c r="J1738" s="28"/>
      <c r="K1738" s="28"/>
      <c r="L1738" s="28"/>
      <c r="M1738" s="22"/>
      <c r="N1738" s="22"/>
      <c r="O1738" s="22"/>
      <c r="P1738" s="22"/>
      <c r="Q1738" s="22"/>
      <c r="R1738" s="28"/>
      <c r="S1738" s="28"/>
      <c r="T1738" s="28"/>
      <c r="U1738" s="28"/>
      <c r="V1738" s="22"/>
      <c r="W1738" s="22"/>
      <c r="X1738" s="22"/>
      <c r="Y1738" s="22"/>
      <c r="Z1738" s="22"/>
      <c r="AA1738" s="22"/>
      <c r="AB1738" s="22"/>
      <c r="AC1738" s="22"/>
      <c r="AD1738" s="22"/>
    </row>
    <row r="1739" spans="1:30" ht="15.75" customHeight="1" x14ac:dyDescent="0.15">
      <c r="A1739" s="22"/>
      <c r="B1739" s="22"/>
      <c r="C1739" s="22"/>
      <c r="D1739" s="22"/>
      <c r="E1739" s="22"/>
      <c r="F1739" s="28"/>
      <c r="G1739" s="28"/>
      <c r="H1739" s="28"/>
      <c r="I1739" s="28"/>
      <c r="J1739" s="28"/>
      <c r="K1739" s="28"/>
      <c r="L1739" s="28"/>
      <c r="M1739" s="22"/>
      <c r="N1739" s="22"/>
      <c r="O1739" s="22"/>
      <c r="P1739" s="22"/>
      <c r="Q1739" s="22"/>
      <c r="R1739" s="28"/>
      <c r="S1739" s="28"/>
      <c r="T1739" s="28"/>
      <c r="U1739" s="28"/>
      <c r="V1739" s="22"/>
      <c r="W1739" s="22"/>
      <c r="X1739" s="22"/>
      <c r="Y1739" s="22"/>
      <c r="Z1739" s="22"/>
      <c r="AA1739" s="22"/>
      <c r="AB1739" s="22"/>
      <c r="AC1739" s="22"/>
      <c r="AD1739" s="22"/>
    </row>
    <row r="1740" spans="1:30" ht="15.75" customHeight="1" x14ac:dyDescent="0.15">
      <c r="A1740" s="22"/>
      <c r="B1740" s="22"/>
      <c r="C1740" s="22"/>
      <c r="D1740" s="22"/>
      <c r="E1740" s="22"/>
      <c r="F1740" s="28"/>
      <c r="G1740" s="28"/>
      <c r="H1740" s="28"/>
      <c r="I1740" s="28"/>
      <c r="J1740" s="28"/>
      <c r="K1740" s="28"/>
      <c r="L1740" s="28"/>
      <c r="M1740" s="22"/>
      <c r="N1740" s="22"/>
      <c r="O1740" s="22"/>
      <c r="P1740" s="22"/>
      <c r="Q1740" s="22"/>
      <c r="R1740" s="28"/>
      <c r="S1740" s="28"/>
      <c r="T1740" s="28"/>
      <c r="U1740" s="28"/>
      <c r="V1740" s="22"/>
      <c r="W1740" s="22"/>
      <c r="X1740" s="22"/>
      <c r="Y1740" s="22"/>
      <c r="Z1740" s="22"/>
      <c r="AA1740" s="22"/>
      <c r="AB1740" s="22"/>
      <c r="AC1740" s="22"/>
      <c r="AD1740" s="22"/>
    </row>
    <row r="1741" spans="1:30" ht="15.75" customHeight="1" x14ac:dyDescent="0.15">
      <c r="A1741" s="22"/>
      <c r="B1741" s="22"/>
      <c r="C1741" s="22"/>
      <c r="D1741" s="22"/>
      <c r="E1741" s="22"/>
      <c r="F1741" s="28"/>
      <c r="G1741" s="28"/>
      <c r="H1741" s="28"/>
      <c r="I1741" s="28"/>
      <c r="J1741" s="28"/>
      <c r="K1741" s="28"/>
      <c r="L1741" s="28"/>
      <c r="M1741" s="22"/>
      <c r="N1741" s="22"/>
      <c r="O1741" s="22"/>
      <c r="P1741" s="22"/>
      <c r="Q1741" s="22"/>
      <c r="R1741" s="28"/>
      <c r="S1741" s="28"/>
      <c r="T1741" s="28"/>
      <c r="U1741" s="28"/>
      <c r="V1741" s="22"/>
      <c r="W1741" s="22"/>
      <c r="X1741" s="22"/>
      <c r="Y1741" s="22"/>
      <c r="Z1741" s="22"/>
      <c r="AA1741" s="22"/>
      <c r="AB1741" s="22"/>
      <c r="AC1741" s="22"/>
      <c r="AD1741" s="22"/>
    </row>
    <row r="1742" spans="1:30" ht="15.75" customHeight="1" x14ac:dyDescent="0.15">
      <c r="A1742" s="22"/>
      <c r="B1742" s="22"/>
      <c r="C1742" s="22"/>
      <c r="D1742" s="22"/>
      <c r="E1742" s="22"/>
      <c r="F1742" s="28"/>
      <c r="G1742" s="28"/>
      <c r="H1742" s="28"/>
      <c r="I1742" s="28"/>
      <c r="J1742" s="28"/>
      <c r="K1742" s="28"/>
      <c r="L1742" s="28"/>
      <c r="M1742" s="22"/>
      <c r="N1742" s="22"/>
      <c r="O1742" s="22"/>
      <c r="P1742" s="22"/>
      <c r="Q1742" s="22"/>
      <c r="R1742" s="28"/>
      <c r="S1742" s="28"/>
      <c r="T1742" s="28"/>
      <c r="U1742" s="28"/>
      <c r="V1742" s="22"/>
      <c r="W1742" s="22"/>
      <c r="X1742" s="22"/>
      <c r="Y1742" s="22"/>
      <c r="Z1742" s="22"/>
      <c r="AA1742" s="22"/>
      <c r="AB1742" s="22"/>
      <c r="AC1742" s="22"/>
      <c r="AD1742" s="22"/>
    </row>
    <row r="1743" spans="1:30" ht="15.75" customHeight="1" x14ac:dyDescent="0.15">
      <c r="A1743" s="22"/>
      <c r="B1743" s="22"/>
      <c r="C1743" s="22"/>
      <c r="D1743" s="22"/>
      <c r="E1743" s="22"/>
      <c r="F1743" s="28"/>
      <c r="G1743" s="28"/>
      <c r="H1743" s="28"/>
      <c r="I1743" s="28"/>
      <c r="J1743" s="28"/>
      <c r="K1743" s="28"/>
      <c r="L1743" s="28"/>
      <c r="M1743" s="22"/>
      <c r="N1743" s="22"/>
      <c r="O1743" s="22"/>
      <c r="P1743" s="22"/>
      <c r="Q1743" s="22"/>
      <c r="R1743" s="28"/>
      <c r="S1743" s="28"/>
      <c r="T1743" s="28"/>
      <c r="U1743" s="28"/>
      <c r="V1743" s="22"/>
      <c r="W1743" s="22"/>
      <c r="X1743" s="22"/>
      <c r="Y1743" s="22"/>
      <c r="Z1743" s="22"/>
      <c r="AA1743" s="22"/>
      <c r="AB1743" s="22"/>
      <c r="AC1743" s="22"/>
      <c r="AD1743" s="22"/>
    </row>
    <row r="1744" spans="1:30" ht="15.75" customHeight="1" x14ac:dyDescent="0.15">
      <c r="A1744" s="22"/>
      <c r="B1744" s="22"/>
      <c r="C1744" s="22"/>
      <c r="D1744" s="22"/>
      <c r="E1744" s="22"/>
      <c r="F1744" s="28"/>
      <c r="G1744" s="28"/>
      <c r="H1744" s="28"/>
      <c r="I1744" s="28"/>
      <c r="J1744" s="28"/>
      <c r="K1744" s="28"/>
      <c r="L1744" s="28"/>
      <c r="M1744" s="22"/>
      <c r="N1744" s="22"/>
      <c r="O1744" s="22"/>
      <c r="P1744" s="22"/>
      <c r="Q1744" s="22"/>
      <c r="R1744" s="28"/>
      <c r="S1744" s="28"/>
      <c r="T1744" s="28"/>
      <c r="U1744" s="28"/>
      <c r="V1744" s="22"/>
      <c r="W1744" s="22"/>
      <c r="X1744" s="22"/>
      <c r="Y1744" s="22"/>
      <c r="Z1744" s="22"/>
      <c r="AA1744" s="22"/>
      <c r="AB1744" s="22"/>
      <c r="AC1744" s="22"/>
      <c r="AD1744" s="22"/>
    </row>
    <row r="1745" spans="1:30" ht="15.75" customHeight="1" x14ac:dyDescent="0.15">
      <c r="A1745" s="22"/>
      <c r="B1745" s="22"/>
      <c r="C1745" s="22"/>
      <c r="D1745" s="22"/>
      <c r="E1745" s="22"/>
      <c r="F1745" s="28"/>
      <c r="G1745" s="28"/>
      <c r="H1745" s="28"/>
      <c r="I1745" s="28"/>
      <c r="J1745" s="28"/>
      <c r="K1745" s="28"/>
      <c r="L1745" s="28"/>
      <c r="M1745" s="22"/>
      <c r="N1745" s="22"/>
      <c r="O1745" s="22"/>
      <c r="P1745" s="22"/>
      <c r="Q1745" s="22"/>
      <c r="R1745" s="28"/>
      <c r="S1745" s="28"/>
      <c r="T1745" s="28"/>
      <c r="U1745" s="28"/>
      <c r="V1745" s="22"/>
      <c r="W1745" s="22"/>
      <c r="X1745" s="22"/>
      <c r="Y1745" s="22"/>
      <c r="Z1745" s="22"/>
      <c r="AA1745" s="22"/>
      <c r="AB1745" s="22"/>
      <c r="AC1745" s="22"/>
      <c r="AD1745" s="22"/>
    </row>
    <row r="1746" spans="1:30" ht="15.75" customHeight="1" x14ac:dyDescent="0.15">
      <c r="A1746" s="22"/>
      <c r="B1746" s="22"/>
      <c r="C1746" s="22"/>
      <c r="D1746" s="22"/>
      <c r="E1746" s="22"/>
      <c r="F1746" s="28"/>
      <c r="G1746" s="28"/>
      <c r="H1746" s="28"/>
      <c r="I1746" s="28"/>
      <c r="J1746" s="28"/>
      <c r="K1746" s="28"/>
      <c r="L1746" s="28"/>
      <c r="M1746" s="22"/>
      <c r="N1746" s="22"/>
      <c r="O1746" s="22"/>
      <c r="P1746" s="22"/>
      <c r="Q1746" s="22"/>
      <c r="R1746" s="28"/>
      <c r="S1746" s="28"/>
      <c r="T1746" s="28"/>
      <c r="U1746" s="28"/>
      <c r="V1746" s="22"/>
      <c r="W1746" s="22"/>
      <c r="X1746" s="22"/>
      <c r="Y1746" s="22"/>
      <c r="Z1746" s="22"/>
      <c r="AA1746" s="22"/>
      <c r="AB1746" s="22"/>
      <c r="AC1746" s="22"/>
      <c r="AD1746" s="22"/>
    </row>
    <row r="1747" spans="1:30" ht="15.75" customHeight="1" x14ac:dyDescent="0.15">
      <c r="A1747" s="22"/>
      <c r="B1747" s="22"/>
      <c r="C1747" s="22"/>
      <c r="D1747" s="22"/>
      <c r="E1747" s="22"/>
      <c r="F1747" s="28"/>
      <c r="G1747" s="28"/>
      <c r="H1747" s="28"/>
      <c r="I1747" s="28"/>
      <c r="J1747" s="28"/>
      <c r="K1747" s="28"/>
      <c r="L1747" s="28"/>
      <c r="M1747" s="22"/>
      <c r="N1747" s="22"/>
      <c r="O1747" s="22"/>
      <c r="P1747" s="22"/>
      <c r="Q1747" s="22"/>
      <c r="R1747" s="28"/>
      <c r="S1747" s="28"/>
      <c r="T1747" s="28"/>
      <c r="U1747" s="28"/>
      <c r="V1747" s="22"/>
      <c r="W1747" s="22"/>
      <c r="X1747" s="22"/>
      <c r="Y1747" s="22"/>
      <c r="Z1747" s="22"/>
      <c r="AA1747" s="22"/>
      <c r="AB1747" s="22"/>
      <c r="AC1747" s="22"/>
      <c r="AD1747" s="22"/>
    </row>
    <row r="1748" spans="1:30" ht="15.75" customHeight="1" x14ac:dyDescent="0.15">
      <c r="A1748" s="22"/>
      <c r="B1748" s="22"/>
      <c r="C1748" s="22"/>
      <c r="D1748" s="22"/>
      <c r="E1748" s="22"/>
      <c r="F1748" s="28"/>
      <c r="G1748" s="28"/>
      <c r="H1748" s="28"/>
      <c r="I1748" s="28"/>
      <c r="J1748" s="28"/>
      <c r="K1748" s="28"/>
      <c r="L1748" s="28"/>
      <c r="M1748" s="22"/>
      <c r="N1748" s="22"/>
      <c r="O1748" s="22"/>
      <c r="P1748" s="22"/>
      <c r="Q1748" s="22"/>
      <c r="R1748" s="28"/>
      <c r="S1748" s="28"/>
      <c r="T1748" s="28"/>
      <c r="U1748" s="28"/>
      <c r="V1748" s="22"/>
      <c r="W1748" s="22"/>
      <c r="X1748" s="22"/>
      <c r="Y1748" s="22"/>
      <c r="Z1748" s="22"/>
      <c r="AA1748" s="22"/>
      <c r="AB1748" s="22"/>
      <c r="AC1748" s="22"/>
      <c r="AD1748" s="22"/>
    </row>
    <row r="1749" spans="1:30" ht="15.75" customHeight="1" x14ac:dyDescent="0.15">
      <c r="A1749" s="22"/>
      <c r="B1749" s="22"/>
      <c r="C1749" s="22"/>
      <c r="D1749" s="22"/>
      <c r="E1749" s="22"/>
      <c r="F1749" s="28"/>
      <c r="G1749" s="28"/>
      <c r="H1749" s="28"/>
      <c r="I1749" s="28"/>
      <c r="J1749" s="28"/>
      <c r="K1749" s="28"/>
      <c r="L1749" s="28"/>
      <c r="M1749" s="22"/>
      <c r="N1749" s="22"/>
      <c r="O1749" s="22"/>
      <c r="P1749" s="22"/>
      <c r="Q1749" s="22"/>
      <c r="R1749" s="28"/>
      <c r="S1749" s="28"/>
      <c r="T1749" s="28"/>
      <c r="U1749" s="28"/>
      <c r="V1749" s="22"/>
      <c r="W1749" s="22"/>
      <c r="X1749" s="22"/>
      <c r="Y1749" s="22"/>
      <c r="Z1749" s="22"/>
      <c r="AA1749" s="22"/>
      <c r="AB1749" s="22"/>
      <c r="AC1749" s="22"/>
      <c r="AD1749" s="22"/>
    </row>
    <row r="1750" spans="1:30" ht="15.75" customHeight="1" x14ac:dyDescent="0.15">
      <c r="A1750" s="22"/>
      <c r="B1750" s="22"/>
      <c r="C1750" s="22"/>
      <c r="D1750" s="22"/>
      <c r="E1750" s="22"/>
      <c r="F1750" s="28"/>
      <c r="G1750" s="28"/>
      <c r="H1750" s="28"/>
      <c r="I1750" s="28"/>
      <c r="J1750" s="28"/>
      <c r="K1750" s="28"/>
      <c r="L1750" s="28"/>
      <c r="M1750" s="22"/>
      <c r="N1750" s="22"/>
      <c r="O1750" s="22"/>
      <c r="P1750" s="22"/>
      <c r="Q1750" s="22"/>
      <c r="R1750" s="28"/>
      <c r="S1750" s="28"/>
      <c r="T1750" s="28"/>
      <c r="U1750" s="28"/>
      <c r="V1750" s="22"/>
      <c r="W1750" s="22"/>
      <c r="X1750" s="22"/>
      <c r="Y1750" s="22"/>
      <c r="Z1750" s="22"/>
      <c r="AA1750" s="22"/>
      <c r="AB1750" s="22"/>
      <c r="AC1750" s="22"/>
      <c r="AD1750" s="22"/>
    </row>
    <row r="1751" spans="1:30" ht="15.75" customHeight="1" x14ac:dyDescent="0.15">
      <c r="A1751" s="22"/>
      <c r="B1751" s="22"/>
      <c r="C1751" s="22"/>
      <c r="D1751" s="22"/>
      <c r="E1751" s="22"/>
      <c r="F1751" s="28"/>
      <c r="G1751" s="28"/>
      <c r="H1751" s="28"/>
      <c r="I1751" s="28"/>
      <c r="J1751" s="28"/>
      <c r="K1751" s="28"/>
      <c r="L1751" s="28"/>
      <c r="M1751" s="22"/>
      <c r="N1751" s="22"/>
      <c r="O1751" s="22"/>
      <c r="P1751" s="22"/>
      <c r="Q1751" s="22"/>
      <c r="R1751" s="28"/>
      <c r="S1751" s="28"/>
      <c r="T1751" s="28"/>
      <c r="U1751" s="28"/>
      <c r="V1751" s="22"/>
      <c r="W1751" s="22"/>
      <c r="X1751" s="22"/>
      <c r="Y1751" s="22"/>
      <c r="Z1751" s="22"/>
      <c r="AA1751" s="22"/>
      <c r="AB1751" s="22"/>
      <c r="AC1751" s="22"/>
      <c r="AD1751" s="22"/>
    </row>
    <row r="1752" spans="1:30" ht="15.75" customHeight="1" x14ac:dyDescent="0.15">
      <c r="A1752" s="22"/>
      <c r="B1752" s="22"/>
      <c r="C1752" s="22"/>
      <c r="D1752" s="22"/>
      <c r="E1752" s="22"/>
      <c r="F1752" s="28"/>
      <c r="G1752" s="28"/>
      <c r="H1752" s="28"/>
      <c r="I1752" s="28"/>
      <c r="J1752" s="28"/>
      <c r="K1752" s="28"/>
      <c r="L1752" s="28"/>
      <c r="M1752" s="22"/>
      <c r="N1752" s="22"/>
      <c r="O1752" s="22"/>
      <c r="P1752" s="22"/>
      <c r="Q1752" s="22"/>
      <c r="R1752" s="28"/>
      <c r="S1752" s="28"/>
      <c r="T1752" s="28"/>
      <c r="U1752" s="28"/>
      <c r="V1752" s="22"/>
      <c r="W1752" s="22"/>
      <c r="X1752" s="22"/>
      <c r="Y1752" s="22"/>
      <c r="Z1752" s="22"/>
      <c r="AA1752" s="22"/>
      <c r="AB1752" s="22"/>
      <c r="AC1752" s="22"/>
      <c r="AD1752" s="22"/>
    </row>
    <row r="1753" spans="1:30" ht="15.75" customHeight="1" x14ac:dyDescent="0.15">
      <c r="A1753" s="22"/>
      <c r="B1753" s="22"/>
      <c r="C1753" s="22"/>
      <c r="D1753" s="22"/>
      <c r="E1753" s="22"/>
      <c r="F1753" s="28"/>
      <c r="G1753" s="28"/>
      <c r="H1753" s="28"/>
      <c r="I1753" s="28"/>
      <c r="J1753" s="28"/>
      <c r="K1753" s="28"/>
      <c r="L1753" s="28"/>
      <c r="M1753" s="22"/>
      <c r="N1753" s="22"/>
      <c r="O1753" s="22"/>
      <c r="P1753" s="22"/>
      <c r="Q1753" s="22"/>
      <c r="R1753" s="28"/>
      <c r="S1753" s="28"/>
      <c r="T1753" s="28"/>
      <c r="U1753" s="28"/>
      <c r="V1753" s="22"/>
      <c r="W1753" s="22"/>
      <c r="X1753" s="22"/>
      <c r="Y1753" s="22"/>
      <c r="Z1753" s="22"/>
      <c r="AA1753" s="22"/>
      <c r="AB1753" s="22"/>
      <c r="AC1753" s="22"/>
      <c r="AD1753" s="22"/>
    </row>
    <row r="1754" spans="1:30" ht="15.75" customHeight="1" x14ac:dyDescent="0.15">
      <c r="A1754" s="22"/>
      <c r="B1754" s="22"/>
      <c r="C1754" s="22"/>
      <c r="D1754" s="22"/>
      <c r="E1754" s="22"/>
      <c r="F1754" s="28"/>
      <c r="G1754" s="28"/>
      <c r="H1754" s="28"/>
      <c r="I1754" s="28"/>
      <c r="J1754" s="28"/>
      <c r="K1754" s="28"/>
      <c r="L1754" s="28"/>
      <c r="M1754" s="22"/>
      <c r="N1754" s="22"/>
      <c r="O1754" s="22"/>
      <c r="P1754" s="22"/>
      <c r="Q1754" s="22"/>
      <c r="R1754" s="28"/>
      <c r="S1754" s="28"/>
      <c r="T1754" s="28"/>
      <c r="U1754" s="28"/>
      <c r="V1754" s="22"/>
      <c r="W1754" s="22"/>
      <c r="X1754" s="22"/>
      <c r="Y1754" s="22"/>
      <c r="Z1754" s="22"/>
      <c r="AA1754" s="22"/>
      <c r="AB1754" s="22"/>
      <c r="AC1754" s="22"/>
      <c r="AD1754" s="22"/>
    </row>
    <row r="1755" spans="1:30" ht="15.75" customHeight="1" x14ac:dyDescent="0.15">
      <c r="A1755" s="22"/>
      <c r="B1755" s="22"/>
      <c r="C1755" s="22"/>
      <c r="D1755" s="22"/>
      <c r="E1755" s="22"/>
      <c r="F1755" s="28"/>
      <c r="G1755" s="28"/>
      <c r="H1755" s="28"/>
      <c r="I1755" s="28"/>
      <c r="J1755" s="28"/>
      <c r="K1755" s="28"/>
      <c r="L1755" s="28"/>
      <c r="M1755" s="22"/>
      <c r="N1755" s="22"/>
      <c r="O1755" s="22"/>
      <c r="P1755" s="22"/>
      <c r="Q1755" s="22"/>
      <c r="R1755" s="28"/>
      <c r="S1755" s="28"/>
      <c r="T1755" s="28"/>
      <c r="U1755" s="28"/>
      <c r="V1755" s="22"/>
      <c r="W1755" s="22"/>
      <c r="X1755" s="22"/>
      <c r="Y1755" s="22"/>
      <c r="Z1755" s="22"/>
      <c r="AA1755" s="22"/>
      <c r="AB1755" s="22"/>
      <c r="AC1755" s="22"/>
      <c r="AD1755" s="22"/>
    </row>
    <row r="1756" spans="1:30" ht="15.75" customHeight="1" x14ac:dyDescent="0.15">
      <c r="A1756" s="22"/>
      <c r="B1756" s="22"/>
      <c r="C1756" s="22"/>
      <c r="D1756" s="22"/>
      <c r="E1756" s="22"/>
      <c r="F1756" s="28"/>
      <c r="G1756" s="28"/>
      <c r="H1756" s="28"/>
      <c r="I1756" s="28"/>
      <c r="J1756" s="28"/>
      <c r="K1756" s="28"/>
      <c r="L1756" s="28"/>
      <c r="M1756" s="22"/>
      <c r="N1756" s="22"/>
      <c r="O1756" s="22"/>
      <c r="P1756" s="22"/>
      <c r="Q1756" s="22"/>
      <c r="R1756" s="28"/>
      <c r="S1756" s="28"/>
      <c r="T1756" s="28"/>
      <c r="U1756" s="28"/>
      <c r="V1756" s="22"/>
      <c r="W1756" s="22"/>
      <c r="X1756" s="22"/>
      <c r="Y1756" s="22"/>
      <c r="Z1756" s="22"/>
      <c r="AA1756" s="22"/>
      <c r="AB1756" s="22"/>
      <c r="AC1756" s="22"/>
      <c r="AD1756" s="22"/>
    </row>
    <row r="1757" spans="1:30" ht="15.75" customHeight="1" x14ac:dyDescent="0.15">
      <c r="A1757" s="22"/>
      <c r="B1757" s="22"/>
      <c r="C1757" s="22"/>
      <c r="D1757" s="22"/>
      <c r="E1757" s="22"/>
      <c r="F1757" s="28"/>
      <c r="G1757" s="28"/>
      <c r="H1757" s="28"/>
      <c r="I1757" s="28"/>
      <c r="J1757" s="28"/>
      <c r="K1757" s="28"/>
      <c r="L1757" s="28"/>
      <c r="M1757" s="22"/>
      <c r="N1757" s="22"/>
      <c r="O1757" s="22"/>
      <c r="P1757" s="22"/>
      <c r="Q1757" s="22"/>
      <c r="R1757" s="28"/>
      <c r="S1757" s="28"/>
      <c r="T1757" s="28"/>
      <c r="U1757" s="28"/>
      <c r="V1757" s="22"/>
      <c r="W1757" s="22"/>
      <c r="X1757" s="22"/>
      <c r="Y1757" s="22"/>
      <c r="Z1757" s="22"/>
      <c r="AA1757" s="22"/>
      <c r="AB1757" s="22"/>
      <c r="AC1757" s="22"/>
      <c r="AD1757" s="22"/>
    </row>
    <row r="1758" spans="1:30" ht="15.75" customHeight="1" x14ac:dyDescent="0.15">
      <c r="A1758" s="22"/>
      <c r="B1758" s="22"/>
      <c r="C1758" s="22"/>
      <c r="D1758" s="22"/>
      <c r="E1758" s="22"/>
      <c r="F1758" s="28"/>
      <c r="G1758" s="28"/>
      <c r="H1758" s="28"/>
      <c r="I1758" s="28"/>
      <c r="J1758" s="28"/>
      <c r="K1758" s="28"/>
      <c r="L1758" s="28"/>
      <c r="M1758" s="22"/>
      <c r="N1758" s="22"/>
      <c r="O1758" s="22"/>
      <c r="P1758" s="22"/>
      <c r="Q1758" s="22"/>
      <c r="R1758" s="28"/>
      <c r="S1758" s="28"/>
      <c r="T1758" s="28"/>
      <c r="U1758" s="28"/>
      <c r="V1758" s="22"/>
      <c r="W1758" s="22"/>
      <c r="X1758" s="22"/>
      <c r="Y1758" s="22"/>
      <c r="Z1758" s="22"/>
      <c r="AA1758" s="22"/>
      <c r="AB1758" s="22"/>
      <c r="AC1758" s="22"/>
      <c r="AD1758" s="22"/>
    </row>
    <row r="1759" spans="1:30" ht="15.75" customHeight="1" x14ac:dyDescent="0.15">
      <c r="A1759" s="22"/>
      <c r="B1759" s="22"/>
      <c r="C1759" s="22"/>
      <c r="D1759" s="22"/>
      <c r="E1759" s="22"/>
      <c r="F1759" s="28"/>
      <c r="G1759" s="28"/>
      <c r="H1759" s="28"/>
      <c r="I1759" s="28"/>
      <c r="J1759" s="28"/>
      <c r="K1759" s="28"/>
      <c r="L1759" s="28"/>
      <c r="M1759" s="22"/>
      <c r="N1759" s="22"/>
      <c r="O1759" s="22"/>
      <c r="P1759" s="22"/>
      <c r="Q1759" s="22"/>
      <c r="R1759" s="28"/>
      <c r="S1759" s="28"/>
      <c r="T1759" s="28"/>
      <c r="U1759" s="28"/>
      <c r="V1759" s="22"/>
      <c r="W1759" s="22"/>
      <c r="X1759" s="22"/>
      <c r="Y1759" s="22"/>
      <c r="Z1759" s="22"/>
      <c r="AA1759" s="22"/>
      <c r="AB1759" s="22"/>
      <c r="AC1759" s="22"/>
      <c r="AD1759" s="22"/>
    </row>
    <row r="1760" spans="1:30" ht="15.75" customHeight="1" x14ac:dyDescent="0.15">
      <c r="A1760" s="22"/>
      <c r="B1760" s="22"/>
      <c r="C1760" s="22"/>
      <c r="D1760" s="22"/>
      <c r="E1760" s="22"/>
      <c r="F1760" s="28"/>
      <c r="G1760" s="28"/>
      <c r="H1760" s="28"/>
      <c r="I1760" s="28"/>
      <c r="J1760" s="28"/>
      <c r="K1760" s="28"/>
      <c r="L1760" s="28"/>
      <c r="M1760" s="22"/>
      <c r="N1760" s="22"/>
      <c r="O1760" s="22"/>
      <c r="P1760" s="22"/>
      <c r="Q1760" s="22"/>
      <c r="R1760" s="28"/>
      <c r="S1760" s="28"/>
      <c r="T1760" s="28"/>
      <c r="U1760" s="28"/>
      <c r="V1760" s="22"/>
      <c r="W1760" s="22"/>
      <c r="X1760" s="22"/>
      <c r="Y1760" s="22"/>
      <c r="Z1760" s="22"/>
      <c r="AA1760" s="22"/>
      <c r="AB1760" s="22"/>
      <c r="AC1760" s="22"/>
      <c r="AD1760" s="22"/>
    </row>
    <row r="1761" spans="1:30" ht="15.75" customHeight="1" x14ac:dyDescent="0.15">
      <c r="A1761" s="22"/>
      <c r="B1761" s="22"/>
      <c r="C1761" s="22"/>
      <c r="D1761" s="22"/>
      <c r="E1761" s="22"/>
      <c r="F1761" s="28"/>
      <c r="G1761" s="28"/>
      <c r="H1761" s="28"/>
      <c r="I1761" s="28"/>
      <c r="J1761" s="28"/>
      <c r="K1761" s="28"/>
      <c r="L1761" s="28"/>
      <c r="M1761" s="22"/>
      <c r="N1761" s="22"/>
      <c r="O1761" s="22"/>
      <c r="P1761" s="22"/>
      <c r="Q1761" s="22"/>
      <c r="R1761" s="28"/>
      <c r="S1761" s="28"/>
      <c r="T1761" s="28"/>
      <c r="U1761" s="28"/>
      <c r="V1761" s="22"/>
      <c r="W1761" s="22"/>
      <c r="X1761" s="22"/>
      <c r="Y1761" s="22"/>
      <c r="Z1761" s="22"/>
      <c r="AA1761" s="22"/>
      <c r="AB1761" s="22"/>
      <c r="AC1761" s="22"/>
      <c r="AD1761" s="22"/>
    </row>
    <row r="1762" spans="1:30" ht="15.75" customHeight="1" x14ac:dyDescent="0.15">
      <c r="A1762" s="22"/>
      <c r="B1762" s="22"/>
      <c r="C1762" s="22"/>
      <c r="D1762" s="22"/>
      <c r="E1762" s="22"/>
      <c r="F1762" s="28"/>
      <c r="G1762" s="28"/>
      <c r="H1762" s="28"/>
      <c r="I1762" s="28"/>
      <c r="J1762" s="28"/>
      <c r="K1762" s="28"/>
      <c r="L1762" s="28"/>
      <c r="M1762" s="22"/>
      <c r="N1762" s="22"/>
      <c r="O1762" s="22"/>
      <c r="P1762" s="22"/>
      <c r="Q1762" s="22"/>
      <c r="R1762" s="28"/>
      <c r="S1762" s="28"/>
      <c r="T1762" s="28"/>
      <c r="U1762" s="28"/>
      <c r="V1762" s="22"/>
      <c r="W1762" s="22"/>
      <c r="X1762" s="22"/>
      <c r="Y1762" s="22"/>
      <c r="Z1762" s="22"/>
      <c r="AA1762" s="22"/>
      <c r="AB1762" s="22"/>
      <c r="AC1762" s="22"/>
      <c r="AD1762" s="22"/>
    </row>
    <row r="1763" spans="1:30" ht="15.75" customHeight="1" x14ac:dyDescent="0.15">
      <c r="A1763" s="22"/>
      <c r="B1763" s="22"/>
      <c r="C1763" s="22"/>
      <c r="D1763" s="22"/>
      <c r="E1763" s="22"/>
      <c r="F1763" s="28"/>
      <c r="G1763" s="28"/>
      <c r="H1763" s="28"/>
      <c r="I1763" s="28"/>
      <c r="J1763" s="28"/>
      <c r="K1763" s="28"/>
      <c r="L1763" s="28"/>
      <c r="M1763" s="22"/>
      <c r="N1763" s="22"/>
      <c r="O1763" s="22"/>
      <c r="P1763" s="22"/>
      <c r="Q1763" s="22"/>
      <c r="R1763" s="28"/>
      <c r="S1763" s="28"/>
      <c r="T1763" s="28"/>
      <c r="U1763" s="28"/>
      <c r="V1763" s="22"/>
      <c r="W1763" s="22"/>
      <c r="X1763" s="22"/>
      <c r="Y1763" s="22"/>
      <c r="Z1763" s="22"/>
      <c r="AA1763" s="22"/>
      <c r="AB1763" s="22"/>
      <c r="AC1763" s="22"/>
      <c r="AD1763" s="22"/>
    </row>
    <row r="1764" spans="1:30" ht="15.75" customHeight="1" x14ac:dyDescent="0.15">
      <c r="A1764" s="22"/>
      <c r="B1764" s="22"/>
      <c r="C1764" s="22"/>
      <c r="D1764" s="22"/>
      <c r="E1764" s="22"/>
      <c r="F1764" s="28"/>
      <c r="G1764" s="28"/>
      <c r="H1764" s="28"/>
      <c r="I1764" s="28"/>
      <c r="J1764" s="28"/>
      <c r="K1764" s="28"/>
      <c r="L1764" s="28"/>
      <c r="M1764" s="22"/>
      <c r="N1764" s="22"/>
      <c r="O1764" s="22"/>
      <c r="P1764" s="22"/>
      <c r="Q1764" s="22"/>
      <c r="R1764" s="28"/>
      <c r="S1764" s="28"/>
      <c r="T1764" s="28"/>
      <c r="U1764" s="28"/>
      <c r="V1764" s="22"/>
      <c r="W1764" s="22"/>
      <c r="X1764" s="22"/>
      <c r="Y1764" s="22"/>
      <c r="Z1764" s="22"/>
      <c r="AA1764" s="22"/>
      <c r="AB1764" s="22"/>
      <c r="AC1764" s="22"/>
      <c r="AD1764" s="22"/>
    </row>
    <row r="1765" spans="1:30" ht="15.75" customHeight="1" x14ac:dyDescent="0.15">
      <c r="A1765" s="22"/>
      <c r="B1765" s="22"/>
      <c r="C1765" s="22"/>
      <c r="D1765" s="22"/>
      <c r="E1765" s="22"/>
      <c r="F1765" s="28"/>
      <c r="G1765" s="28"/>
      <c r="H1765" s="28"/>
      <c r="I1765" s="28"/>
      <c r="J1765" s="28"/>
      <c r="K1765" s="28"/>
      <c r="L1765" s="28"/>
      <c r="M1765" s="22"/>
      <c r="N1765" s="22"/>
      <c r="O1765" s="22"/>
      <c r="P1765" s="22"/>
      <c r="Q1765" s="22"/>
      <c r="R1765" s="28"/>
      <c r="S1765" s="28"/>
      <c r="T1765" s="28"/>
      <c r="U1765" s="28"/>
      <c r="V1765" s="22"/>
      <c r="W1765" s="22"/>
      <c r="X1765" s="22"/>
      <c r="Y1765" s="22"/>
      <c r="Z1765" s="22"/>
      <c r="AA1765" s="22"/>
      <c r="AB1765" s="22"/>
      <c r="AC1765" s="22"/>
      <c r="AD1765" s="22"/>
    </row>
    <row r="1766" spans="1:30" ht="15.75" customHeight="1" x14ac:dyDescent="0.15">
      <c r="A1766" s="22"/>
      <c r="B1766" s="22"/>
      <c r="C1766" s="22"/>
      <c r="D1766" s="22"/>
      <c r="E1766" s="22"/>
      <c r="F1766" s="28"/>
      <c r="G1766" s="28"/>
      <c r="H1766" s="28"/>
      <c r="I1766" s="28"/>
      <c r="J1766" s="28"/>
      <c r="K1766" s="28"/>
      <c r="L1766" s="28"/>
      <c r="M1766" s="22"/>
      <c r="N1766" s="22"/>
      <c r="O1766" s="22"/>
      <c r="P1766" s="22"/>
      <c r="Q1766" s="22"/>
      <c r="R1766" s="28"/>
      <c r="S1766" s="28"/>
      <c r="T1766" s="28"/>
      <c r="U1766" s="28"/>
      <c r="V1766" s="22"/>
      <c r="W1766" s="22"/>
      <c r="X1766" s="22"/>
      <c r="Y1766" s="22"/>
      <c r="Z1766" s="22"/>
      <c r="AA1766" s="22"/>
      <c r="AB1766" s="22"/>
      <c r="AC1766" s="22"/>
      <c r="AD1766" s="22"/>
    </row>
    <row r="1767" spans="1:30" ht="15.75" customHeight="1" x14ac:dyDescent="0.15">
      <c r="A1767" s="22"/>
      <c r="B1767" s="22"/>
      <c r="C1767" s="22"/>
      <c r="D1767" s="22"/>
      <c r="E1767" s="22"/>
      <c r="F1767" s="28"/>
      <c r="G1767" s="28"/>
      <c r="H1767" s="28"/>
      <c r="I1767" s="28"/>
      <c r="J1767" s="28"/>
      <c r="K1767" s="28"/>
      <c r="L1767" s="28"/>
      <c r="M1767" s="22"/>
      <c r="N1767" s="22"/>
      <c r="O1767" s="22"/>
      <c r="P1767" s="22"/>
      <c r="Q1767" s="22"/>
      <c r="R1767" s="28"/>
      <c r="S1767" s="28"/>
      <c r="T1767" s="28"/>
      <c r="U1767" s="28"/>
      <c r="V1767" s="22"/>
      <c r="W1767" s="22"/>
      <c r="X1767" s="22"/>
      <c r="Y1767" s="22"/>
      <c r="Z1767" s="22"/>
      <c r="AA1767" s="22"/>
      <c r="AB1767" s="22"/>
      <c r="AC1767" s="22"/>
      <c r="AD1767" s="22"/>
    </row>
    <row r="1768" spans="1:30" ht="15.75" customHeight="1" x14ac:dyDescent="0.15">
      <c r="A1768" s="22"/>
      <c r="B1768" s="22"/>
      <c r="C1768" s="22"/>
      <c r="D1768" s="22"/>
      <c r="E1768" s="22"/>
      <c r="F1768" s="28"/>
      <c r="G1768" s="28"/>
      <c r="H1768" s="28"/>
      <c r="I1768" s="28"/>
      <c r="J1768" s="28"/>
      <c r="K1768" s="28"/>
      <c r="L1768" s="28"/>
      <c r="M1768" s="22"/>
      <c r="N1768" s="22"/>
      <c r="O1768" s="22"/>
      <c r="P1768" s="22"/>
      <c r="Q1768" s="22"/>
      <c r="R1768" s="28"/>
      <c r="S1768" s="28"/>
      <c r="T1768" s="28"/>
      <c r="U1768" s="28"/>
      <c r="V1768" s="22"/>
      <c r="W1768" s="22"/>
      <c r="X1768" s="22"/>
      <c r="Y1768" s="22"/>
      <c r="Z1768" s="22"/>
      <c r="AA1768" s="22"/>
      <c r="AB1768" s="22"/>
      <c r="AC1768" s="22"/>
      <c r="AD1768" s="22"/>
    </row>
    <row r="1769" spans="1:30" ht="15.75" customHeight="1" x14ac:dyDescent="0.15">
      <c r="A1769" s="22"/>
      <c r="B1769" s="22"/>
      <c r="C1769" s="22"/>
      <c r="D1769" s="22"/>
      <c r="E1769" s="22"/>
      <c r="F1769" s="28"/>
      <c r="G1769" s="28"/>
      <c r="H1769" s="28"/>
      <c r="I1769" s="28"/>
      <c r="J1769" s="28"/>
      <c r="K1769" s="28"/>
      <c r="L1769" s="28"/>
      <c r="M1769" s="22"/>
      <c r="N1769" s="22"/>
      <c r="O1769" s="22"/>
      <c r="P1769" s="22"/>
      <c r="Q1769" s="22"/>
      <c r="R1769" s="28"/>
      <c r="S1769" s="28"/>
      <c r="T1769" s="28"/>
      <c r="U1769" s="28"/>
      <c r="V1769" s="22"/>
      <c r="W1769" s="22"/>
      <c r="X1769" s="22"/>
      <c r="Y1769" s="22"/>
      <c r="Z1769" s="22"/>
      <c r="AA1769" s="22"/>
      <c r="AB1769" s="22"/>
      <c r="AC1769" s="22"/>
      <c r="AD1769" s="22"/>
    </row>
    <row r="1770" spans="1:30" ht="15.75" customHeight="1" x14ac:dyDescent="0.15">
      <c r="A1770" s="22"/>
      <c r="B1770" s="22"/>
      <c r="C1770" s="22"/>
      <c r="D1770" s="22"/>
      <c r="E1770" s="22"/>
      <c r="F1770" s="28"/>
      <c r="G1770" s="28"/>
      <c r="H1770" s="28"/>
      <c r="I1770" s="28"/>
      <c r="J1770" s="28"/>
      <c r="K1770" s="28"/>
      <c r="L1770" s="28"/>
      <c r="M1770" s="22"/>
      <c r="N1770" s="22"/>
      <c r="O1770" s="22"/>
      <c r="P1770" s="22"/>
      <c r="Q1770" s="22"/>
      <c r="R1770" s="28"/>
      <c r="S1770" s="28"/>
      <c r="T1770" s="28"/>
      <c r="U1770" s="28"/>
      <c r="V1770" s="22"/>
      <c r="W1770" s="22"/>
      <c r="X1770" s="22"/>
      <c r="Y1770" s="22"/>
      <c r="Z1770" s="22"/>
      <c r="AA1770" s="22"/>
      <c r="AB1770" s="22"/>
      <c r="AC1770" s="22"/>
      <c r="AD1770" s="22"/>
    </row>
    <row r="1771" spans="1:30" ht="15.75" customHeight="1" x14ac:dyDescent="0.15">
      <c r="A1771" s="22"/>
      <c r="B1771" s="22"/>
      <c r="C1771" s="22"/>
      <c r="D1771" s="22"/>
      <c r="E1771" s="22"/>
      <c r="F1771" s="28"/>
      <c r="G1771" s="28"/>
      <c r="H1771" s="28"/>
      <c r="I1771" s="28"/>
      <c r="J1771" s="28"/>
      <c r="K1771" s="28"/>
      <c r="L1771" s="28"/>
      <c r="M1771" s="22"/>
      <c r="N1771" s="22"/>
      <c r="O1771" s="22"/>
      <c r="P1771" s="22"/>
      <c r="Q1771" s="22"/>
      <c r="R1771" s="28"/>
      <c r="S1771" s="28"/>
      <c r="T1771" s="28"/>
      <c r="U1771" s="28"/>
      <c r="V1771" s="22"/>
      <c r="W1771" s="22"/>
      <c r="X1771" s="22"/>
      <c r="Y1771" s="22"/>
      <c r="Z1771" s="22"/>
      <c r="AA1771" s="22"/>
      <c r="AB1771" s="22"/>
      <c r="AC1771" s="22"/>
      <c r="AD1771" s="22"/>
    </row>
    <row r="1772" spans="1:30" ht="15.75" customHeight="1" x14ac:dyDescent="0.15">
      <c r="A1772" s="22"/>
      <c r="B1772" s="22"/>
      <c r="C1772" s="22"/>
      <c r="D1772" s="22"/>
      <c r="E1772" s="22"/>
      <c r="F1772" s="28"/>
      <c r="G1772" s="28"/>
      <c r="H1772" s="28"/>
      <c r="I1772" s="28"/>
      <c r="J1772" s="28"/>
      <c r="K1772" s="28"/>
      <c r="L1772" s="28"/>
      <c r="M1772" s="22"/>
      <c r="N1772" s="22"/>
      <c r="O1772" s="22"/>
      <c r="P1772" s="22"/>
      <c r="Q1772" s="22"/>
      <c r="R1772" s="28"/>
      <c r="S1772" s="28"/>
      <c r="T1772" s="28"/>
      <c r="U1772" s="28"/>
      <c r="V1772" s="22"/>
      <c r="W1772" s="22"/>
      <c r="X1772" s="22"/>
      <c r="Y1772" s="22"/>
      <c r="Z1772" s="22"/>
      <c r="AA1772" s="22"/>
      <c r="AB1772" s="22"/>
      <c r="AC1772" s="22"/>
      <c r="AD1772" s="22"/>
    </row>
    <row r="1773" spans="1:30" ht="15.75" customHeight="1" x14ac:dyDescent="0.15">
      <c r="A1773" s="22"/>
      <c r="B1773" s="22"/>
      <c r="C1773" s="22"/>
      <c r="D1773" s="22"/>
      <c r="E1773" s="22"/>
      <c r="F1773" s="28"/>
      <c r="G1773" s="28"/>
      <c r="H1773" s="28"/>
      <c r="I1773" s="28"/>
      <c r="J1773" s="28"/>
      <c r="K1773" s="28"/>
      <c r="L1773" s="28"/>
      <c r="M1773" s="22"/>
      <c r="N1773" s="22"/>
      <c r="O1773" s="22"/>
      <c r="P1773" s="22"/>
      <c r="Q1773" s="22"/>
      <c r="R1773" s="28"/>
      <c r="S1773" s="28"/>
      <c r="T1773" s="28"/>
      <c r="U1773" s="28"/>
      <c r="V1773" s="22"/>
      <c r="W1773" s="22"/>
      <c r="X1773" s="22"/>
      <c r="Y1773" s="22"/>
      <c r="Z1773" s="22"/>
      <c r="AA1773" s="22"/>
      <c r="AB1773" s="22"/>
      <c r="AC1773" s="22"/>
      <c r="AD1773" s="22"/>
    </row>
    <row r="1774" spans="1:30" ht="15.75" customHeight="1" x14ac:dyDescent="0.15">
      <c r="A1774" s="22"/>
      <c r="B1774" s="22"/>
      <c r="C1774" s="22"/>
      <c r="D1774" s="22"/>
      <c r="E1774" s="22"/>
      <c r="F1774" s="28"/>
      <c r="G1774" s="28"/>
      <c r="H1774" s="28"/>
      <c r="I1774" s="28"/>
      <c r="J1774" s="28"/>
      <c r="K1774" s="28"/>
      <c r="L1774" s="28"/>
      <c r="M1774" s="22"/>
      <c r="N1774" s="22"/>
      <c r="O1774" s="22"/>
      <c r="P1774" s="22"/>
      <c r="Q1774" s="22"/>
      <c r="R1774" s="28"/>
      <c r="S1774" s="28"/>
      <c r="T1774" s="28"/>
      <c r="U1774" s="28"/>
      <c r="V1774" s="22"/>
      <c r="W1774" s="22"/>
      <c r="X1774" s="22"/>
      <c r="Y1774" s="22"/>
      <c r="Z1774" s="22"/>
      <c r="AA1774" s="22"/>
      <c r="AB1774" s="22"/>
      <c r="AC1774" s="22"/>
      <c r="AD1774" s="22"/>
    </row>
    <row r="1775" spans="1:30" ht="15.75" customHeight="1" x14ac:dyDescent="0.15">
      <c r="A1775" s="22"/>
      <c r="B1775" s="22"/>
      <c r="C1775" s="22"/>
      <c r="D1775" s="22"/>
      <c r="E1775" s="22"/>
      <c r="F1775" s="28"/>
      <c r="G1775" s="28"/>
      <c r="H1775" s="28"/>
      <c r="I1775" s="28"/>
      <c r="J1775" s="28"/>
      <c r="K1775" s="28"/>
      <c r="L1775" s="28"/>
      <c r="M1775" s="22"/>
      <c r="N1775" s="22"/>
      <c r="O1775" s="22"/>
      <c r="P1775" s="22"/>
      <c r="Q1775" s="22"/>
      <c r="R1775" s="28"/>
      <c r="S1775" s="28"/>
      <c r="T1775" s="28"/>
      <c r="U1775" s="28"/>
      <c r="V1775" s="22"/>
      <c r="W1775" s="22"/>
      <c r="X1775" s="22"/>
      <c r="Y1775" s="22"/>
      <c r="Z1775" s="22"/>
      <c r="AA1775" s="22"/>
      <c r="AB1775" s="22"/>
      <c r="AC1775" s="22"/>
      <c r="AD1775" s="22"/>
    </row>
    <row r="1776" spans="1:30" ht="15.75" customHeight="1" x14ac:dyDescent="0.15">
      <c r="A1776" s="22"/>
      <c r="B1776" s="22"/>
      <c r="C1776" s="22"/>
      <c r="D1776" s="22"/>
      <c r="E1776" s="22"/>
      <c r="F1776" s="28"/>
      <c r="G1776" s="28"/>
      <c r="H1776" s="28"/>
      <c r="I1776" s="28"/>
      <c r="J1776" s="28"/>
      <c r="K1776" s="28"/>
      <c r="L1776" s="28"/>
      <c r="M1776" s="22"/>
      <c r="N1776" s="22"/>
      <c r="O1776" s="22"/>
      <c r="P1776" s="22"/>
      <c r="Q1776" s="22"/>
      <c r="R1776" s="28"/>
      <c r="S1776" s="28"/>
      <c r="T1776" s="28"/>
      <c r="U1776" s="28"/>
      <c r="V1776" s="22"/>
      <c r="W1776" s="22"/>
      <c r="X1776" s="22"/>
      <c r="Y1776" s="22"/>
      <c r="Z1776" s="22"/>
      <c r="AA1776" s="22"/>
      <c r="AB1776" s="22"/>
      <c r="AC1776" s="22"/>
      <c r="AD1776" s="22"/>
    </row>
    <row r="1777" spans="1:30" ht="15.75" customHeight="1" x14ac:dyDescent="0.15">
      <c r="A1777" s="22"/>
      <c r="B1777" s="22"/>
      <c r="C1777" s="22"/>
      <c r="D1777" s="22"/>
      <c r="E1777" s="22"/>
      <c r="F1777" s="28"/>
      <c r="G1777" s="28"/>
      <c r="H1777" s="28"/>
      <c r="I1777" s="28"/>
      <c r="J1777" s="28"/>
      <c r="K1777" s="28"/>
      <c r="L1777" s="28"/>
      <c r="M1777" s="22"/>
      <c r="N1777" s="22"/>
      <c r="O1777" s="22"/>
      <c r="P1777" s="22"/>
      <c r="Q1777" s="22"/>
      <c r="R1777" s="28"/>
      <c r="S1777" s="28"/>
      <c r="T1777" s="28"/>
      <c r="U1777" s="28"/>
      <c r="V1777" s="22"/>
      <c r="W1777" s="22"/>
      <c r="X1777" s="22"/>
      <c r="Y1777" s="22"/>
      <c r="Z1777" s="22"/>
      <c r="AA1777" s="22"/>
      <c r="AB1777" s="22"/>
      <c r="AC1777" s="22"/>
      <c r="AD1777" s="22"/>
    </row>
    <row r="1778" spans="1:30" ht="15.75" customHeight="1" x14ac:dyDescent="0.15">
      <c r="A1778" s="22"/>
      <c r="B1778" s="22"/>
      <c r="C1778" s="22"/>
      <c r="D1778" s="22"/>
      <c r="E1778" s="22"/>
      <c r="F1778" s="28"/>
      <c r="G1778" s="28"/>
      <c r="H1778" s="28"/>
      <c r="I1778" s="28"/>
      <c r="J1778" s="28"/>
      <c r="K1778" s="28"/>
      <c r="L1778" s="28"/>
      <c r="M1778" s="22"/>
      <c r="N1778" s="22"/>
      <c r="O1778" s="22"/>
      <c r="P1778" s="22"/>
      <c r="Q1778" s="22"/>
      <c r="R1778" s="28"/>
      <c r="S1778" s="28"/>
      <c r="T1778" s="28"/>
      <c r="U1778" s="28"/>
      <c r="V1778" s="22"/>
      <c r="W1778" s="22"/>
      <c r="X1778" s="22"/>
      <c r="Y1778" s="22"/>
      <c r="Z1778" s="22"/>
      <c r="AA1778" s="22"/>
      <c r="AB1778" s="22"/>
      <c r="AC1778" s="22"/>
      <c r="AD1778" s="22"/>
    </row>
    <row r="1779" spans="1:30" ht="15.75" customHeight="1" x14ac:dyDescent="0.15">
      <c r="A1779" s="22"/>
      <c r="B1779" s="22"/>
      <c r="C1779" s="22"/>
      <c r="D1779" s="22"/>
      <c r="E1779" s="22"/>
      <c r="F1779" s="28"/>
      <c r="G1779" s="28"/>
      <c r="H1779" s="28"/>
      <c r="I1779" s="28"/>
      <c r="J1779" s="28"/>
      <c r="K1779" s="28"/>
      <c r="L1779" s="28"/>
      <c r="M1779" s="22"/>
      <c r="N1779" s="22"/>
      <c r="O1779" s="22"/>
      <c r="P1779" s="22"/>
      <c r="Q1779" s="22"/>
      <c r="R1779" s="28"/>
      <c r="S1779" s="28"/>
      <c r="T1779" s="28"/>
      <c r="U1779" s="28"/>
      <c r="V1779" s="22"/>
      <c r="W1779" s="22"/>
      <c r="X1779" s="22"/>
      <c r="Y1779" s="22"/>
      <c r="Z1779" s="22"/>
      <c r="AA1779" s="22"/>
      <c r="AB1779" s="22"/>
      <c r="AC1779" s="22"/>
      <c r="AD1779" s="22"/>
    </row>
    <row r="1780" spans="1:30" ht="15.75" customHeight="1" x14ac:dyDescent="0.15">
      <c r="A1780" s="22"/>
      <c r="B1780" s="22"/>
      <c r="C1780" s="22"/>
      <c r="D1780" s="22"/>
      <c r="E1780" s="22"/>
      <c r="F1780" s="28"/>
      <c r="G1780" s="28"/>
      <c r="H1780" s="28"/>
      <c r="I1780" s="28"/>
      <c r="J1780" s="28"/>
      <c r="K1780" s="28"/>
      <c r="L1780" s="28"/>
      <c r="M1780" s="22"/>
      <c r="N1780" s="22"/>
      <c r="O1780" s="22"/>
      <c r="P1780" s="22"/>
      <c r="Q1780" s="22"/>
      <c r="R1780" s="28"/>
      <c r="S1780" s="28"/>
      <c r="T1780" s="28"/>
      <c r="U1780" s="28"/>
      <c r="V1780" s="22"/>
      <c r="W1780" s="22"/>
      <c r="X1780" s="22"/>
      <c r="Y1780" s="22"/>
      <c r="Z1780" s="22"/>
      <c r="AA1780" s="22"/>
      <c r="AB1780" s="22"/>
      <c r="AC1780" s="22"/>
      <c r="AD1780" s="22"/>
    </row>
    <row r="1781" spans="1:30" ht="15.75" customHeight="1" x14ac:dyDescent="0.15">
      <c r="A1781" s="22"/>
      <c r="B1781" s="22"/>
      <c r="C1781" s="22"/>
      <c r="D1781" s="22"/>
      <c r="E1781" s="22"/>
      <c r="F1781" s="28"/>
      <c r="G1781" s="28"/>
      <c r="H1781" s="28"/>
      <c r="I1781" s="28"/>
      <c r="J1781" s="28"/>
      <c r="K1781" s="28"/>
      <c r="L1781" s="28"/>
      <c r="M1781" s="22"/>
      <c r="N1781" s="22"/>
      <c r="O1781" s="22"/>
      <c r="P1781" s="22"/>
      <c r="Q1781" s="22"/>
      <c r="R1781" s="28"/>
      <c r="S1781" s="28"/>
      <c r="T1781" s="28"/>
      <c r="U1781" s="28"/>
      <c r="V1781" s="22"/>
      <c r="W1781" s="22"/>
      <c r="X1781" s="22"/>
      <c r="Y1781" s="22"/>
      <c r="Z1781" s="22"/>
      <c r="AA1781" s="22"/>
      <c r="AB1781" s="22"/>
      <c r="AC1781" s="22"/>
      <c r="AD1781" s="22"/>
    </row>
    <row r="1782" spans="1:30" ht="15.75" customHeight="1" x14ac:dyDescent="0.15">
      <c r="A1782" s="22"/>
      <c r="B1782" s="22"/>
      <c r="C1782" s="22"/>
      <c r="D1782" s="22"/>
      <c r="E1782" s="22"/>
      <c r="F1782" s="28"/>
      <c r="G1782" s="28"/>
      <c r="H1782" s="28"/>
      <c r="I1782" s="28"/>
      <c r="J1782" s="28"/>
      <c r="K1782" s="28"/>
      <c r="L1782" s="28"/>
      <c r="M1782" s="22"/>
      <c r="N1782" s="22"/>
      <c r="O1782" s="22"/>
      <c r="P1782" s="22"/>
      <c r="Q1782" s="22"/>
      <c r="R1782" s="28"/>
      <c r="S1782" s="28"/>
      <c r="T1782" s="28"/>
      <c r="U1782" s="28"/>
      <c r="V1782" s="22"/>
      <c r="W1782" s="22"/>
      <c r="X1782" s="22"/>
      <c r="Y1782" s="22"/>
      <c r="Z1782" s="22"/>
      <c r="AA1782" s="22"/>
      <c r="AB1782" s="22"/>
      <c r="AC1782" s="22"/>
      <c r="AD1782" s="22"/>
    </row>
    <row r="1783" spans="1:30" ht="15.75" customHeight="1" x14ac:dyDescent="0.15">
      <c r="A1783" s="22"/>
      <c r="B1783" s="22"/>
      <c r="C1783" s="22"/>
      <c r="D1783" s="22"/>
      <c r="E1783" s="22"/>
      <c r="F1783" s="28"/>
      <c r="G1783" s="28"/>
      <c r="H1783" s="28"/>
      <c r="I1783" s="28"/>
      <c r="J1783" s="28"/>
      <c r="K1783" s="28"/>
      <c r="L1783" s="28"/>
      <c r="M1783" s="22"/>
      <c r="N1783" s="22"/>
      <c r="O1783" s="22"/>
      <c r="P1783" s="22"/>
      <c r="Q1783" s="22"/>
      <c r="R1783" s="28"/>
      <c r="S1783" s="28"/>
      <c r="T1783" s="28"/>
      <c r="U1783" s="28"/>
      <c r="V1783" s="22"/>
      <c r="W1783" s="22"/>
      <c r="X1783" s="22"/>
      <c r="Y1783" s="22"/>
      <c r="Z1783" s="22"/>
      <c r="AA1783" s="22"/>
      <c r="AB1783" s="22"/>
      <c r="AC1783" s="22"/>
      <c r="AD1783" s="22"/>
    </row>
    <row r="1784" spans="1:30" ht="15.75" customHeight="1" x14ac:dyDescent="0.15">
      <c r="A1784" s="22"/>
      <c r="B1784" s="22"/>
      <c r="C1784" s="22"/>
      <c r="D1784" s="22"/>
      <c r="E1784" s="22"/>
      <c r="F1784" s="28"/>
      <c r="G1784" s="28"/>
      <c r="H1784" s="28"/>
      <c r="I1784" s="28"/>
      <c r="J1784" s="28"/>
      <c r="K1784" s="28"/>
      <c r="L1784" s="28"/>
      <c r="M1784" s="22"/>
      <c r="N1784" s="22"/>
      <c r="O1784" s="22"/>
      <c r="P1784" s="22"/>
      <c r="Q1784" s="22"/>
      <c r="R1784" s="28"/>
      <c r="S1784" s="28"/>
      <c r="T1784" s="28"/>
      <c r="U1784" s="28"/>
      <c r="V1784" s="22"/>
      <c r="W1784" s="22"/>
      <c r="X1784" s="22"/>
      <c r="Y1784" s="22"/>
      <c r="Z1784" s="22"/>
      <c r="AA1784" s="22"/>
      <c r="AB1784" s="22"/>
      <c r="AC1784" s="22"/>
      <c r="AD1784" s="22"/>
    </row>
    <row r="1785" spans="1:30" ht="15.75" customHeight="1" x14ac:dyDescent="0.15">
      <c r="A1785" s="22"/>
      <c r="B1785" s="22"/>
      <c r="C1785" s="22"/>
      <c r="D1785" s="22"/>
      <c r="E1785" s="22"/>
      <c r="F1785" s="28"/>
      <c r="G1785" s="28"/>
      <c r="H1785" s="28"/>
      <c r="I1785" s="28"/>
      <c r="J1785" s="28"/>
      <c r="K1785" s="28"/>
      <c r="L1785" s="28"/>
      <c r="M1785" s="22"/>
      <c r="N1785" s="22"/>
      <c r="O1785" s="22"/>
      <c r="P1785" s="22"/>
      <c r="Q1785" s="22"/>
      <c r="R1785" s="28"/>
      <c r="S1785" s="28"/>
      <c r="T1785" s="28"/>
      <c r="U1785" s="28"/>
      <c r="V1785" s="22"/>
      <c r="W1785" s="22"/>
      <c r="X1785" s="22"/>
      <c r="Y1785" s="22"/>
      <c r="Z1785" s="22"/>
      <c r="AA1785" s="22"/>
      <c r="AB1785" s="22"/>
      <c r="AC1785" s="22"/>
      <c r="AD1785" s="22"/>
    </row>
    <row r="1786" spans="1:30" ht="15.75" customHeight="1" x14ac:dyDescent="0.15">
      <c r="A1786" s="22"/>
      <c r="B1786" s="22"/>
      <c r="C1786" s="22"/>
      <c r="D1786" s="22"/>
      <c r="E1786" s="22"/>
      <c r="F1786" s="28"/>
      <c r="G1786" s="28"/>
      <c r="H1786" s="28"/>
      <c r="I1786" s="28"/>
      <c r="J1786" s="28"/>
      <c r="K1786" s="28"/>
      <c r="L1786" s="28"/>
      <c r="M1786" s="22"/>
      <c r="N1786" s="22"/>
      <c r="O1786" s="22"/>
      <c r="P1786" s="22"/>
      <c r="Q1786" s="22"/>
      <c r="R1786" s="28"/>
      <c r="S1786" s="28"/>
      <c r="T1786" s="28"/>
      <c r="U1786" s="28"/>
      <c r="V1786" s="22"/>
      <c r="W1786" s="22"/>
      <c r="X1786" s="22"/>
      <c r="Y1786" s="22"/>
      <c r="Z1786" s="22"/>
      <c r="AA1786" s="22"/>
      <c r="AB1786" s="22"/>
      <c r="AC1786" s="22"/>
      <c r="AD1786" s="22"/>
    </row>
    <row r="1787" spans="1:30" ht="15.75" customHeight="1" x14ac:dyDescent="0.15">
      <c r="A1787" s="22"/>
      <c r="B1787" s="22"/>
      <c r="C1787" s="22"/>
      <c r="D1787" s="22"/>
      <c r="E1787" s="22"/>
      <c r="F1787" s="28"/>
      <c r="G1787" s="28"/>
      <c r="H1787" s="28"/>
      <c r="I1787" s="28"/>
      <c r="J1787" s="28"/>
      <c r="K1787" s="28"/>
      <c r="L1787" s="28"/>
      <c r="M1787" s="22"/>
      <c r="N1787" s="22"/>
      <c r="O1787" s="22"/>
      <c r="P1787" s="22"/>
      <c r="Q1787" s="22"/>
      <c r="R1787" s="28"/>
      <c r="S1787" s="28"/>
      <c r="T1787" s="28"/>
      <c r="U1787" s="28"/>
      <c r="V1787" s="22"/>
      <c r="W1787" s="22"/>
      <c r="X1787" s="22"/>
      <c r="Y1787" s="22"/>
      <c r="Z1787" s="22"/>
      <c r="AA1787" s="22"/>
      <c r="AB1787" s="22"/>
      <c r="AC1787" s="22"/>
      <c r="AD1787" s="22"/>
    </row>
    <row r="1788" spans="1:30" ht="15.75" customHeight="1" x14ac:dyDescent="0.15">
      <c r="A1788" s="22"/>
      <c r="B1788" s="22"/>
      <c r="C1788" s="22"/>
      <c r="D1788" s="22"/>
      <c r="E1788" s="22"/>
      <c r="F1788" s="28"/>
      <c r="G1788" s="28"/>
      <c r="H1788" s="28"/>
      <c r="I1788" s="28"/>
      <c r="J1788" s="28"/>
      <c r="K1788" s="28"/>
      <c r="L1788" s="28"/>
      <c r="M1788" s="22"/>
      <c r="N1788" s="22"/>
      <c r="O1788" s="22"/>
      <c r="P1788" s="22"/>
      <c r="Q1788" s="22"/>
      <c r="R1788" s="28"/>
      <c r="S1788" s="28"/>
      <c r="T1788" s="28"/>
      <c r="U1788" s="28"/>
      <c r="V1788" s="22"/>
      <c r="W1788" s="22"/>
      <c r="X1788" s="22"/>
      <c r="Y1788" s="22"/>
      <c r="Z1788" s="22"/>
      <c r="AA1788" s="22"/>
      <c r="AB1788" s="22"/>
      <c r="AC1788" s="22"/>
      <c r="AD1788" s="22"/>
    </row>
    <row r="1789" spans="1:30" ht="15.75" customHeight="1" x14ac:dyDescent="0.15">
      <c r="A1789" s="22"/>
      <c r="B1789" s="22"/>
      <c r="C1789" s="22"/>
      <c r="D1789" s="22"/>
      <c r="E1789" s="22"/>
      <c r="F1789" s="28"/>
      <c r="G1789" s="28"/>
      <c r="H1789" s="28"/>
      <c r="I1789" s="28"/>
      <c r="J1789" s="28"/>
      <c r="K1789" s="28"/>
      <c r="L1789" s="28"/>
      <c r="M1789" s="22"/>
      <c r="N1789" s="22"/>
      <c r="O1789" s="22"/>
      <c r="P1789" s="22"/>
      <c r="Q1789" s="22"/>
      <c r="R1789" s="28"/>
      <c r="S1789" s="28"/>
      <c r="T1789" s="28"/>
      <c r="U1789" s="28"/>
      <c r="V1789" s="22"/>
      <c r="W1789" s="22"/>
      <c r="X1789" s="22"/>
      <c r="Y1789" s="22"/>
      <c r="Z1789" s="22"/>
      <c r="AA1789" s="22"/>
      <c r="AB1789" s="22"/>
      <c r="AC1789" s="22"/>
      <c r="AD1789" s="22"/>
    </row>
    <row r="1790" spans="1:30" ht="15.75" customHeight="1" x14ac:dyDescent="0.15">
      <c r="A1790" s="22"/>
      <c r="B1790" s="22"/>
      <c r="C1790" s="22"/>
      <c r="D1790" s="22"/>
      <c r="E1790" s="22"/>
      <c r="F1790" s="28"/>
      <c r="G1790" s="28"/>
      <c r="H1790" s="28"/>
      <c r="I1790" s="28"/>
      <c r="J1790" s="28"/>
      <c r="K1790" s="28"/>
      <c r="L1790" s="28"/>
      <c r="M1790" s="22"/>
      <c r="N1790" s="22"/>
      <c r="O1790" s="22"/>
      <c r="P1790" s="22"/>
      <c r="Q1790" s="22"/>
      <c r="R1790" s="28"/>
      <c r="S1790" s="28"/>
      <c r="T1790" s="28"/>
      <c r="U1790" s="28"/>
      <c r="V1790" s="22"/>
      <c r="W1790" s="22"/>
      <c r="X1790" s="22"/>
      <c r="Y1790" s="22"/>
      <c r="Z1790" s="22"/>
      <c r="AA1790" s="22"/>
      <c r="AB1790" s="22"/>
      <c r="AC1790" s="22"/>
      <c r="AD1790" s="22"/>
    </row>
    <row r="1791" spans="1:30" ht="15.75" customHeight="1" x14ac:dyDescent="0.15">
      <c r="A1791" s="22"/>
      <c r="B1791" s="22"/>
      <c r="C1791" s="22"/>
      <c r="D1791" s="22"/>
      <c r="E1791" s="22"/>
      <c r="F1791" s="28"/>
      <c r="G1791" s="28"/>
      <c r="H1791" s="28"/>
      <c r="I1791" s="28"/>
      <c r="J1791" s="28"/>
      <c r="K1791" s="28"/>
      <c r="L1791" s="28"/>
      <c r="M1791" s="22"/>
      <c r="N1791" s="22"/>
      <c r="O1791" s="22"/>
      <c r="P1791" s="22"/>
      <c r="Q1791" s="22"/>
      <c r="R1791" s="28"/>
      <c r="S1791" s="28"/>
      <c r="T1791" s="28"/>
      <c r="U1791" s="28"/>
      <c r="V1791" s="22"/>
      <c r="W1791" s="22"/>
      <c r="X1791" s="22"/>
      <c r="Y1791" s="22"/>
      <c r="Z1791" s="22"/>
      <c r="AA1791" s="22"/>
      <c r="AB1791" s="22"/>
      <c r="AC1791" s="22"/>
      <c r="AD1791" s="22"/>
    </row>
    <row r="1792" spans="1:30" ht="15.75" customHeight="1" x14ac:dyDescent="0.15">
      <c r="A1792" s="22"/>
      <c r="B1792" s="22"/>
      <c r="C1792" s="22"/>
      <c r="D1792" s="22"/>
      <c r="E1792" s="22"/>
      <c r="F1792" s="28"/>
      <c r="G1792" s="28"/>
      <c r="H1792" s="28"/>
      <c r="I1792" s="28"/>
      <c r="J1792" s="28"/>
      <c r="K1792" s="28"/>
      <c r="L1792" s="28"/>
      <c r="M1792" s="22"/>
      <c r="N1792" s="22"/>
      <c r="O1792" s="22"/>
      <c r="P1792" s="22"/>
      <c r="Q1792" s="22"/>
      <c r="R1792" s="28"/>
      <c r="S1792" s="28"/>
      <c r="T1792" s="28"/>
      <c r="U1792" s="28"/>
      <c r="V1792" s="22"/>
      <c r="W1792" s="22"/>
      <c r="X1792" s="22"/>
      <c r="Y1792" s="22"/>
      <c r="Z1792" s="22"/>
      <c r="AA1792" s="22"/>
      <c r="AB1792" s="22"/>
      <c r="AC1792" s="22"/>
      <c r="AD1792" s="22"/>
    </row>
    <row r="1793" spans="1:30" ht="15.75" customHeight="1" x14ac:dyDescent="0.15">
      <c r="A1793" s="22"/>
      <c r="B1793" s="22"/>
      <c r="C1793" s="22"/>
      <c r="D1793" s="22"/>
      <c r="E1793" s="22"/>
      <c r="F1793" s="28"/>
      <c r="G1793" s="28"/>
      <c r="H1793" s="28"/>
      <c r="I1793" s="28"/>
      <c r="J1793" s="28"/>
      <c r="K1793" s="28"/>
      <c r="L1793" s="28"/>
      <c r="M1793" s="22"/>
      <c r="N1793" s="22"/>
      <c r="O1793" s="22"/>
      <c r="P1793" s="22"/>
      <c r="Q1793" s="22"/>
      <c r="R1793" s="28"/>
      <c r="S1793" s="28"/>
      <c r="T1793" s="28"/>
      <c r="U1793" s="28"/>
      <c r="V1793" s="22"/>
      <c r="W1793" s="22"/>
      <c r="X1793" s="22"/>
      <c r="Y1793" s="22"/>
      <c r="Z1793" s="22"/>
      <c r="AA1793" s="22"/>
      <c r="AB1793" s="22"/>
      <c r="AC1793" s="22"/>
      <c r="AD1793" s="22"/>
    </row>
    <row r="1794" spans="1:30" ht="15.75" customHeight="1" x14ac:dyDescent="0.15">
      <c r="A1794" s="22"/>
      <c r="B1794" s="22"/>
      <c r="C1794" s="22"/>
      <c r="D1794" s="22"/>
      <c r="E1794" s="22"/>
      <c r="F1794" s="28"/>
      <c r="G1794" s="28"/>
      <c r="H1794" s="28"/>
      <c r="I1794" s="28"/>
      <c r="J1794" s="28"/>
      <c r="K1794" s="28"/>
      <c r="L1794" s="28"/>
      <c r="M1794" s="22"/>
      <c r="N1794" s="22"/>
      <c r="O1794" s="22"/>
      <c r="P1794" s="22"/>
      <c r="Q1794" s="22"/>
      <c r="R1794" s="28"/>
      <c r="S1794" s="28"/>
      <c r="T1794" s="28"/>
      <c r="U1794" s="28"/>
      <c r="V1794" s="22"/>
      <c r="W1794" s="22"/>
      <c r="X1794" s="22"/>
      <c r="Y1794" s="22"/>
      <c r="Z1794" s="22"/>
      <c r="AA1794" s="22"/>
      <c r="AB1794" s="22"/>
      <c r="AC1794" s="22"/>
      <c r="AD1794" s="22"/>
    </row>
    <row r="1795" spans="1:30" ht="15.75" customHeight="1" x14ac:dyDescent="0.15">
      <c r="A1795" s="22"/>
      <c r="B1795" s="22"/>
      <c r="C1795" s="22"/>
      <c r="D1795" s="22"/>
      <c r="E1795" s="22"/>
      <c r="F1795" s="28"/>
      <c r="G1795" s="28"/>
      <c r="H1795" s="28"/>
      <c r="I1795" s="28"/>
      <c r="J1795" s="28"/>
      <c r="K1795" s="28"/>
      <c r="L1795" s="28"/>
      <c r="M1795" s="22"/>
      <c r="N1795" s="22"/>
      <c r="O1795" s="22"/>
      <c r="P1795" s="22"/>
      <c r="Q1795" s="22"/>
      <c r="R1795" s="28"/>
      <c r="S1795" s="28"/>
      <c r="T1795" s="28"/>
      <c r="U1795" s="28"/>
      <c r="V1795" s="22"/>
      <c r="W1795" s="22"/>
      <c r="X1795" s="22"/>
      <c r="Y1795" s="22"/>
      <c r="Z1795" s="22"/>
      <c r="AA1795" s="22"/>
      <c r="AB1795" s="22"/>
      <c r="AC1795" s="22"/>
      <c r="AD1795" s="22"/>
    </row>
    <row r="1796" spans="1:30" ht="15.75" customHeight="1" x14ac:dyDescent="0.15">
      <c r="A1796" s="22"/>
      <c r="B1796" s="22"/>
      <c r="C1796" s="22"/>
      <c r="D1796" s="22"/>
      <c r="E1796" s="22"/>
      <c r="F1796" s="28"/>
      <c r="G1796" s="28"/>
      <c r="H1796" s="28"/>
      <c r="I1796" s="28"/>
      <c r="J1796" s="28"/>
      <c r="K1796" s="28"/>
      <c r="L1796" s="28"/>
      <c r="M1796" s="22"/>
      <c r="N1796" s="22"/>
      <c r="O1796" s="22"/>
      <c r="P1796" s="22"/>
      <c r="Q1796" s="22"/>
      <c r="R1796" s="28"/>
      <c r="S1796" s="28"/>
      <c r="T1796" s="28"/>
      <c r="U1796" s="28"/>
      <c r="V1796" s="22"/>
      <c r="W1796" s="22"/>
      <c r="X1796" s="22"/>
      <c r="Y1796" s="22"/>
      <c r="Z1796" s="22"/>
      <c r="AA1796" s="22"/>
      <c r="AB1796" s="22"/>
      <c r="AC1796" s="22"/>
      <c r="AD1796" s="22"/>
    </row>
    <row r="1797" spans="1:30" ht="15.75" customHeight="1" x14ac:dyDescent="0.15">
      <c r="A1797" s="22"/>
      <c r="B1797" s="22"/>
      <c r="C1797" s="22"/>
      <c r="D1797" s="22"/>
      <c r="E1797" s="22"/>
      <c r="F1797" s="28"/>
      <c r="G1797" s="28"/>
      <c r="H1797" s="28"/>
      <c r="I1797" s="28"/>
      <c r="J1797" s="28"/>
      <c r="K1797" s="28"/>
      <c r="L1797" s="28"/>
      <c r="M1797" s="22"/>
      <c r="N1797" s="22"/>
      <c r="O1797" s="22"/>
      <c r="P1797" s="22"/>
      <c r="Q1797" s="22"/>
      <c r="R1797" s="28"/>
      <c r="S1797" s="28"/>
      <c r="T1797" s="28"/>
      <c r="U1797" s="28"/>
      <c r="V1797" s="22"/>
      <c r="W1797" s="22"/>
      <c r="X1797" s="22"/>
      <c r="Y1797" s="22"/>
      <c r="Z1797" s="22"/>
      <c r="AA1797" s="22"/>
      <c r="AB1797" s="22"/>
      <c r="AC1797" s="22"/>
      <c r="AD1797" s="22"/>
    </row>
    <row r="1798" spans="1:30" ht="15.75" customHeight="1" x14ac:dyDescent="0.15">
      <c r="A1798" s="22"/>
      <c r="B1798" s="22"/>
      <c r="C1798" s="22"/>
      <c r="D1798" s="22"/>
      <c r="E1798" s="22"/>
      <c r="F1798" s="28"/>
      <c r="G1798" s="28"/>
      <c r="H1798" s="28"/>
      <c r="I1798" s="28"/>
      <c r="J1798" s="28"/>
      <c r="K1798" s="28"/>
      <c r="L1798" s="28"/>
      <c r="M1798" s="22"/>
      <c r="N1798" s="22"/>
      <c r="O1798" s="22"/>
      <c r="P1798" s="22"/>
      <c r="Q1798" s="22"/>
      <c r="R1798" s="28"/>
      <c r="S1798" s="28"/>
      <c r="T1798" s="28"/>
      <c r="U1798" s="28"/>
      <c r="V1798" s="22"/>
      <c r="W1798" s="22"/>
      <c r="X1798" s="22"/>
      <c r="Y1798" s="22"/>
      <c r="Z1798" s="22"/>
      <c r="AA1798" s="22"/>
      <c r="AB1798" s="22"/>
      <c r="AC1798" s="22"/>
      <c r="AD1798" s="22"/>
    </row>
    <row r="1799" spans="1:30" ht="15.75" customHeight="1" x14ac:dyDescent="0.15">
      <c r="A1799" s="22"/>
      <c r="B1799" s="22"/>
      <c r="C1799" s="22"/>
      <c r="D1799" s="22"/>
      <c r="E1799" s="22"/>
      <c r="F1799" s="28"/>
      <c r="G1799" s="28"/>
      <c r="H1799" s="28"/>
      <c r="I1799" s="28"/>
      <c r="J1799" s="28"/>
      <c r="K1799" s="28"/>
      <c r="L1799" s="28"/>
      <c r="M1799" s="22"/>
      <c r="N1799" s="22"/>
      <c r="O1799" s="22"/>
      <c r="P1799" s="22"/>
      <c r="Q1799" s="22"/>
      <c r="R1799" s="28"/>
      <c r="S1799" s="28"/>
      <c r="T1799" s="28"/>
      <c r="U1799" s="28"/>
      <c r="V1799" s="22"/>
      <c r="W1799" s="22"/>
      <c r="X1799" s="22"/>
      <c r="Y1799" s="22"/>
      <c r="Z1799" s="22"/>
      <c r="AA1799" s="22"/>
      <c r="AB1799" s="22"/>
      <c r="AC1799" s="22"/>
      <c r="AD1799" s="22"/>
    </row>
    <row r="1800" spans="1:30" ht="15.75" customHeight="1" x14ac:dyDescent="0.15">
      <c r="A1800" s="22"/>
      <c r="B1800" s="22"/>
      <c r="C1800" s="22"/>
      <c r="D1800" s="22"/>
      <c r="E1800" s="22"/>
      <c r="F1800" s="28"/>
      <c r="G1800" s="28"/>
      <c r="H1800" s="28"/>
      <c r="I1800" s="28"/>
      <c r="J1800" s="28"/>
      <c r="K1800" s="28"/>
      <c r="L1800" s="28"/>
      <c r="M1800" s="22"/>
      <c r="N1800" s="22"/>
      <c r="O1800" s="22"/>
      <c r="P1800" s="22"/>
      <c r="Q1800" s="22"/>
      <c r="R1800" s="28"/>
      <c r="S1800" s="28"/>
      <c r="T1800" s="28"/>
      <c r="U1800" s="28"/>
      <c r="V1800" s="22"/>
      <c r="W1800" s="22"/>
      <c r="X1800" s="22"/>
      <c r="Y1800" s="22"/>
      <c r="Z1800" s="22"/>
      <c r="AA1800" s="22"/>
      <c r="AB1800" s="22"/>
      <c r="AC1800" s="22"/>
      <c r="AD1800" s="22"/>
    </row>
    <row r="1801" spans="1:30" ht="15.75" customHeight="1" x14ac:dyDescent="0.15">
      <c r="A1801" s="22"/>
      <c r="B1801" s="22"/>
      <c r="C1801" s="22"/>
      <c r="D1801" s="22"/>
      <c r="E1801" s="22"/>
      <c r="F1801" s="28"/>
      <c r="G1801" s="28"/>
      <c r="H1801" s="28"/>
      <c r="I1801" s="28"/>
      <c r="J1801" s="28"/>
      <c r="K1801" s="28"/>
      <c r="L1801" s="28"/>
      <c r="M1801" s="22"/>
      <c r="N1801" s="22"/>
      <c r="O1801" s="22"/>
      <c r="P1801" s="22"/>
      <c r="Q1801" s="22"/>
      <c r="R1801" s="28"/>
      <c r="S1801" s="28"/>
      <c r="T1801" s="28"/>
      <c r="U1801" s="28"/>
      <c r="V1801" s="22"/>
      <c r="W1801" s="22"/>
      <c r="X1801" s="22"/>
      <c r="Y1801" s="22"/>
      <c r="Z1801" s="22"/>
      <c r="AA1801" s="22"/>
      <c r="AB1801" s="22"/>
      <c r="AC1801" s="22"/>
      <c r="AD1801" s="22"/>
    </row>
    <row r="1802" spans="1:30" ht="15.75" customHeight="1" x14ac:dyDescent="0.15">
      <c r="A1802" s="22"/>
      <c r="B1802" s="22"/>
      <c r="C1802" s="22"/>
      <c r="D1802" s="22"/>
      <c r="E1802" s="22"/>
      <c r="F1802" s="28"/>
      <c r="G1802" s="28"/>
      <c r="H1802" s="28"/>
      <c r="I1802" s="28"/>
      <c r="J1802" s="28"/>
      <c r="K1802" s="28"/>
      <c r="L1802" s="28"/>
      <c r="M1802" s="22"/>
      <c r="N1802" s="22"/>
      <c r="O1802" s="22"/>
      <c r="P1802" s="22"/>
      <c r="Q1802" s="22"/>
      <c r="R1802" s="28"/>
      <c r="S1802" s="28"/>
      <c r="T1802" s="28"/>
      <c r="U1802" s="28"/>
      <c r="V1802" s="22"/>
      <c r="W1802" s="22"/>
      <c r="X1802" s="22"/>
      <c r="Y1802" s="22"/>
      <c r="Z1802" s="22"/>
      <c r="AA1802" s="22"/>
      <c r="AB1802" s="22"/>
      <c r="AC1802" s="22"/>
      <c r="AD1802" s="22"/>
    </row>
    <row r="1803" spans="1:30" ht="15.75" customHeight="1" x14ac:dyDescent="0.15">
      <c r="A1803" s="22"/>
      <c r="B1803" s="22"/>
      <c r="C1803" s="22"/>
      <c r="D1803" s="22"/>
      <c r="E1803" s="22"/>
      <c r="F1803" s="28"/>
      <c r="G1803" s="28"/>
      <c r="H1803" s="28"/>
      <c r="I1803" s="28"/>
      <c r="J1803" s="28"/>
      <c r="K1803" s="28"/>
      <c r="L1803" s="28"/>
      <c r="M1803" s="22"/>
      <c r="N1803" s="22"/>
      <c r="O1803" s="22"/>
      <c r="P1803" s="22"/>
      <c r="Q1803" s="22"/>
      <c r="R1803" s="28"/>
      <c r="S1803" s="28"/>
      <c r="T1803" s="28"/>
      <c r="U1803" s="28"/>
      <c r="V1803" s="22"/>
      <c r="W1803" s="22"/>
      <c r="X1803" s="22"/>
      <c r="Y1803" s="22"/>
      <c r="Z1803" s="22"/>
      <c r="AA1803" s="22"/>
      <c r="AB1803" s="22"/>
      <c r="AC1803" s="22"/>
      <c r="AD1803" s="22"/>
    </row>
    <row r="1804" spans="1:30" ht="15.75" customHeight="1" x14ac:dyDescent="0.15">
      <c r="A1804" s="22"/>
      <c r="B1804" s="22"/>
      <c r="C1804" s="22"/>
      <c r="D1804" s="22"/>
      <c r="E1804" s="22"/>
      <c r="F1804" s="28"/>
      <c r="G1804" s="28"/>
      <c r="H1804" s="28"/>
      <c r="I1804" s="28"/>
      <c r="J1804" s="28"/>
      <c r="K1804" s="28"/>
      <c r="L1804" s="28"/>
      <c r="M1804" s="22"/>
      <c r="N1804" s="22"/>
      <c r="O1804" s="22"/>
      <c r="P1804" s="22"/>
      <c r="Q1804" s="22"/>
      <c r="R1804" s="28"/>
      <c r="S1804" s="28"/>
      <c r="T1804" s="28"/>
      <c r="U1804" s="28"/>
      <c r="V1804" s="22"/>
      <c r="W1804" s="22"/>
      <c r="X1804" s="22"/>
      <c r="Y1804" s="22"/>
      <c r="Z1804" s="22"/>
      <c r="AA1804" s="22"/>
      <c r="AB1804" s="22"/>
      <c r="AC1804" s="22"/>
      <c r="AD1804" s="22"/>
    </row>
    <row r="1805" spans="1:30" ht="15.75" customHeight="1" x14ac:dyDescent="0.15">
      <c r="A1805" s="22"/>
      <c r="B1805" s="22"/>
      <c r="C1805" s="22"/>
      <c r="D1805" s="22"/>
      <c r="E1805" s="22"/>
      <c r="F1805" s="28"/>
      <c r="G1805" s="28"/>
      <c r="H1805" s="28"/>
      <c r="I1805" s="28"/>
      <c r="J1805" s="28"/>
      <c r="K1805" s="28"/>
      <c r="L1805" s="28"/>
      <c r="M1805" s="22"/>
      <c r="N1805" s="22"/>
      <c r="O1805" s="22"/>
      <c r="P1805" s="22"/>
      <c r="Q1805" s="22"/>
      <c r="R1805" s="28"/>
      <c r="S1805" s="28"/>
      <c r="T1805" s="28"/>
      <c r="U1805" s="28"/>
      <c r="V1805" s="22"/>
      <c r="W1805" s="22"/>
      <c r="X1805" s="22"/>
      <c r="Y1805" s="22"/>
      <c r="Z1805" s="22"/>
      <c r="AA1805" s="22"/>
      <c r="AB1805" s="22"/>
      <c r="AC1805" s="22"/>
      <c r="AD1805" s="22"/>
    </row>
    <row r="1806" spans="1:30" ht="15.75" customHeight="1" x14ac:dyDescent="0.15">
      <c r="A1806" s="22"/>
      <c r="B1806" s="22"/>
      <c r="C1806" s="22"/>
      <c r="D1806" s="22"/>
      <c r="E1806" s="22"/>
      <c r="F1806" s="28"/>
      <c r="G1806" s="28"/>
      <c r="H1806" s="28"/>
      <c r="I1806" s="28"/>
      <c r="J1806" s="28"/>
      <c r="K1806" s="28"/>
      <c r="L1806" s="28"/>
      <c r="M1806" s="22"/>
      <c r="N1806" s="22"/>
      <c r="O1806" s="22"/>
      <c r="P1806" s="22"/>
      <c r="Q1806" s="22"/>
      <c r="R1806" s="28"/>
      <c r="S1806" s="28"/>
      <c r="T1806" s="28"/>
      <c r="U1806" s="28"/>
      <c r="V1806" s="22"/>
      <c r="W1806" s="22"/>
      <c r="X1806" s="22"/>
      <c r="Y1806" s="22"/>
      <c r="Z1806" s="22"/>
      <c r="AA1806" s="22"/>
      <c r="AB1806" s="22"/>
      <c r="AC1806" s="22"/>
      <c r="AD1806" s="22"/>
    </row>
    <row r="1807" spans="1:30" ht="15.75" customHeight="1" x14ac:dyDescent="0.15">
      <c r="A1807" s="22"/>
      <c r="B1807" s="22"/>
      <c r="C1807" s="22"/>
      <c r="D1807" s="22"/>
      <c r="E1807" s="22"/>
      <c r="F1807" s="28"/>
      <c r="G1807" s="28"/>
      <c r="H1807" s="28"/>
      <c r="I1807" s="28"/>
      <c r="J1807" s="28"/>
      <c r="K1807" s="28"/>
      <c r="L1807" s="28"/>
      <c r="M1807" s="22"/>
      <c r="N1807" s="22"/>
      <c r="O1807" s="22"/>
      <c r="P1807" s="22"/>
      <c r="Q1807" s="22"/>
      <c r="R1807" s="28"/>
      <c r="S1807" s="28"/>
      <c r="T1807" s="28"/>
      <c r="U1807" s="28"/>
      <c r="V1807" s="22"/>
      <c r="W1807" s="22"/>
      <c r="X1807" s="22"/>
      <c r="Y1807" s="22"/>
      <c r="Z1807" s="22"/>
      <c r="AA1807" s="22"/>
      <c r="AB1807" s="22"/>
      <c r="AC1807" s="22"/>
      <c r="AD1807" s="22"/>
    </row>
    <row r="1808" spans="1:30" ht="15.75" customHeight="1" x14ac:dyDescent="0.15">
      <c r="A1808" s="22"/>
      <c r="B1808" s="22"/>
      <c r="C1808" s="22"/>
      <c r="D1808" s="22"/>
      <c r="E1808" s="22"/>
      <c r="F1808" s="28"/>
      <c r="G1808" s="28"/>
      <c r="H1808" s="28"/>
      <c r="I1808" s="28"/>
      <c r="J1808" s="28"/>
      <c r="K1808" s="28"/>
      <c r="L1808" s="28"/>
      <c r="M1808" s="22"/>
      <c r="N1808" s="22"/>
      <c r="O1808" s="22"/>
      <c r="P1808" s="22"/>
      <c r="Q1808" s="22"/>
      <c r="R1808" s="28"/>
      <c r="S1808" s="28"/>
      <c r="T1808" s="28"/>
      <c r="U1808" s="28"/>
      <c r="V1808" s="22"/>
      <c r="W1808" s="22"/>
      <c r="X1808" s="22"/>
      <c r="Y1808" s="22"/>
      <c r="Z1808" s="22"/>
      <c r="AA1808" s="22"/>
      <c r="AB1808" s="22"/>
      <c r="AC1808" s="22"/>
      <c r="AD1808" s="22"/>
    </row>
    <row r="1809" spans="1:30" ht="15.75" customHeight="1" x14ac:dyDescent="0.15">
      <c r="A1809" s="22"/>
      <c r="B1809" s="22"/>
      <c r="C1809" s="22"/>
      <c r="D1809" s="22"/>
      <c r="E1809" s="22"/>
      <c r="F1809" s="28"/>
      <c r="G1809" s="28"/>
      <c r="H1809" s="28"/>
      <c r="I1809" s="28"/>
      <c r="J1809" s="28"/>
      <c r="K1809" s="28"/>
      <c r="L1809" s="28"/>
      <c r="M1809" s="22"/>
      <c r="N1809" s="22"/>
      <c r="O1809" s="22"/>
      <c r="P1809" s="22"/>
      <c r="Q1809" s="22"/>
      <c r="R1809" s="28"/>
      <c r="S1809" s="28"/>
      <c r="T1809" s="28"/>
      <c r="U1809" s="28"/>
      <c r="V1809" s="22"/>
      <c r="W1809" s="22"/>
      <c r="X1809" s="22"/>
      <c r="Y1809" s="22"/>
      <c r="Z1809" s="22"/>
      <c r="AA1809" s="22"/>
      <c r="AB1809" s="22"/>
      <c r="AC1809" s="22"/>
      <c r="AD1809" s="22"/>
    </row>
    <row r="1810" spans="1:30" ht="15.75" customHeight="1" x14ac:dyDescent="0.15">
      <c r="A1810" s="22"/>
      <c r="B1810" s="22"/>
      <c r="C1810" s="22"/>
      <c r="D1810" s="22"/>
      <c r="E1810" s="22"/>
      <c r="F1810" s="28"/>
      <c r="G1810" s="28"/>
      <c r="H1810" s="28"/>
      <c r="I1810" s="28"/>
      <c r="J1810" s="28"/>
      <c r="K1810" s="28"/>
      <c r="L1810" s="28"/>
      <c r="M1810" s="22"/>
      <c r="N1810" s="22"/>
      <c r="O1810" s="22"/>
      <c r="P1810" s="22"/>
      <c r="Q1810" s="22"/>
      <c r="R1810" s="28"/>
      <c r="S1810" s="28"/>
      <c r="T1810" s="28"/>
      <c r="U1810" s="28"/>
      <c r="V1810" s="22"/>
      <c r="W1810" s="22"/>
      <c r="X1810" s="22"/>
      <c r="Y1810" s="22"/>
      <c r="Z1810" s="22"/>
      <c r="AA1810" s="22"/>
      <c r="AB1810" s="22"/>
      <c r="AC1810" s="22"/>
      <c r="AD1810" s="22"/>
    </row>
    <row r="1811" spans="1:30" ht="15.75" customHeight="1" x14ac:dyDescent="0.15">
      <c r="A1811" s="22"/>
      <c r="B1811" s="22"/>
      <c r="C1811" s="22"/>
      <c r="D1811" s="22"/>
      <c r="E1811" s="22"/>
      <c r="F1811" s="28"/>
      <c r="G1811" s="28"/>
      <c r="H1811" s="28"/>
      <c r="I1811" s="28"/>
      <c r="J1811" s="28"/>
      <c r="K1811" s="28"/>
      <c r="L1811" s="28"/>
      <c r="M1811" s="22"/>
      <c r="N1811" s="22"/>
      <c r="O1811" s="22"/>
      <c r="P1811" s="22"/>
      <c r="Q1811" s="22"/>
      <c r="R1811" s="28"/>
      <c r="S1811" s="28"/>
      <c r="T1811" s="28"/>
      <c r="U1811" s="28"/>
      <c r="V1811" s="22"/>
      <c r="W1811" s="22"/>
      <c r="X1811" s="22"/>
      <c r="Y1811" s="22"/>
      <c r="Z1811" s="22"/>
      <c r="AA1811" s="22"/>
      <c r="AB1811" s="22"/>
      <c r="AC1811" s="22"/>
      <c r="AD1811" s="22"/>
    </row>
    <row r="1812" spans="1:30" ht="15.75" customHeight="1" x14ac:dyDescent="0.15">
      <c r="A1812" s="22"/>
      <c r="B1812" s="22"/>
      <c r="C1812" s="22"/>
      <c r="D1812" s="22"/>
      <c r="E1812" s="22"/>
      <c r="F1812" s="28"/>
      <c r="G1812" s="28"/>
      <c r="H1812" s="28"/>
      <c r="I1812" s="28"/>
      <c r="J1812" s="28"/>
      <c r="K1812" s="28"/>
      <c r="L1812" s="28"/>
      <c r="M1812" s="22"/>
      <c r="N1812" s="22"/>
      <c r="O1812" s="22"/>
      <c r="P1812" s="22"/>
      <c r="Q1812" s="22"/>
      <c r="R1812" s="28"/>
      <c r="S1812" s="28"/>
      <c r="T1812" s="28"/>
      <c r="U1812" s="28"/>
      <c r="V1812" s="22"/>
      <c r="W1812" s="22"/>
      <c r="X1812" s="22"/>
      <c r="Y1812" s="22"/>
      <c r="Z1812" s="22"/>
      <c r="AA1812" s="22"/>
      <c r="AB1812" s="22"/>
      <c r="AC1812" s="22"/>
      <c r="AD1812" s="22"/>
    </row>
    <row r="1813" spans="1:30" ht="15.75" customHeight="1" x14ac:dyDescent="0.15">
      <c r="A1813" s="22"/>
      <c r="B1813" s="22"/>
      <c r="C1813" s="22"/>
      <c r="D1813" s="22"/>
      <c r="E1813" s="22"/>
      <c r="F1813" s="28"/>
      <c r="G1813" s="28"/>
      <c r="H1813" s="28"/>
      <c r="I1813" s="28"/>
      <c r="J1813" s="28"/>
      <c r="K1813" s="28"/>
      <c r="L1813" s="28"/>
      <c r="M1813" s="22"/>
      <c r="N1813" s="22"/>
      <c r="O1813" s="22"/>
      <c r="P1813" s="22"/>
      <c r="Q1813" s="22"/>
      <c r="R1813" s="28"/>
      <c r="S1813" s="28"/>
      <c r="T1813" s="28"/>
      <c r="U1813" s="28"/>
      <c r="V1813" s="22"/>
      <c r="W1813" s="22"/>
      <c r="X1813" s="22"/>
      <c r="Y1813" s="22"/>
      <c r="Z1813" s="22"/>
      <c r="AA1813" s="22"/>
      <c r="AB1813" s="22"/>
      <c r="AC1813" s="22"/>
      <c r="AD1813" s="22"/>
    </row>
    <row r="1814" spans="1:30" ht="15.75" customHeight="1" x14ac:dyDescent="0.15">
      <c r="A1814" s="22"/>
      <c r="B1814" s="22"/>
      <c r="C1814" s="22"/>
      <c r="D1814" s="22"/>
      <c r="E1814" s="22"/>
      <c r="F1814" s="28"/>
      <c r="G1814" s="28"/>
      <c r="H1814" s="28"/>
      <c r="I1814" s="28"/>
      <c r="J1814" s="28"/>
      <c r="K1814" s="28"/>
      <c r="L1814" s="28"/>
      <c r="M1814" s="22"/>
      <c r="N1814" s="22"/>
      <c r="O1814" s="22"/>
      <c r="P1814" s="22"/>
      <c r="Q1814" s="22"/>
      <c r="R1814" s="28"/>
      <c r="S1814" s="28"/>
      <c r="T1814" s="28"/>
      <c r="U1814" s="28"/>
      <c r="V1814" s="22"/>
      <c r="W1814" s="22"/>
      <c r="X1814" s="22"/>
      <c r="Y1814" s="22"/>
      <c r="Z1814" s="22"/>
      <c r="AA1814" s="22"/>
      <c r="AB1814" s="22"/>
      <c r="AC1814" s="22"/>
      <c r="AD1814" s="22"/>
    </row>
    <row r="1815" spans="1:30" ht="15.75" customHeight="1" x14ac:dyDescent="0.15">
      <c r="A1815" s="22"/>
      <c r="B1815" s="22"/>
      <c r="C1815" s="22"/>
      <c r="D1815" s="22"/>
      <c r="E1815" s="22"/>
      <c r="F1815" s="28"/>
      <c r="G1815" s="28"/>
      <c r="H1815" s="28"/>
      <c r="I1815" s="28"/>
      <c r="J1815" s="28"/>
      <c r="K1815" s="28"/>
      <c r="L1815" s="28"/>
      <c r="M1815" s="22"/>
      <c r="N1815" s="22"/>
      <c r="O1815" s="22"/>
      <c r="P1815" s="22"/>
      <c r="Q1815" s="22"/>
      <c r="R1815" s="28"/>
      <c r="S1815" s="28"/>
      <c r="T1815" s="28"/>
      <c r="U1815" s="28"/>
      <c r="V1815" s="22"/>
      <c r="W1815" s="22"/>
      <c r="X1815" s="22"/>
      <c r="Y1815" s="22"/>
      <c r="Z1815" s="22"/>
      <c r="AA1815" s="22"/>
      <c r="AB1815" s="22"/>
      <c r="AC1815" s="22"/>
      <c r="AD1815" s="22"/>
    </row>
    <row r="1816" spans="1:30" ht="15.75" customHeight="1" x14ac:dyDescent="0.15">
      <c r="A1816" s="22"/>
      <c r="B1816" s="22"/>
      <c r="C1816" s="22"/>
      <c r="D1816" s="22"/>
      <c r="E1816" s="22"/>
      <c r="F1816" s="28"/>
      <c r="G1816" s="28"/>
      <c r="H1816" s="28"/>
      <c r="I1816" s="28"/>
      <c r="J1816" s="28"/>
      <c r="K1816" s="28"/>
      <c r="L1816" s="28"/>
      <c r="M1816" s="22"/>
      <c r="N1816" s="22"/>
      <c r="O1816" s="22"/>
      <c r="P1816" s="22"/>
      <c r="Q1816" s="22"/>
      <c r="R1816" s="28"/>
      <c r="S1816" s="28"/>
      <c r="T1816" s="28"/>
      <c r="U1816" s="28"/>
      <c r="V1816" s="22"/>
      <c r="W1816" s="22"/>
      <c r="X1816" s="22"/>
      <c r="Y1816" s="22"/>
      <c r="Z1816" s="22"/>
      <c r="AA1816" s="22"/>
      <c r="AB1816" s="22"/>
      <c r="AC1816" s="22"/>
      <c r="AD1816" s="22"/>
    </row>
    <row r="1817" spans="1:30" ht="15.75" customHeight="1" x14ac:dyDescent="0.15">
      <c r="A1817" s="22"/>
      <c r="B1817" s="22"/>
      <c r="C1817" s="22"/>
      <c r="D1817" s="22"/>
      <c r="E1817" s="22"/>
      <c r="F1817" s="28"/>
      <c r="G1817" s="28"/>
      <c r="H1817" s="28"/>
      <c r="I1817" s="28"/>
      <c r="J1817" s="28"/>
      <c r="K1817" s="28"/>
      <c r="L1817" s="28"/>
      <c r="M1817" s="22"/>
      <c r="N1817" s="22"/>
      <c r="O1817" s="22"/>
      <c r="P1817" s="22"/>
      <c r="Q1817" s="22"/>
      <c r="R1817" s="28"/>
      <c r="S1817" s="28"/>
      <c r="T1817" s="28"/>
      <c r="U1817" s="28"/>
      <c r="V1817" s="22"/>
      <c r="W1817" s="22"/>
      <c r="X1817" s="22"/>
      <c r="Y1817" s="22"/>
      <c r="Z1817" s="22"/>
      <c r="AA1817" s="22"/>
      <c r="AB1817" s="22"/>
      <c r="AC1817" s="22"/>
      <c r="AD1817" s="22"/>
    </row>
    <row r="1818" spans="1:30" ht="15.75" customHeight="1" x14ac:dyDescent="0.15">
      <c r="A1818" s="22"/>
      <c r="B1818" s="22"/>
      <c r="C1818" s="22"/>
      <c r="D1818" s="22"/>
      <c r="E1818" s="22"/>
      <c r="F1818" s="28"/>
      <c r="G1818" s="28"/>
      <c r="H1818" s="28"/>
      <c r="I1818" s="28"/>
      <c r="J1818" s="28"/>
      <c r="K1818" s="28"/>
      <c r="L1818" s="28"/>
      <c r="M1818" s="22"/>
      <c r="N1818" s="22"/>
      <c r="O1818" s="22"/>
      <c r="P1818" s="22"/>
      <c r="Q1818" s="22"/>
      <c r="R1818" s="28"/>
      <c r="S1818" s="28"/>
      <c r="T1818" s="28"/>
      <c r="U1818" s="28"/>
      <c r="V1818" s="22"/>
      <c r="W1818" s="22"/>
      <c r="X1818" s="22"/>
      <c r="Y1818" s="22"/>
      <c r="Z1818" s="22"/>
      <c r="AA1818" s="22"/>
      <c r="AB1818" s="22"/>
      <c r="AC1818" s="22"/>
      <c r="AD1818" s="22"/>
    </row>
    <row r="1819" spans="1:30" ht="15.75" customHeight="1" x14ac:dyDescent="0.15">
      <c r="A1819" s="22"/>
      <c r="B1819" s="22"/>
      <c r="C1819" s="22"/>
      <c r="D1819" s="22"/>
      <c r="E1819" s="22"/>
      <c r="F1819" s="28"/>
      <c r="G1819" s="28"/>
      <c r="H1819" s="28"/>
      <c r="I1819" s="28"/>
      <c r="J1819" s="28"/>
      <c r="K1819" s="28"/>
      <c r="L1819" s="28"/>
      <c r="M1819" s="22"/>
      <c r="N1819" s="22"/>
      <c r="O1819" s="22"/>
      <c r="P1819" s="22"/>
      <c r="Q1819" s="22"/>
      <c r="R1819" s="28"/>
      <c r="S1819" s="28"/>
      <c r="T1819" s="28"/>
      <c r="U1819" s="28"/>
      <c r="V1819" s="22"/>
      <c r="W1819" s="22"/>
      <c r="X1819" s="22"/>
      <c r="Y1819" s="22"/>
      <c r="Z1819" s="22"/>
      <c r="AA1819" s="22"/>
      <c r="AB1819" s="22"/>
      <c r="AC1819" s="22"/>
      <c r="AD1819" s="22"/>
    </row>
    <row r="1820" spans="1:30" ht="15.75" customHeight="1" x14ac:dyDescent="0.15">
      <c r="A1820" s="22"/>
      <c r="B1820" s="22"/>
      <c r="C1820" s="22"/>
      <c r="D1820" s="22"/>
      <c r="E1820" s="22"/>
      <c r="F1820" s="28"/>
      <c r="G1820" s="28"/>
      <c r="H1820" s="28"/>
      <c r="I1820" s="28"/>
      <c r="J1820" s="28"/>
      <c r="K1820" s="28"/>
      <c r="L1820" s="28"/>
      <c r="M1820" s="22"/>
      <c r="N1820" s="22"/>
      <c r="O1820" s="22"/>
      <c r="P1820" s="22"/>
      <c r="Q1820" s="22"/>
      <c r="R1820" s="28"/>
      <c r="S1820" s="28"/>
      <c r="T1820" s="28"/>
      <c r="U1820" s="28"/>
      <c r="V1820" s="22"/>
      <c r="W1820" s="22"/>
      <c r="X1820" s="22"/>
      <c r="Y1820" s="22"/>
      <c r="Z1820" s="22"/>
      <c r="AA1820" s="22"/>
      <c r="AB1820" s="22"/>
      <c r="AC1820" s="22"/>
      <c r="AD1820" s="22"/>
    </row>
    <row r="1821" spans="1:30" ht="15.75" customHeight="1" x14ac:dyDescent="0.15">
      <c r="A1821" s="22"/>
      <c r="B1821" s="22"/>
      <c r="C1821" s="22"/>
      <c r="D1821" s="22"/>
      <c r="E1821" s="22"/>
      <c r="F1821" s="28"/>
      <c r="G1821" s="28"/>
      <c r="H1821" s="28"/>
      <c r="I1821" s="28"/>
      <c r="J1821" s="28"/>
      <c r="K1821" s="28"/>
      <c r="L1821" s="28"/>
      <c r="M1821" s="22"/>
      <c r="N1821" s="22"/>
      <c r="O1821" s="22"/>
      <c r="P1821" s="22"/>
      <c r="Q1821" s="22"/>
      <c r="R1821" s="28"/>
      <c r="S1821" s="28"/>
      <c r="T1821" s="28"/>
      <c r="U1821" s="28"/>
      <c r="V1821" s="22"/>
      <c r="W1821" s="22"/>
      <c r="X1821" s="22"/>
      <c r="Y1821" s="22"/>
      <c r="Z1821" s="22"/>
      <c r="AA1821" s="22"/>
      <c r="AB1821" s="22"/>
      <c r="AC1821" s="22"/>
      <c r="AD1821" s="22"/>
    </row>
    <row r="1822" spans="1:30" ht="15.75" customHeight="1" x14ac:dyDescent="0.15">
      <c r="A1822" s="22"/>
      <c r="B1822" s="22"/>
      <c r="C1822" s="22"/>
      <c r="D1822" s="22"/>
      <c r="E1822" s="22"/>
      <c r="F1822" s="28"/>
      <c r="G1822" s="28"/>
      <c r="H1822" s="28"/>
      <c r="I1822" s="28"/>
      <c r="J1822" s="28"/>
      <c r="K1822" s="28"/>
      <c r="L1822" s="28"/>
      <c r="M1822" s="22"/>
      <c r="N1822" s="22"/>
      <c r="O1822" s="22"/>
      <c r="P1822" s="22"/>
      <c r="Q1822" s="22"/>
      <c r="R1822" s="28"/>
      <c r="S1822" s="28"/>
      <c r="T1822" s="28"/>
      <c r="U1822" s="28"/>
      <c r="V1822" s="22"/>
      <c r="W1822" s="22"/>
      <c r="X1822" s="22"/>
      <c r="Y1822" s="22"/>
      <c r="Z1822" s="22"/>
      <c r="AA1822" s="22"/>
      <c r="AB1822" s="22"/>
      <c r="AC1822" s="22"/>
      <c r="AD1822" s="22"/>
    </row>
    <row r="1823" spans="1:30" ht="15.75" customHeight="1" x14ac:dyDescent="0.15">
      <c r="A1823" s="22"/>
      <c r="B1823" s="22"/>
      <c r="C1823" s="22"/>
      <c r="D1823" s="22"/>
      <c r="E1823" s="22"/>
      <c r="F1823" s="28"/>
      <c r="G1823" s="28"/>
      <c r="H1823" s="28"/>
      <c r="I1823" s="28"/>
      <c r="J1823" s="28"/>
      <c r="K1823" s="28"/>
      <c r="L1823" s="28"/>
      <c r="M1823" s="22"/>
      <c r="N1823" s="22"/>
      <c r="O1823" s="22"/>
      <c r="P1823" s="22"/>
      <c r="Q1823" s="22"/>
      <c r="R1823" s="28"/>
      <c r="S1823" s="28"/>
      <c r="T1823" s="28"/>
      <c r="U1823" s="28"/>
      <c r="V1823" s="22"/>
      <c r="W1823" s="22"/>
      <c r="X1823" s="22"/>
      <c r="Y1823" s="22"/>
      <c r="Z1823" s="22"/>
      <c r="AA1823" s="22"/>
      <c r="AB1823" s="22"/>
      <c r="AC1823" s="22"/>
      <c r="AD1823" s="22"/>
    </row>
    <row r="1824" spans="1:30" ht="15.75" customHeight="1" x14ac:dyDescent="0.15">
      <c r="A1824" s="22"/>
      <c r="B1824" s="22"/>
      <c r="C1824" s="22"/>
      <c r="D1824" s="22"/>
      <c r="E1824" s="22"/>
      <c r="F1824" s="28"/>
      <c r="G1824" s="28"/>
      <c r="H1824" s="28"/>
      <c r="I1824" s="28"/>
      <c r="J1824" s="28"/>
      <c r="K1824" s="28"/>
      <c r="L1824" s="28"/>
      <c r="M1824" s="22"/>
      <c r="N1824" s="22"/>
      <c r="O1824" s="22"/>
      <c r="P1824" s="22"/>
      <c r="Q1824" s="22"/>
      <c r="R1824" s="28"/>
      <c r="S1824" s="28"/>
      <c r="T1824" s="28"/>
      <c r="U1824" s="28"/>
      <c r="V1824" s="22"/>
      <c r="W1824" s="22"/>
      <c r="X1824" s="22"/>
      <c r="Y1824" s="22"/>
      <c r="Z1824" s="22"/>
      <c r="AA1824" s="22"/>
      <c r="AB1824" s="22"/>
      <c r="AC1824" s="22"/>
      <c r="AD1824" s="22"/>
    </row>
    <row r="1825" spans="1:30" ht="15.75" customHeight="1" x14ac:dyDescent="0.15">
      <c r="A1825" s="22"/>
      <c r="B1825" s="22"/>
      <c r="C1825" s="22"/>
      <c r="D1825" s="22"/>
      <c r="E1825" s="22"/>
      <c r="F1825" s="28"/>
      <c r="G1825" s="28"/>
      <c r="H1825" s="28"/>
      <c r="I1825" s="28"/>
      <c r="J1825" s="28"/>
      <c r="K1825" s="28"/>
      <c r="L1825" s="28"/>
      <c r="M1825" s="22"/>
      <c r="N1825" s="22"/>
      <c r="O1825" s="22"/>
      <c r="P1825" s="22"/>
      <c r="Q1825" s="22"/>
      <c r="R1825" s="28"/>
      <c r="S1825" s="28"/>
      <c r="T1825" s="28"/>
      <c r="U1825" s="28"/>
      <c r="V1825" s="22"/>
      <c r="W1825" s="22"/>
      <c r="X1825" s="22"/>
      <c r="Y1825" s="22"/>
      <c r="Z1825" s="22"/>
      <c r="AA1825" s="22"/>
      <c r="AB1825" s="22"/>
      <c r="AC1825" s="22"/>
      <c r="AD1825" s="22"/>
    </row>
    <row r="1826" spans="1:30" ht="15.75" customHeight="1" x14ac:dyDescent="0.15">
      <c r="A1826" s="22"/>
      <c r="B1826" s="22"/>
      <c r="C1826" s="22"/>
      <c r="D1826" s="22"/>
      <c r="E1826" s="22"/>
      <c r="F1826" s="28"/>
      <c r="G1826" s="28"/>
      <c r="H1826" s="28"/>
      <c r="I1826" s="28"/>
      <c r="J1826" s="28"/>
      <c r="K1826" s="28"/>
      <c r="L1826" s="28"/>
      <c r="M1826" s="22"/>
      <c r="N1826" s="22"/>
      <c r="O1826" s="22"/>
      <c r="P1826" s="22"/>
      <c r="Q1826" s="22"/>
      <c r="R1826" s="28"/>
      <c r="S1826" s="28"/>
      <c r="T1826" s="28"/>
      <c r="U1826" s="28"/>
      <c r="V1826" s="22"/>
      <c r="W1826" s="22"/>
      <c r="X1826" s="22"/>
      <c r="Y1826" s="22"/>
      <c r="Z1826" s="22"/>
      <c r="AA1826" s="22"/>
      <c r="AB1826" s="22"/>
      <c r="AC1826" s="22"/>
      <c r="AD1826" s="22"/>
    </row>
    <row r="1827" spans="1:30" ht="15.75" customHeight="1" x14ac:dyDescent="0.15">
      <c r="A1827" s="22"/>
      <c r="B1827" s="22"/>
      <c r="C1827" s="22"/>
      <c r="D1827" s="22"/>
      <c r="E1827" s="22"/>
      <c r="F1827" s="28"/>
      <c r="G1827" s="28"/>
      <c r="H1827" s="28"/>
      <c r="I1827" s="28"/>
      <c r="J1827" s="28"/>
      <c r="K1827" s="28"/>
      <c r="L1827" s="28"/>
      <c r="M1827" s="22"/>
      <c r="N1827" s="22"/>
      <c r="O1827" s="22"/>
      <c r="P1827" s="22"/>
      <c r="Q1827" s="22"/>
      <c r="R1827" s="28"/>
      <c r="S1827" s="28"/>
      <c r="T1827" s="28"/>
      <c r="U1827" s="28"/>
      <c r="V1827" s="22"/>
      <c r="W1827" s="22"/>
      <c r="X1827" s="22"/>
      <c r="Y1827" s="22"/>
      <c r="Z1827" s="22"/>
      <c r="AA1827" s="22"/>
      <c r="AB1827" s="22"/>
      <c r="AC1827" s="22"/>
      <c r="AD1827" s="22"/>
    </row>
    <row r="1828" spans="1:30" ht="15.75" customHeight="1" x14ac:dyDescent="0.15">
      <c r="A1828" s="22"/>
      <c r="B1828" s="22"/>
      <c r="C1828" s="22"/>
      <c r="D1828" s="22"/>
      <c r="E1828" s="22"/>
      <c r="F1828" s="28"/>
      <c r="G1828" s="28"/>
      <c r="H1828" s="28"/>
      <c r="I1828" s="28"/>
      <c r="J1828" s="28"/>
      <c r="K1828" s="28"/>
      <c r="L1828" s="28"/>
      <c r="M1828" s="22"/>
      <c r="N1828" s="22"/>
      <c r="O1828" s="22"/>
      <c r="P1828" s="22"/>
      <c r="Q1828" s="22"/>
      <c r="R1828" s="28"/>
      <c r="S1828" s="28"/>
      <c r="T1828" s="28"/>
      <c r="U1828" s="28"/>
      <c r="V1828" s="22"/>
      <c r="W1828" s="22"/>
      <c r="X1828" s="22"/>
      <c r="Y1828" s="22"/>
      <c r="Z1828" s="22"/>
      <c r="AA1828" s="22"/>
      <c r="AB1828" s="22"/>
      <c r="AC1828" s="22"/>
      <c r="AD1828" s="22"/>
    </row>
    <row r="1829" spans="1:30" ht="15.75" customHeight="1" x14ac:dyDescent="0.15">
      <c r="A1829" s="22"/>
      <c r="B1829" s="22"/>
      <c r="C1829" s="22"/>
      <c r="D1829" s="22"/>
      <c r="E1829" s="22"/>
      <c r="F1829" s="28"/>
      <c r="G1829" s="28"/>
      <c r="H1829" s="28"/>
      <c r="I1829" s="28"/>
      <c r="J1829" s="28"/>
      <c r="K1829" s="28"/>
      <c r="L1829" s="28"/>
      <c r="M1829" s="22"/>
      <c r="N1829" s="22"/>
      <c r="O1829" s="22"/>
      <c r="P1829" s="22"/>
      <c r="Q1829" s="22"/>
      <c r="R1829" s="28"/>
      <c r="S1829" s="28"/>
      <c r="T1829" s="28"/>
      <c r="U1829" s="28"/>
      <c r="V1829" s="22"/>
      <c r="W1829" s="22"/>
      <c r="X1829" s="22"/>
      <c r="Y1829" s="22"/>
      <c r="Z1829" s="22"/>
      <c r="AA1829" s="22"/>
      <c r="AB1829" s="22"/>
      <c r="AC1829" s="22"/>
      <c r="AD1829" s="22"/>
    </row>
    <row r="1830" spans="1:30" ht="15.75" customHeight="1" x14ac:dyDescent="0.15">
      <c r="A1830" s="22"/>
      <c r="B1830" s="22"/>
      <c r="C1830" s="22"/>
      <c r="D1830" s="22"/>
      <c r="E1830" s="22"/>
      <c r="F1830" s="28"/>
      <c r="G1830" s="28"/>
      <c r="H1830" s="28"/>
      <c r="I1830" s="28"/>
      <c r="J1830" s="28"/>
      <c r="K1830" s="28"/>
      <c r="L1830" s="28"/>
      <c r="M1830" s="22"/>
      <c r="N1830" s="22"/>
      <c r="O1830" s="22"/>
      <c r="P1830" s="22"/>
      <c r="Q1830" s="22"/>
      <c r="R1830" s="28"/>
      <c r="S1830" s="28"/>
      <c r="T1830" s="28"/>
      <c r="U1830" s="28"/>
      <c r="V1830" s="22"/>
      <c r="W1830" s="22"/>
      <c r="X1830" s="22"/>
      <c r="Y1830" s="22"/>
      <c r="Z1830" s="22"/>
      <c r="AA1830" s="22"/>
      <c r="AB1830" s="22"/>
      <c r="AC1830" s="22"/>
      <c r="AD1830" s="22"/>
    </row>
    <row r="1831" spans="1:30" ht="15.75" customHeight="1" x14ac:dyDescent="0.15">
      <c r="A1831" s="22"/>
      <c r="B1831" s="22"/>
      <c r="C1831" s="22"/>
      <c r="D1831" s="22"/>
      <c r="E1831" s="22"/>
      <c r="F1831" s="28"/>
      <c r="G1831" s="28"/>
      <c r="H1831" s="28"/>
      <c r="I1831" s="28"/>
      <c r="J1831" s="28"/>
      <c r="K1831" s="28"/>
      <c r="L1831" s="28"/>
      <c r="M1831" s="22"/>
      <c r="N1831" s="22"/>
      <c r="O1831" s="22"/>
      <c r="P1831" s="22"/>
      <c r="Q1831" s="22"/>
      <c r="R1831" s="28"/>
      <c r="S1831" s="28"/>
      <c r="T1831" s="28"/>
      <c r="U1831" s="28"/>
      <c r="V1831" s="22"/>
      <c r="W1831" s="22"/>
      <c r="X1831" s="22"/>
      <c r="Y1831" s="22"/>
      <c r="Z1831" s="22"/>
      <c r="AA1831" s="22"/>
      <c r="AB1831" s="22"/>
      <c r="AC1831" s="22"/>
      <c r="AD1831" s="22"/>
    </row>
    <row r="1832" spans="1:30" ht="15.75" customHeight="1" x14ac:dyDescent="0.15">
      <c r="A1832" s="22"/>
      <c r="B1832" s="22"/>
      <c r="C1832" s="22"/>
      <c r="D1832" s="22"/>
      <c r="E1832" s="22"/>
      <c r="F1832" s="28"/>
      <c r="G1832" s="28"/>
      <c r="H1832" s="28"/>
      <c r="I1832" s="28"/>
      <c r="J1832" s="28"/>
      <c r="K1832" s="28"/>
      <c r="L1832" s="28"/>
      <c r="M1832" s="22"/>
      <c r="N1832" s="22"/>
      <c r="O1832" s="22"/>
      <c r="P1832" s="22"/>
      <c r="Q1832" s="22"/>
      <c r="R1832" s="28"/>
      <c r="S1832" s="28"/>
      <c r="T1832" s="28"/>
      <c r="U1832" s="28"/>
      <c r="V1832" s="22"/>
      <c r="W1832" s="22"/>
      <c r="X1832" s="22"/>
      <c r="Y1832" s="22"/>
      <c r="Z1832" s="22"/>
      <c r="AA1832" s="22"/>
      <c r="AB1832" s="22"/>
      <c r="AC1832" s="22"/>
      <c r="AD1832" s="22"/>
    </row>
    <row r="1833" spans="1:30" ht="15.75" customHeight="1" x14ac:dyDescent="0.15">
      <c r="A1833" s="22"/>
      <c r="B1833" s="22"/>
      <c r="C1833" s="22"/>
      <c r="D1833" s="22"/>
      <c r="E1833" s="22"/>
      <c r="F1833" s="28"/>
      <c r="G1833" s="28"/>
      <c r="H1833" s="28"/>
      <c r="I1833" s="28"/>
      <c r="J1833" s="28"/>
      <c r="K1833" s="28"/>
      <c r="L1833" s="28"/>
      <c r="M1833" s="22"/>
      <c r="N1833" s="22"/>
      <c r="O1833" s="22"/>
      <c r="P1833" s="22"/>
      <c r="Q1833" s="22"/>
      <c r="R1833" s="28"/>
      <c r="S1833" s="28"/>
      <c r="T1833" s="28"/>
      <c r="U1833" s="28"/>
      <c r="V1833" s="22"/>
      <c r="W1833" s="22"/>
      <c r="X1833" s="22"/>
      <c r="Y1833" s="22"/>
      <c r="Z1833" s="22"/>
      <c r="AA1833" s="22"/>
      <c r="AB1833" s="22"/>
      <c r="AC1833" s="22"/>
      <c r="AD1833" s="22"/>
    </row>
    <row r="1834" spans="1:30" ht="15.75" customHeight="1" x14ac:dyDescent="0.15">
      <c r="A1834" s="22"/>
      <c r="B1834" s="22"/>
      <c r="C1834" s="22"/>
      <c r="D1834" s="22"/>
      <c r="E1834" s="22"/>
      <c r="F1834" s="28"/>
      <c r="G1834" s="28"/>
      <c r="H1834" s="28"/>
      <c r="I1834" s="28"/>
      <c r="J1834" s="28"/>
      <c r="K1834" s="28"/>
      <c r="L1834" s="28"/>
      <c r="M1834" s="22"/>
      <c r="N1834" s="22"/>
      <c r="O1834" s="22"/>
      <c r="P1834" s="22"/>
      <c r="Q1834" s="22"/>
      <c r="R1834" s="28"/>
      <c r="S1834" s="28"/>
      <c r="T1834" s="28"/>
      <c r="U1834" s="28"/>
      <c r="V1834" s="22"/>
      <c r="W1834" s="22"/>
      <c r="X1834" s="22"/>
      <c r="Y1834" s="22"/>
      <c r="Z1834" s="22"/>
      <c r="AA1834" s="22"/>
      <c r="AB1834" s="22"/>
      <c r="AC1834" s="22"/>
      <c r="AD1834" s="22"/>
    </row>
    <row r="1835" spans="1:30" ht="15.75" customHeight="1" x14ac:dyDescent="0.15">
      <c r="A1835" s="22"/>
      <c r="B1835" s="22"/>
      <c r="C1835" s="22"/>
      <c r="D1835" s="22"/>
      <c r="E1835" s="22"/>
      <c r="F1835" s="28"/>
      <c r="G1835" s="28"/>
      <c r="H1835" s="28"/>
      <c r="I1835" s="28"/>
      <c r="J1835" s="28"/>
      <c r="K1835" s="28"/>
      <c r="L1835" s="28"/>
      <c r="M1835" s="22"/>
      <c r="N1835" s="22"/>
      <c r="O1835" s="22"/>
      <c r="P1835" s="22"/>
      <c r="Q1835" s="22"/>
      <c r="R1835" s="28"/>
      <c r="S1835" s="28"/>
      <c r="T1835" s="28"/>
      <c r="U1835" s="28"/>
      <c r="V1835" s="22"/>
      <c r="W1835" s="22"/>
      <c r="X1835" s="22"/>
      <c r="Y1835" s="22"/>
      <c r="Z1835" s="22"/>
      <c r="AA1835" s="22"/>
      <c r="AB1835" s="22"/>
      <c r="AC1835" s="22"/>
      <c r="AD1835" s="22"/>
    </row>
    <row r="1836" spans="1:30" ht="15.75" customHeight="1" x14ac:dyDescent="0.15">
      <c r="A1836" s="22"/>
      <c r="B1836" s="22"/>
      <c r="C1836" s="22"/>
      <c r="D1836" s="22"/>
      <c r="E1836" s="22"/>
      <c r="F1836" s="28"/>
      <c r="G1836" s="28"/>
      <c r="H1836" s="28"/>
      <c r="I1836" s="28"/>
      <c r="J1836" s="28"/>
      <c r="K1836" s="28"/>
      <c r="L1836" s="28"/>
      <c r="M1836" s="22"/>
      <c r="N1836" s="22"/>
      <c r="O1836" s="22"/>
      <c r="P1836" s="22"/>
      <c r="Q1836" s="22"/>
      <c r="R1836" s="28"/>
      <c r="S1836" s="28"/>
      <c r="T1836" s="28"/>
      <c r="U1836" s="28"/>
      <c r="V1836" s="22"/>
      <c r="W1836" s="22"/>
      <c r="X1836" s="22"/>
      <c r="Y1836" s="22"/>
      <c r="Z1836" s="22"/>
      <c r="AA1836" s="22"/>
      <c r="AB1836" s="22"/>
      <c r="AC1836" s="22"/>
      <c r="AD1836" s="22"/>
    </row>
    <row r="1837" spans="1:30" ht="15.75" customHeight="1" x14ac:dyDescent="0.15">
      <c r="A1837" s="22"/>
      <c r="B1837" s="22"/>
      <c r="C1837" s="22"/>
      <c r="D1837" s="22"/>
      <c r="E1837" s="22"/>
      <c r="F1837" s="28"/>
      <c r="G1837" s="28"/>
      <c r="H1837" s="28"/>
      <c r="I1837" s="28"/>
      <c r="J1837" s="28"/>
      <c r="K1837" s="28"/>
      <c r="L1837" s="28"/>
      <c r="M1837" s="22"/>
      <c r="N1837" s="22"/>
      <c r="O1837" s="22"/>
      <c r="P1837" s="22"/>
      <c r="Q1837" s="22"/>
      <c r="R1837" s="28"/>
      <c r="S1837" s="28"/>
      <c r="T1837" s="28"/>
      <c r="U1837" s="28"/>
      <c r="V1837" s="22"/>
      <c r="W1837" s="22"/>
      <c r="X1837" s="22"/>
      <c r="Y1837" s="22"/>
      <c r="Z1837" s="22"/>
      <c r="AA1837" s="22"/>
      <c r="AB1837" s="22"/>
      <c r="AC1837" s="22"/>
      <c r="AD1837" s="22"/>
    </row>
    <row r="1838" spans="1:30" ht="15.75" customHeight="1" x14ac:dyDescent="0.15">
      <c r="A1838" s="22"/>
      <c r="B1838" s="22"/>
      <c r="C1838" s="22"/>
      <c r="D1838" s="22"/>
      <c r="E1838" s="22"/>
      <c r="F1838" s="28"/>
      <c r="G1838" s="28"/>
      <c r="H1838" s="28"/>
      <c r="I1838" s="28"/>
      <c r="J1838" s="28"/>
      <c r="K1838" s="28"/>
      <c r="L1838" s="28"/>
      <c r="M1838" s="22"/>
      <c r="N1838" s="22"/>
      <c r="O1838" s="22"/>
      <c r="P1838" s="22"/>
      <c r="Q1838" s="22"/>
      <c r="R1838" s="28"/>
      <c r="S1838" s="28"/>
      <c r="T1838" s="28"/>
      <c r="U1838" s="28"/>
      <c r="V1838" s="22"/>
      <c r="W1838" s="22"/>
      <c r="X1838" s="22"/>
      <c r="Y1838" s="22"/>
      <c r="Z1838" s="22"/>
      <c r="AA1838" s="22"/>
      <c r="AB1838" s="22"/>
      <c r="AC1838" s="22"/>
      <c r="AD1838" s="22"/>
    </row>
    <row r="1839" spans="1:30" ht="15.75" customHeight="1" x14ac:dyDescent="0.15">
      <c r="A1839" s="22"/>
      <c r="B1839" s="22"/>
      <c r="C1839" s="22"/>
      <c r="D1839" s="22"/>
      <c r="E1839" s="22"/>
      <c r="F1839" s="28"/>
      <c r="G1839" s="28"/>
      <c r="H1839" s="28"/>
      <c r="I1839" s="28"/>
      <c r="J1839" s="28"/>
      <c r="K1839" s="28"/>
      <c r="L1839" s="28"/>
      <c r="M1839" s="22"/>
      <c r="N1839" s="22"/>
      <c r="O1839" s="22"/>
      <c r="P1839" s="22"/>
      <c r="Q1839" s="22"/>
      <c r="R1839" s="28"/>
      <c r="S1839" s="28"/>
      <c r="T1839" s="28"/>
      <c r="U1839" s="28"/>
      <c r="V1839" s="22"/>
      <c r="W1839" s="22"/>
      <c r="X1839" s="22"/>
      <c r="Y1839" s="22"/>
      <c r="Z1839" s="22"/>
      <c r="AA1839" s="22"/>
      <c r="AB1839" s="22"/>
      <c r="AC1839" s="22"/>
      <c r="AD1839" s="22"/>
    </row>
    <row r="1840" spans="1:30" ht="15.75" customHeight="1" x14ac:dyDescent="0.15">
      <c r="A1840" s="22"/>
      <c r="B1840" s="22"/>
      <c r="C1840" s="22"/>
      <c r="D1840" s="22"/>
      <c r="E1840" s="22"/>
      <c r="F1840" s="28"/>
      <c r="G1840" s="28"/>
      <c r="H1840" s="28"/>
      <c r="I1840" s="28"/>
      <c r="J1840" s="28"/>
      <c r="K1840" s="28"/>
      <c r="L1840" s="28"/>
      <c r="M1840" s="22"/>
      <c r="N1840" s="22"/>
      <c r="O1840" s="22"/>
      <c r="P1840" s="22"/>
      <c r="Q1840" s="22"/>
      <c r="R1840" s="28"/>
      <c r="S1840" s="28"/>
      <c r="T1840" s="28"/>
      <c r="U1840" s="28"/>
      <c r="V1840" s="22"/>
      <c r="W1840" s="22"/>
      <c r="X1840" s="22"/>
      <c r="Y1840" s="22"/>
      <c r="Z1840" s="22"/>
      <c r="AA1840" s="22"/>
      <c r="AB1840" s="22"/>
      <c r="AC1840" s="22"/>
      <c r="AD1840" s="22"/>
    </row>
    <row r="1841" spans="1:30" ht="15.75" customHeight="1" x14ac:dyDescent="0.15">
      <c r="A1841" s="22"/>
      <c r="B1841" s="22"/>
      <c r="C1841" s="22"/>
      <c r="D1841" s="22"/>
      <c r="E1841" s="22"/>
      <c r="F1841" s="28"/>
      <c r="G1841" s="28"/>
      <c r="H1841" s="28"/>
      <c r="I1841" s="28"/>
      <c r="J1841" s="28"/>
      <c r="K1841" s="28"/>
      <c r="L1841" s="28"/>
      <c r="M1841" s="22"/>
      <c r="N1841" s="22"/>
      <c r="O1841" s="22"/>
      <c r="P1841" s="22"/>
      <c r="Q1841" s="22"/>
      <c r="R1841" s="28"/>
      <c r="S1841" s="28"/>
      <c r="T1841" s="28"/>
      <c r="U1841" s="28"/>
      <c r="V1841" s="22"/>
      <c r="W1841" s="22"/>
      <c r="X1841" s="22"/>
      <c r="Y1841" s="22"/>
      <c r="Z1841" s="22"/>
      <c r="AA1841" s="22"/>
      <c r="AB1841" s="22"/>
      <c r="AC1841" s="22"/>
      <c r="AD1841" s="22"/>
    </row>
    <row r="1842" spans="1:30" ht="15.75" customHeight="1" x14ac:dyDescent="0.15">
      <c r="A1842" s="22"/>
      <c r="B1842" s="22"/>
      <c r="C1842" s="22"/>
      <c r="D1842" s="22"/>
      <c r="E1842" s="22"/>
      <c r="F1842" s="28"/>
      <c r="G1842" s="28"/>
      <c r="H1842" s="28"/>
      <c r="I1842" s="28"/>
      <c r="J1842" s="28"/>
      <c r="K1842" s="28"/>
      <c r="L1842" s="28"/>
      <c r="M1842" s="22"/>
      <c r="N1842" s="22"/>
      <c r="O1842" s="22"/>
      <c r="P1842" s="22"/>
      <c r="Q1842" s="22"/>
      <c r="R1842" s="28"/>
      <c r="S1842" s="28"/>
      <c r="T1842" s="28"/>
      <c r="U1842" s="28"/>
      <c r="V1842" s="22"/>
      <c r="W1842" s="22"/>
      <c r="X1842" s="22"/>
      <c r="Y1842" s="22"/>
      <c r="Z1842" s="22"/>
      <c r="AA1842" s="22"/>
      <c r="AB1842" s="22"/>
      <c r="AC1842" s="22"/>
      <c r="AD1842" s="22"/>
    </row>
    <row r="1843" spans="1:30" ht="15.75" customHeight="1" x14ac:dyDescent="0.15">
      <c r="A1843" s="22"/>
      <c r="B1843" s="22"/>
      <c r="C1843" s="22"/>
      <c r="D1843" s="22"/>
      <c r="E1843" s="22"/>
      <c r="F1843" s="28"/>
      <c r="G1843" s="28"/>
      <c r="H1843" s="28"/>
      <c r="I1843" s="28"/>
      <c r="J1843" s="28"/>
      <c r="K1843" s="28"/>
      <c r="L1843" s="28"/>
      <c r="M1843" s="22"/>
      <c r="N1843" s="22"/>
      <c r="O1843" s="22"/>
      <c r="P1843" s="22"/>
      <c r="Q1843" s="22"/>
      <c r="R1843" s="28"/>
      <c r="S1843" s="28"/>
      <c r="T1843" s="28"/>
      <c r="U1843" s="28"/>
      <c r="V1843" s="22"/>
      <c r="W1843" s="22"/>
      <c r="X1843" s="22"/>
      <c r="Y1843" s="22"/>
      <c r="Z1843" s="22"/>
      <c r="AA1843" s="22"/>
      <c r="AB1843" s="22"/>
      <c r="AC1843" s="22"/>
      <c r="AD1843" s="22"/>
    </row>
    <row r="1844" spans="1:30" ht="15.75" customHeight="1" x14ac:dyDescent="0.15">
      <c r="A1844" s="22"/>
      <c r="B1844" s="22"/>
      <c r="C1844" s="22"/>
      <c r="D1844" s="22"/>
      <c r="E1844" s="22"/>
      <c r="F1844" s="28"/>
      <c r="G1844" s="28"/>
      <c r="H1844" s="28"/>
      <c r="I1844" s="28"/>
      <c r="J1844" s="28"/>
      <c r="K1844" s="28"/>
      <c r="L1844" s="28"/>
      <c r="M1844" s="22"/>
      <c r="N1844" s="22"/>
      <c r="O1844" s="22"/>
      <c r="P1844" s="22"/>
      <c r="Q1844" s="22"/>
      <c r="R1844" s="28"/>
      <c r="S1844" s="28"/>
      <c r="T1844" s="28"/>
      <c r="U1844" s="28"/>
      <c r="V1844" s="22"/>
      <c r="W1844" s="22"/>
      <c r="X1844" s="22"/>
      <c r="Y1844" s="22"/>
      <c r="Z1844" s="22"/>
      <c r="AA1844" s="22"/>
      <c r="AB1844" s="22"/>
      <c r="AC1844" s="22"/>
      <c r="AD1844" s="22"/>
    </row>
    <row r="1845" spans="1:30" ht="15.75" customHeight="1" x14ac:dyDescent="0.15">
      <c r="A1845" s="22"/>
      <c r="B1845" s="22"/>
      <c r="C1845" s="22"/>
      <c r="D1845" s="22"/>
      <c r="E1845" s="22"/>
      <c r="F1845" s="28"/>
      <c r="G1845" s="28"/>
      <c r="H1845" s="28"/>
      <c r="I1845" s="28"/>
      <c r="J1845" s="28"/>
      <c r="K1845" s="28"/>
      <c r="L1845" s="28"/>
      <c r="M1845" s="22"/>
      <c r="N1845" s="22"/>
      <c r="O1845" s="22"/>
      <c r="P1845" s="22"/>
      <c r="Q1845" s="22"/>
      <c r="R1845" s="28"/>
      <c r="S1845" s="28"/>
      <c r="T1845" s="28"/>
      <c r="U1845" s="28"/>
      <c r="V1845" s="22"/>
      <c r="W1845" s="22"/>
      <c r="X1845" s="22"/>
      <c r="Y1845" s="22"/>
      <c r="Z1845" s="22"/>
      <c r="AA1845" s="22"/>
      <c r="AB1845" s="22"/>
      <c r="AC1845" s="22"/>
      <c r="AD1845" s="22"/>
    </row>
    <row r="1846" spans="1:30" ht="15.75" customHeight="1" x14ac:dyDescent="0.15">
      <c r="A1846" s="22"/>
      <c r="B1846" s="22"/>
      <c r="C1846" s="22"/>
      <c r="D1846" s="22"/>
      <c r="E1846" s="22"/>
      <c r="F1846" s="28"/>
      <c r="G1846" s="28"/>
      <c r="H1846" s="28"/>
      <c r="I1846" s="28"/>
      <c r="J1846" s="28"/>
      <c r="K1846" s="28"/>
      <c r="L1846" s="28"/>
      <c r="M1846" s="22"/>
      <c r="N1846" s="22"/>
      <c r="O1846" s="22"/>
      <c r="P1846" s="22"/>
      <c r="Q1846" s="22"/>
      <c r="R1846" s="28"/>
      <c r="S1846" s="28"/>
      <c r="T1846" s="28"/>
      <c r="U1846" s="28"/>
      <c r="V1846" s="22"/>
      <c r="W1846" s="22"/>
      <c r="X1846" s="22"/>
      <c r="Y1846" s="22"/>
      <c r="Z1846" s="22"/>
      <c r="AA1846" s="22"/>
      <c r="AB1846" s="22"/>
      <c r="AC1846" s="22"/>
      <c r="AD1846" s="22"/>
    </row>
    <row r="1847" spans="1:30" ht="15.75" customHeight="1" x14ac:dyDescent="0.15">
      <c r="A1847" s="22"/>
      <c r="B1847" s="22"/>
      <c r="C1847" s="22"/>
      <c r="D1847" s="22"/>
      <c r="E1847" s="22"/>
      <c r="F1847" s="28"/>
      <c r="G1847" s="28"/>
      <c r="H1847" s="28"/>
      <c r="I1847" s="28"/>
      <c r="J1847" s="28"/>
      <c r="K1847" s="28"/>
      <c r="L1847" s="28"/>
      <c r="M1847" s="22"/>
      <c r="N1847" s="22"/>
      <c r="O1847" s="22"/>
      <c r="P1847" s="22"/>
      <c r="Q1847" s="22"/>
      <c r="R1847" s="28"/>
      <c r="S1847" s="28"/>
      <c r="T1847" s="28"/>
      <c r="U1847" s="28"/>
      <c r="V1847" s="22"/>
      <c r="W1847" s="22"/>
      <c r="X1847" s="22"/>
      <c r="Y1847" s="22"/>
      <c r="Z1847" s="22"/>
      <c r="AA1847" s="22"/>
      <c r="AB1847" s="22"/>
      <c r="AC1847" s="22"/>
      <c r="AD1847" s="22"/>
    </row>
    <row r="1848" spans="1:30" ht="15.75" customHeight="1" x14ac:dyDescent="0.15">
      <c r="A1848" s="22"/>
      <c r="B1848" s="22"/>
      <c r="C1848" s="22"/>
      <c r="D1848" s="22"/>
      <c r="E1848" s="22"/>
      <c r="F1848" s="28"/>
      <c r="G1848" s="28"/>
      <c r="H1848" s="28"/>
      <c r="I1848" s="28"/>
      <c r="J1848" s="28"/>
      <c r="K1848" s="28"/>
      <c r="L1848" s="28"/>
      <c r="M1848" s="22"/>
      <c r="N1848" s="22"/>
      <c r="O1848" s="22"/>
      <c r="P1848" s="22"/>
      <c r="Q1848" s="22"/>
      <c r="R1848" s="28"/>
      <c r="S1848" s="28"/>
      <c r="T1848" s="28"/>
      <c r="U1848" s="28"/>
      <c r="V1848" s="22"/>
      <c r="W1848" s="22"/>
      <c r="X1848" s="22"/>
      <c r="Y1848" s="22"/>
      <c r="Z1848" s="22"/>
      <c r="AA1848" s="22"/>
      <c r="AB1848" s="22"/>
      <c r="AC1848" s="22"/>
      <c r="AD1848" s="22"/>
    </row>
    <row r="1849" spans="1:30" ht="15.75" customHeight="1" x14ac:dyDescent="0.15">
      <c r="A1849" s="22"/>
      <c r="B1849" s="22"/>
      <c r="C1849" s="22"/>
      <c r="D1849" s="22"/>
      <c r="E1849" s="22"/>
      <c r="F1849" s="28"/>
      <c r="G1849" s="28"/>
      <c r="H1849" s="28"/>
      <c r="I1849" s="28"/>
      <c r="J1849" s="28"/>
      <c r="K1849" s="28"/>
      <c r="L1849" s="28"/>
      <c r="M1849" s="22"/>
      <c r="N1849" s="22"/>
      <c r="O1849" s="22"/>
      <c r="P1849" s="22"/>
      <c r="Q1849" s="22"/>
      <c r="R1849" s="28"/>
      <c r="S1849" s="28"/>
      <c r="T1849" s="28"/>
      <c r="U1849" s="28"/>
      <c r="V1849" s="22"/>
      <c r="W1849" s="22"/>
      <c r="X1849" s="22"/>
      <c r="Y1849" s="22"/>
      <c r="Z1849" s="22"/>
      <c r="AA1849" s="22"/>
      <c r="AB1849" s="22"/>
      <c r="AC1849" s="22"/>
      <c r="AD1849" s="22"/>
    </row>
    <row r="1850" spans="1:30" ht="15.75" customHeight="1" x14ac:dyDescent="0.15">
      <c r="A1850" s="22"/>
      <c r="B1850" s="22"/>
      <c r="C1850" s="22"/>
      <c r="D1850" s="22"/>
      <c r="E1850" s="22"/>
      <c r="F1850" s="28"/>
      <c r="G1850" s="28"/>
      <c r="H1850" s="28"/>
      <c r="I1850" s="28"/>
      <c r="J1850" s="28"/>
      <c r="K1850" s="28"/>
      <c r="L1850" s="28"/>
      <c r="M1850" s="22"/>
      <c r="N1850" s="22"/>
      <c r="O1850" s="22"/>
      <c r="P1850" s="22"/>
      <c r="Q1850" s="22"/>
      <c r="R1850" s="28"/>
      <c r="S1850" s="28"/>
      <c r="T1850" s="28"/>
      <c r="U1850" s="28"/>
      <c r="V1850" s="22"/>
      <c r="W1850" s="22"/>
      <c r="X1850" s="22"/>
      <c r="Y1850" s="22"/>
      <c r="Z1850" s="22"/>
      <c r="AA1850" s="22"/>
      <c r="AB1850" s="22"/>
      <c r="AC1850" s="22"/>
      <c r="AD1850" s="22"/>
    </row>
    <row r="1851" spans="1:30" ht="15.75" customHeight="1" x14ac:dyDescent="0.15">
      <c r="A1851" s="22"/>
      <c r="B1851" s="22"/>
      <c r="C1851" s="22"/>
      <c r="D1851" s="22"/>
      <c r="E1851" s="22"/>
      <c r="F1851" s="28"/>
      <c r="G1851" s="28"/>
      <c r="H1851" s="28"/>
      <c r="I1851" s="28"/>
      <c r="J1851" s="28"/>
      <c r="K1851" s="28"/>
      <c r="L1851" s="28"/>
      <c r="M1851" s="22"/>
      <c r="N1851" s="22"/>
      <c r="O1851" s="22"/>
      <c r="P1851" s="22"/>
      <c r="Q1851" s="22"/>
      <c r="R1851" s="28"/>
      <c r="S1851" s="28"/>
      <c r="T1851" s="28"/>
      <c r="U1851" s="28"/>
      <c r="V1851" s="22"/>
      <c r="W1851" s="22"/>
      <c r="X1851" s="22"/>
      <c r="Y1851" s="22"/>
      <c r="Z1851" s="22"/>
      <c r="AA1851" s="22"/>
      <c r="AB1851" s="22"/>
      <c r="AC1851" s="22"/>
      <c r="AD1851" s="22"/>
    </row>
    <row r="1852" spans="1:30" ht="15.75" customHeight="1" x14ac:dyDescent="0.15">
      <c r="A1852" s="22"/>
      <c r="B1852" s="22"/>
      <c r="C1852" s="22"/>
      <c r="D1852" s="22"/>
      <c r="E1852" s="22"/>
      <c r="F1852" s="28"/>
      <c r="G1852" s="28"/>
      <c r="H1852" s="28"/>
      <c r="I1852" s="28"/>
      <c r="J1852" s="28"/>
      <c r="K1852" s="28"/>
      <c r="L1852" s="28"/>
      <c r="M1852" s="22"/>
      <c r="N1852" s="22"/>
      <c r="O1852" s="22"/>
      <c r="P1852" s="22"/>
      <c r="Q1852" s="22"/>
      <c r="R1852" s="28"/>
      <c r="S1852" s="28"/>
      <c r="T1852" s="28"/>
      <c r="U1852" s="28"/>
      <c r="V1852" s="22"/>
      <c r="W1852" s="22"/>
      <c r="X1852" s="22"/>
      <c r="Y1852" s="22"/>
      <c r="Z1852" s="22"/>
      <c r="AA1852" s="22"/>
      <c r="AB1852" s="22"/>
      <c r="AC1852" s="22"/>
      <c r="AD1852" s="22"/>
    </row>
    <row r="1853" spans="1:30" ht="15.75" customHeight="1" x14ac:dyDescent="0.15">
      <c r="A1853" s="22"/>
      <c r="B1853" s="22"/>
      <c r="C1853" s="22"/>
      <c r="D1853" s="22"/>
      <c r="E1853" s="22"/>
      <c r="F1853" s="28"/>
      <c r="G1853" s="28"/>
      <c r="H1853" s="28"/>
      <c r="I1853" s="28"/>
      <c r="J1853" s="28"/>
      <c r="K1853" s="28"/>
      <c r="L1853" s="28"/>
      <c r="M1853" s="22"/>
      <c r="N1853" s="22"/>
      <c r="O1853" s="22"/>
      <c r="P1853" s="22"/>
      <c r="Q1853" s="22"/>
      <c r="R1853" s="28"/>
      <c r="S1853" s="28"/>
      <c r="T1853" s="28"/>
      <c r="U1853" s="28"/>
      <c r="V1853" s="22"/>
      <c r="W1853" s="22"/>
      <c r="X1853" s="22"/>
      <c r="Y1853" s="22"/>
      <c r="Z1853" s="22"/>
      <c r="AA1853" s="22"/>
      <c r="AB1853" s="22"/>
      <c r="AC1853" s="22"/>
      <c r="AD1853" s="22"/>
    </row>
    <row r="1854" spans="1:30" ht="15.75" customHeight="1" x14ac:dyDescent="0.15">
      <c r="A1854" s="22"/>
      <c r="B1854" s="22"/>
      <c r="C1854" s="22"/>
      <c r="D1854" s="22"/>
      <c r="E1854" s="22"/>
      <c r="F1854" s="28"/>
      <c r="G1854" s="28"/>
      <c r="H1854" s="28"/>
      <c r="I1854" s="28"/>
      <c r="J1854" s="28"/>
      <c r="K1854" s="28"/>
      <c r="L1854" s="28"/>
      <c r="M1854" s="22"/>
      <c r="N1854" s="22"/>
      <c r="O1854" s="22"/>
      <c r="P1854" s="22"/>
      <c r="Q1854" s="22"/>
      <c r="R1854" s="28"/>
      <c r="S1854" s="28"/>
      <c r="T1854" s="28"/>
      <c r="U1854" s="28"/>
      <c r="V1854" s="22"/>
      <c r="W1854" s="22"/>
      <c r="X1854" s="22"/>
      <c r="Y1854" s="22"/>
      <c r="Z1854" s="22"/>
      <c r="AA1854" s="22"/>
      <c r="AB1854" s="22"/>
      <c r="AC1854" s="22"/>
      <c r="AD1854" s="22"/>
    </row>
    <row r="1855" spans="1:30" ht="15.75" customHeight="1" x14ac:dyDescent="0.15">
      <c r="A1855" s="22"/>
      <c r="B1855" s="22"/>
      <c r="C1855" s="22"/>
      <c r="D1855" s="22"/>
      <c r="E1855" s="22"/>
      <c r="F1855" s="28"/>
      <c r="G1855" s="28"/>
      <c r="H1855" s="28"/>
      <c r="I1855" s="28"/>
      <c r="J1855" s="28"/>
      <c r="K1855" s="28"/>
      <c r="L1855" s="28"/>
      <c r="M1855" s="22"/>
      <c r="N1855" s="22"/>
      <c r="O1855" s="22"/>
      <c r="P1855" s="22"/>
      <c r="Q1855" s="22"/>
      <c r="R1855" s="28"/>
      <c r="S1855" s="28"/>
      <c r="T1855" s="28"/>
      <c r="U1855" s="28"/>
      <c r="V1855" s="22"/>
      <c r="W1855" s="22"/>
      <c r="X1855" s="22"/>
      <c r="Y1855" s="22"/>
      <c r="Z1855" s="22"/>
      <c r="AA1855" s="22"/>
      <c r="AB1855" s="22"/>
      <c r="AC1855" s="22"/>
      <c r="AD1855" s="22"/>
    </row>
    <row r="1856" spans="1:30" ht="15.75" customHeight="1" x14ac:dyDescent="0.15">
      <c r="A1856" s="22"/>
      <c r="B1856" s="22"/>
      <c r="C1856" s="22"/>
      <c r="D1856" s="22"/>
      <c r="E1856" s="22"/>
      <c r="F1856" s="28"/>
      <c r="G1856" s="28"/>
      <c r="H1856" s="28"/>
      <c r="I1856" s="28"/>
      <c r="J1856" s="28"/>
      <c r="K1856" s="28"/>
      <c r="L1856" s="28"/>
      <c r="M1856" s="22"/>
      <c r="N1856" s="22"/>
      <c r="O1856" s="22"/>
      <c r="P1856" s="22"/>
      <c r="Q1856" s="22"/>
      <c r="R1856" s="28"/>
      <c r="S1856" s="28"/>
      <c r="T1856" s="28"/>
      <c r="U1856" s="28"/>
      <c r="V1856" s="22"/>
      <c r="W1856" s="22"/>
      <c r="X1856" s="22"/>
      <c r="Y1856" s="22"/>
      <c r="Z1856" s="22"/>
      <c r="AA1856" s="22"/>
      <c r="AB1856" s="22"/>
      <c r="AC1856" s="22"/>
      <c r="AD1856" s="22"/>
    </row>
    <row r="1857" spans="1:30" ht="15.75" customHeight="1" x14ac:dyDescent="0.15">
      <c r="A1857" s="22"/>
      <c r="B1857" s="22"/>
      <c r="C1857" s="22"/>
      <c r="D1857" s="22"/>
      <c r="E1857" s="22"/>
      <c r="F1857" s="28"/>
      <c r="G1857" s="28"/>
      <c r="H1857" s="28"/>
      <c r="I1857" s="28"/>
      <c r="J1857" s="28"/>
      <c r="K1857" s="28"/>
      <c r="L1857" s="28"/>
      <c r="M1857" s="22"/>
      <c r="N1857" s="22"/>
      <c r="O1857" s="22"/>
      <c r="P1857" s="22"/>
      <c r="Q1857" s="22"/>
      <c r="R1857" s="28"/>
      <c r="S1857" s="28"/>
      <c r="T1857" s="28"/>
      <c r="U1857" s="28"/>
      <c r="V1857" s="22"/>
      <c r="W1857" s="22"/>
      <c r="X1857" s="22"/>
      <c r="Y1857" s="22"/>
      <c r="Z1857" s="22"/>
      <c r="AA1857" s="22"/>
      <c r="AB1857" s="22"/>
      <c r="AC1857" s="22"/>
      <c r="AD1857" s="22"/>
    </row>
    <row r="1858" spans="1:30" ht="15.75" customHeight="1" x14ac:dyDescent="0.15">
      <c r="A1858" s="22"/>
      <c r="B1858" s="22"/>
      <c r="C1858" s="22"/>
      <c r="D1858" s="22"/>
      <c r="E1858" s="22"/>
      <c r="F1858" s="28"/>
      <c r="G1858" s="28"/>
      <c r="H1858" s="28"/>
      <c r="I1858" s="28"/>
      <c r="J1858" s="28"/>
      <c r="K1858" s="28"/>
      <c r="L1858" s="28"/>
      <c r="M1858" s="22"/>
      <c r="N1858" s="22"/>
      <c r="O1858" s="22"/>
      <c r="P1858" s="22"/>
      <c r="Q1858" s="22"/>
      <c r="R1858" s="28"/>
      <c r="S1858" s="28"/>
      <c r="T1858" s="28"/>
      <c r="U1858" s="28"/>
      <c r="V1858" s="22"/>
      <c r="W1858" s="22"/>
      <c r="X1858" s="22"/>
      <c r="Y1858" s="22"/>
      <c r="Z1858" s="22"/>
      <c r="AA1858" s="22"/>
      <c r="AB1858" s="22"/>
      <c r="AC1858" s="22"/>
      <c r="AD1858" s="22"/>
    </row>
    <row r="1859" spans="1:30" ht="15.75" customHeight="1" x14ac:dyDescent="0.15">
      <c r="A1859" s="22"/>
      <c r="B1859" s="22"/>
      <c r="C1859" s="22"/>
      <c r="D1859" s="22"/>
      <c r="E1859" s="22"/>
      <c r="F1859" s="28"/>
      <c r="G1859" s="28"/>
      <c r="H1859" s="28"/>
      <c r="I1859" s="28"/>
      <c r="J1859" s="28"/>
      <c r="K1859" s="28"/>
      <c r="L1859" s="28"/>
      <c r="M1859" s="22"/>
      <c r="N1859" s="22"/>
      <c r="O1859" s="22"/>
      <c r="P1859" s="22"/>
      <c r="Q1859" s="22"/>
      <c r="R1859" s="28"/>
      <c r="S1859" s="28"/>
      <c r="T1859" s="28"/>
      <c r="U1859" s="28"/>
      <c r="V1859" s="22"/>
      <c r="W1859" s="22"/>
      <c r="X1859" s="22"/>
      <c r="Y1859" s="22"/>
      <c r="Z1859" s="22"/>
      <c r="AA1859" s="22"/>
      <c r="AB1859" s="22"/>
      <c r="AC1859" s="22"/>
      <c r="AD1859" s="22"/>
    </row>
    <row r="1860" spans="1:30" ht="15.75" customHeight="1" x14ac:dyDescent="0.15">
      <c r="A1860" s="22"/>
      <c r="B1860" s="22"/>
      <c r="C1860" s="22"/>
      <c r="D1860" s="22"/>
      <c r="E1860" s="22"/>
      <c r="F1860" s="28"/>
      <c r="G1860" s="28"/>
      <c r="H1860" s="28"/>
      <c r="I1860" s="28"/>
      <c r="J1860" s="28"/>
      <c r="K1860" s="28"/>
      <c r="L1860" s="28"/>
      <c r="M1860" s="22"/>
      <c r="N1860" s="22"/>
      <c r="O1860" s="22"/>
      <c r="P1860" s="22"/>
      <c r="Q1860" s="22"/>
      <c r="R1860" s="28"/>
      <c r="S1860" s="28"/>
      <c r="T1860" s="28"/>
      <c r="U1860" s="28"/>
      <c r="V1860" s="22"/>
      <c r="W1860" s="22"/>
      <c r="X1860" s="22"/>
      <c r="Y1860" s="22"/>
      <c r="Z1860" s="22"/>
      <c r="AA1860" s="22"/>
      <c r="AB1860" s="22"/>
      <c r="AC1860" s="22"/>
      <c r="AD1860" s="22"/>
    </row>
    <row r="1861" spans="1:30" ht="15.75" customHeight="1" x14ac:dyDescent="0.15">
      <c r="A1861" s="22"/>
      <c r="B1861" s="22"/>
      <c r="C1861" s="22"/>
      <c r="D1861" s="22"/>
      <c r="E1861" s="22"/>
      <c r="F1861" s="28"/>
      <c r="G1861" s="28"/>
      <c r="H1861" s="28"/>
      <c r="I1861" s="28"/>
      <c r="J1861" s="28"/>
      <c r="K1861" s="28"/>
      <c r="L1861" s="28"/>
      <c r="M1861" s="22"/>
      <c r="N1861" s="22"/>
      <c r="O1861" s="22"/>
      <c r="P1861" s="22"/>
      <c r="Q1861" s="22"/>
      <c r="R1861" s="28"/>
      <c r="S1861" s="28"/>
      <c r="T1861" s="28"/>
      <c r="U1861" s="28"/>
      <c r="V1861" s="22"/>
      <c r="W1861" s="22"/>
      <c r="X1861" s="22"/>
      <c r="Y1861" s="22"/>
      <c r="Z1861" s="22"/>
      <c r="AA1861" s="22"/>
      <c r="AB1861" s="22"/>
      <c r="AC1861" s="22"/>
      <c r="AD1861" s="22"/>
    </row>
    <row r="1862" spans="1:30" ht="15.75" customHeight="1" x14ac:dyDescent="0.15">
      <c r="A1862" s="22"/>
      <c r="B1862" s="22"/>
      <c r="C1862" s="22"/>
      <c r="D1862" s="22"/>
      <c r="E1862" s="22"/>
      <c r="F1862" s="28"/>
      <c r="G1862" s="28"/>
      <c r="H1862" s="28"/>
      <c r="I1862" s="28"/>
      <c r="J1862" s="28"/>
      <c r="K1862" s="28"/>
      <c r="L1862" s="28"/>
      <c r="M1862" s="22"/>
      <c r="N1862" s="22"/>
      <c r="O1862" s="22"/>
      <c r="P1862" s="22"/>
      <c r="Q1862" s="22"/>
      <c r="R1862" s="28"/>
      <c r="S1862" s="28"/>
      <c r="T1862" s="28"/>
      <c r="U1862" s="28"/>
      <c r="V1862" s="22"/>
      <c r="W1862" s="22"/>
      <c r="X1862" s="22"/>
      <c r="Y1862" s="22"/>
      <c r="Z1862" s="22"/>
      <c r="AA1862" s="22"/>
      <c r="AB1862" s="22"/>
      <c r="AC1862" s="22"/>
      <c r="AD1862" s="22"/>
    </row>
    <row r="1863" spans="1:30" ht="15.75" customHeight="1" x14ac:dyDescent="0.15">
      <c r="A1863" s="22"/>
      <c r="B1863" s="22"/>
      <c r="C1863" s="22"/>
      <c r="D1863" s="22"/>
      <c r="E1863" s="22"/>
      <c r="F1863" s="28"/>
      <c r="G1863" s="28"/>
      <c r="H1863" s="28"/>
      <c r="I1863" s="28"/>
      <c r="J1863" s="28"/>
      <c r="K1863" s="28"/>
      <c r="L1863" s="28"/>
      <c r="M1863" s="22"/>
      <c r="N1863" s="22"/>
      <c r="O1863" s="22"/>
      <c r="P1863" s="22"/>
      <c r="Q1863" s="22"/>
      <c r="R1863" s="28"/>
      <c r="S1863" s="28"/>
      <c r="T1863" s="28"/>
      <c r="U1863" s="28"/>
      <c r="V1863" s="22"/>
      <c r="W1863" s="22"/>
      <c r="X1863" s="22"/>
      <c r="Y1863" s="22"/>
      <c r="Z1863" s="22"/>
      <c r="AA1863" s="22"/>
      <c r="AB1863" s="22"/>
      <c r="AC1863" s="22"/>
      <c r="AD1863" s="22"/>
    </row>
    <row r="1864" spans="1:30" ht="15.75" customHeight="1" x14ac:dyDescent="0.15">
      <c r="A1864" s="22"/>
      <c r="B1864" s="22"/>
      <c r="C1864" s="22"/>
      <c r="D1864" s="22"/>
      <c r="E1864" s="22"/>
      <c r="F1864" s="28"/>
      <c r="G1864" s="28"/>
      <c r="H1864" s="28"/>
      <c r="I1864" s="28"/>
      <c r="J1864" s="28"/>
      <c r="K1864" s="28"/>
      <c r="L1864" s="28"/>
      <c r="M1864" s="22"/>
      <c r="N1864" s="22"/>
      <c r="O1864" s="22"/>
      <c r="P1864" s="22"/>
      <c r="Q1864" s="22"/>
      <c r="R1864" s="28"/>
      <c r="S1864" s="28"/>
      <c r="T1864" s="28"/>
      <c r="U1864" s="28"/>
      <c r="V1864" s="22"/>
      <c r="W1864" s="22"/>
      <c r="X1864" s="22"/>
      <c r="Y1864" s="22"/>
      <c r="Z1864" s="22"/>
      <c r="AA1864" s="22"/>
      <c r="AB1864" s="22"/>
      <c r="AC1864" s="22"/>
      <c r="AD1864" s="22"/>
    </row>
    <row r="1865" spans="1:30" ht="15.75" customHeight="1" x14ac:dyDescent="0.15">
      <c r="A1865" s="22"/>
      <c r="B1865" s="22"/>
      <c r="C1865" s="22"/>
      <c r="D1865" s="22"/>
      <c r="E1865" s="22"/>
      <c r="F1865" s="28"/>
      <c r="G1865" s="28"/>
      <c r="H1865" s="28"/>
      <c r="I1865" s="28"/>
      <c r="J1865" s="28"/>
      <c r="K1865" s="28"/>
      <c r="L1865" s="28"/>
      <c r="M1865" s="22"/>
      <c r="N1865" s="22"/>
      <c r="O1865" s="22"/>
      <c r="P1865" s="22"/>
      <c r="Q1865" s="22"/>
      <c r="R1865" s="28"/>
      <c r="S1865" s="28"/>
      <c r="T1865" s="28"/>
      <c r="U1865" s="28"/>
      <c r="V1865" s="22"/>
      <c r="W1865" s="22"/>
      <c r="X1865" s="22"/>
      <c r="Y1865" s="22"/>
      <c r="Z1865" s="22"/>
      <c r="AA1865" s="22"/>
      <c r="AB1865" s="22"/>
      <c r="AC1865" s="22"/>
      <c r="AD1865" s="22"/>
    </row>
    <row r="1866" spans="1:30" ht="15.75" customHeight="1" x14ac:dyDescent="0.15">
      <c r="A1866" s="22"/>
      <c r="B1866" s="22"/>
      <c r="C1866" s="22"/>
      <c r="D1866" s="22"/>
      <c r="E1866" s="22"/>
      <c r="F1866" s="28"/>
      <c r="G1866" s="28"/>
      <c r="H1866" s="28"/>
      <c r="I1866" s="28"/>
      <c r="J1866" s="28"/>
      <c r="K1866" s="28"/>
      <c r="L1866" s="28"/>
      <c r="M1866" s="22"/>
      <c r="N1866" s="22"/>
      <c r="O1866" s="22"/>
      <c r="P1866" s="22"/>
      <c r="Q1866" s="22"/>
      <c r="R1866" s="28"/>
      <c r="S1866" s="28"/>
      <c r="T1866" s="28"/>
      <c r="U1866" s="28"/>
      <c r="V1866" s="22"/>
      <c r="W1866" s="22"/>
      <c r="X1866" s="22"/>
      <c r="Y1866" s="22"/>
      <c r="Z1866" s="22"/>
      <c r="AA1866" s="22"/>
      <c r="AB1866" s="22"/>
      <c r="AC1866" s="22"/>
      <c r="AD1866" s="22"/>
    </row>
    <row r="1867" spans="1:30" ht="15.75" customHeight="1" x14ac:dyDescent="0.15">
      <c r="A1867" s="22"/>
      <c r="B1867" s="22"/>
      <c r="C1867" s="22"/>
      <c r="D1867" s="22"/>
      <c r="E1867" s="22"/>
      <c r="F1867" s="28"/>
      <c r="G1867" s="28"/>
      <c r="H1867" s="28"/>
      <c r="I1867" s="28"/>
      <c r="J1867" s="28"/>
      <c r="K1867" s="28"/>
      <c r="L1867" s="28"/>
      <c r="M1867" s="22"/>
      <c r="N1867" s="22"/>
      <c r="O1867" s="22"/>
      <c r="P1867" s="22"/>
      <c r="Q1867" s="22"/>
      <c r="R1867" s="28"/>
      <c r="S1867" s="28"/>
      <c r="T1867" s="28"/>
      <c r="U1867" s="28"/>
      <c r="V1867" s="22"/>
      <c r="W1867" s="22"/>
      <c r="X1867" s="22"/>
      <c r="Y1867" s="22"/>
      <c r="Z1867" s="22"/>
      <c r="AA1867" s="22"/>
      <c r="AB1867" s="22"/>
      <c r="AC1867" s="22"/>
      <c r="AD1867" s="22"/>
    </row>
    <row r="1868" spans="1:30" ht="15.75" customHeight="1" x14ac:dyDescent="0.15">
      <c r="A1868" s="22"/>
      <c r="B1868" s="22"/>
      <c r="C1868" s="22"/>
      <c r="D1868" s="22"/>
      <c r="E1868" s="22"/>
      <c r="F1868" s="28"/>
      <c r="G1868" s="28"/>
      <c r="H1868" s="28"/>
      <c r="I1868" s="28"/>
      <c r="J1868" s="28"/>
      <c r="K1868" s="28"/>
      <c r="L1868" s="28"/>
      <c r="M1868" s="22"/>
      <c r="N1868" s="22"/>
      <c r="O1868" s="22"/>
      <c r="P1868" s="22"/>
      <c r="Q1868" s="22"/>
      <c r="R1868" s="28"/>
      <c r="S1868" s="28"/>
      <c r="T1868" s="28"/>
      <c r="U1868" s="28"/>
      <c r="V1868" s="22"/>
      <c r="W1868" s="22"/>
      <c r="X1868" s="22"/>
      <c r="Y1868" s="22"/>
      <c r="Z1868" s="22"/>
      <c r="AA1868" s="22"/>
      <c r="AB1868" s="22"/>
      <c r="AC1868" s="22"/>
      <c r="AD1868" s="22"/>
    </row>
    <row r="1869" spans="1:30" ht="15.75" customHeight="1" x14ac:dyDescent="0.15">
      <c r="A1869" s="22"/>
      <c r="B1869" s="22"/>
      <c r="C1869" s="22"/>
      <c r="D1869" s="22"/>
      <c r="E1869" s="22"/>
      <c r="F1869" s="28"/>
      <c r="G1869" s="28"/>
      <c r="H1869" s="28"/>
      <c r="I1869" s="28"/>
      <c r="J1869" s="28"/>
      <c r="K1869" s="28"/>
      <c r="L1869" s="28"/>
      <c r="M1869" s="22"/>
      <c r="N1869" s="22"/>
      <c r="O1869" s="22"/>
      <c r="P1869" s="22"/>
      <c r="Q1869" s="22"/>
      <c r="R1869" s="28"/>
      <c r="S1869" s="28"/>
      <c r="T1869" s="28"/>
      <c r="U1869" s="28"/>
      <c r="V1869" s="22"/>
      <c r="W1869" s="22"/>
      <c r="X1869" s="22"/>
      <c r="Y1869" s="22"/>
      <c r="Z1869" s="22"/>
      <c r="AA1869" s="22"/>
      <c r="AB1869" s="22"/>
      <c r="AC1869" s="22"/>
      <c r="AD1869" s="22"/>
    </row>
    <row r="1870" spans="1:30" ht="15.75" customHeight="1" x14ac:dyDescent="0.15">
      <c r="A1870" s="22"/>
      <c r="B1870" s="22"/>
      <c r="C1870" s="22"/>
      <c r="D1870" s="22"/>
      <c r="E1870" s="22"/>
      <c r="F1870" s="28"/>
      <c r="G1870" s="28"/>
      <c r="H1870" s="28"/>
      <c r="I1870" s="28"/>
      <c r="J1870" s="28"/>
      <c r="K1870" s="28"/>
      <c r="L1870" s="28"/>
      <c r="M1870" s="22"/>
      <c r="N1870" s="22"/>
      <c r="O1870" s="22"/>
      <c r="P1870" s="22"/>
      <c r="Q1870" s="22"/>
      <c r="R1870" s="28"/>
      <c r="S1870" s="28"/>
      <c r="T1870" s="28"/>
      <c r="U1870" s="28"/>
      <c r="V1870" s="22"/>
      <c r="W1870" s="22"/>
      <c r="X1870" s="22"/>
      <c r="Y1870" s="22"/>
      <c r="Z1870" s="22"/>
      <c r="AA1870" s="22"/>
      <c r="AB1870" s="22"/>
      <c r="AC1870" s="22"/>
      <c r="AD1870" s="22"/>
    </row>
    <row r="1871" spans="1:30" ht="15.75" customHeight="1" x14ac:dyDescent="0.15">
      <c r="A1871" s="22"/>
      <c r="B1871" s="22"/>
      <c r="C1871" s="22"/>
      <c r="D1871" s="22"/>
      <c r="E1871" s="22"/>
      <c r="F1871" s="28"/>
      <c r="G1871" s="28"/>
      <c r="H1871" s="28"/>
      <c r="I1871" s="28"/>
      <c r="J1871" s="28"/>
      <c r="K1871" s="28"/>
      <c r="L1871" s="28"/>
      <c r="M1871" s="22"/>
      <c r="N1871" s="22"/>
      <c r="O1871" s="22"/>
      <c r="P1871" s="22"/>
      <c r="Q1871" s="22"/>
      <c r="R1871" s="28"/>
      <c r="S1871" s="28"/>
      <c r="T1871" s="28"/>
      <c r="U1871" s="28"/>
      <c r="V1871" s="22"/>
      <c r="W1871" s="22"/>
      <c r="X1871" s="22"/>
      <c r="Y1871" s="22"/>
      <c r="Z1871" s="22"/>
      <c r="AA1871" s="22"/>
      <c r="AB1871" s="22"/>
      <c r="AC1871" s="22"/>
      <c r="AD1871" s="22"/>
    </row>
    <row r="1872" spans="1:30" ht="15.75" customHeight="1" x14ac:dyDescent="0.15">
      <c r="A1872" s="22"/>
      <c r="B1872" s="22"/>
      <c r="C1872" s="22"/>
      <c r="D1872" s="22"/>
      <c r="E1872" s="22"/>
      <c r="F1872" s="28"/>
      <c r="G1872" s="28"/>
      <c r="H1872" s="28"/>
      <c r="I1872" s="28"/>
      <c r="J1872" s="28"/>
      <c r="K1872" s="28"/>
      <c r="L1872" s="28"/>
      <c r="M1872" s="22"/>
      <c r="N1872" s="22"/>
      <c r="O1872" s="22"/>
      <c r="P1872" s="22"/>
      <c r="Q1872" s="22"/>
      <c r="R1872" s="28"/>
      <c r="S1872" s="28"/>
      <c r="T1872" s="28"/>
      <c r="U1872" s="28"/>
      <c r="V1872" s="22"/>
      <c r="W1872" s="22"/>
      <c r="X1872" s="22"/>
      <c r="Y1872" s="22"/>
      <c r="Z1872" s="22"/>
      <c r="AA1872" s="22"/>
      <c r="AB1872" s="22"/>
      <c r="AC1872" s="22"/>
      <c r="AD1872" s="22"/>
    </row>
    <row r="1873" spans="1:30" ht="15.75" customHeight="1" x14ac:dyDescent="0.15">
      <c r="A1873" s="22"/>
      <c r="B1873" s="22"/>
      <c r="C1873" s="22"/>
      <c r="D1873" s="22"/>
      <c r="E1873" s="22"/>
      <c r="F1873" s="28"/>
      <c r="G1873" s="28"/>
      <c r="H1873" s="28"/>
      <c r="I1873" s="28"/>
      <c r="J1873" s="28"/>
      <c r="K1873" s="28"/>
      <c r="L1873" s="28"/>
      <c r="M1873" s="22"/>
      <c r="N1873" s="22"/>
      <c r="O1873" s="22"/>
      <c r="P1873" s="22"/>
      <c r="Q1873" s="22"/>
      <c r="R1873" s="28"/>
      <c r="S1873" s="28"/>
      <c r="T1873" s="28"/>
      <c r="U1873" s="28"/>
      <c r="V1873" s="22"/>
      <c r="W1873" s="22"/>
      <c r="X1873" s="22"/>
      <c r="Y1873" s="22"/>
      <c r="Z1873" s="22"/>
      <c r="AA1873" s="22"/>
      <c r="AB1873" s="22"/>
      <c r="AC1873" s="22"/>
      <c r="AD1873" s="22"/>
    </row>
    <row r="1874" spans="1:30" ht="15.75" customHeight="1" x14ac:dyDescent="0.15">
      <c r="A1874" s="22"/>
      <c r="B1874" s="22"/>
      <c r="C1874" s="22"/>
      <c r="D1874" s="22"/>
      <c r="E1874" s="22"/>
      <c r="F1874" s="28"/>
      <c r="G1874" s="28"/>
      <c r="H1874" s="28"/>
      <c r="I1874" s="28"/>
      <c r="J1874" s="28"/>
      <c r="K1874" s="28"/>
      <c r="L1874" s="28"/>
      <c r="M1874" s="22"/>
      <c r="N1874" s="22"/>
      <c r="O1874" s="22"/>
      <c r="P1874" s="22"/>
      <c r="Q1874" s="22"/>
      <c r="R1874" s="28"/>
      <c r="S1874" s="28"/>
      <c r="T1874" s="28"/>
      <c r="U1874" s="28"/>
      <c r="V1874" s="22"/>
      <c r="W1874" s="22"/>
      <c r="X1874" s="22"/>
      <c r="Y1874" s="22"/>
      <c r="Z1874" s="22"/>
      <c r="AA1874" s="22"/>
      <c r="AB1874" s="22"/>
      <c r="AC1874" s="22"/>
      <c r="AD1874" s="22"/>
    </row>
    <row r="1875" spans="1:30" ht="15.75" customHeight="1" x14ac:dyDescent="0.15">
      <c r="A1875" s="22"/>
      <c r="B1875" s="22"/>
      <c r="C1875" s="22"/>
      <c r="D1875" s="22"/>
      <c r="E1875" s="22"/>
      <c r="F1875" s="28"/>
      <c r="G1875" s="28"/>
      <c r="H1875" s="28"/>
      <c r="I1875" s="28"/>
      <c r="J1875" s="28"/>
      <c r="K1875" s="28"/>
      <c r="L1875" s="28"/>
      <c r="M1875" s="22"/>
      <c r="N1875" s="22"/>
      <c r="O1875" s="22"/>
      <c r="P1875" s="22"/>
      <c r="Q1875" s="22"/>
      <c r="R1875" s="28"/>
      <c r="S1875" s="28"/>
      <c r="T1875" s="28"/>
      <c r="U1875" s="28"/>
      <c r="V1875" s="22"/>
      <c r="W1875" s="22"/>
      <c r="X1875" s="22"/>
      <c r="Y1875" s="22"/>
      <c r="Z1875" s="22"/>
      <c r="AA1875" s="22"/>
      <c r="AB1875" s="22"/>
      <c r="AC1875" s="22"/>
      <c r="AD1875" s="22"/>
    </row>
    <row r="1876" spans="1:30" ht="15.75" customHeight="1" x14ac:dyDescent="0.15">
      <c r="A1876" s="22"/>
      <c r="B1876" s="22"/>
      <c r="C1876" s="22"/>
      <c r="D1876" s="22"/>
      <c r="E1876" s="22"/>
      <c r="F1876" s="28"/>
      <c r="G1876" s="28"/>
      <c r="H1876" s="28"/>
      <c r="I1876" s="28"/>
      <c r="J1876" s="28"/>
      <c r="K1876" s="28"/>
      <c r="L1876" s="28"/>
      <c r="M1876" s="22"/>
      <c r="N1876" s="22"/>
      <c r="O1876" s="22"/>
      <c r="P1876" s="22"/>
      <c r="Q1876" s="22"/>
      <c r="R1876" s="28"/>
      <c r="S1876" s="28"/>
      <c r="T1876" s="28"/>
      <c r="U1876" s="28"/>
      <c r="V1876" s="22"/>
      <c r="W1876" s="22"/>
      <c r="X1876" s="22"/>
      <c r="Y1876" s="22"/>
      <c r="Z1876" s="22"/>
      <c r="AA1876" s="22"/>
      <c r="AB1876" s="22"/>
      <c r="AC1876" s="22"/>
      <c r="AD1876" s="22"/>
    </row>
    <row r="1877" spans="1:30" ht="15.75" customHeight="1" x14ac:dyDescent="0.15">
      <c r="A1877" s="22"/>
      <c r="B1877" s="22"/>
      <c r="C1877" s="22"/>
      <c r="D1877" s="22"/>
      <c r="E1877" s="22"/>
      <c r="F1877" s="28"/>
      <c r="G1877" s="28"/>
      <c r="H1877" s="28"/>
      <c r="I1877" s="28"/>
      <c r="J1877" s="28"/>
      <c r="K1877" s="28"/>
      <c r="L1877" s="28"/>
      <c r="M1877" s="22"/>
      <c r="N1877" s="22"/>
      <c r="O1877" s="22"/>
      <c r="P1877" s="22"/>
      <c r="Q1877" s="22"/>
      <c r="R1877" s="28"/>
      <c r="S1877" s="28"/>
      <c r="T1877" s="28"/>
      <c r="U1877" s="28"/>
      <c r="V1877" s="22"/>
      <c r="W1877" s="22"/>
      <c r="X1877" s="22"/>
      <c r="Y1877" s="22"/>
      <c r="Z1877" s="22"/>
      <c r="AA1877" s="22"/>
      <c r="AB1877" s="22"/>
      <c r="AC1877" s="22"/>
      <c r="AD1877" s="22"/>
    </row>
    <row r="1878" spans="1:30" ht="15.75" customHeight="1" x14ac:dyDescent="0.15">
      <c r="A1878" s="22"/>
      <c r="B1878" s="22"/>
      <c r="C1878" s="22"/>
      <c r="D1878" s="22"/>
      <c r="E1878" s="22"/>
      <c r="F1878" s="28"/>
      <c r="G1878" s="28"/>
      <c r="H1878" s="28"/>
      <c r="I1878" s="28"/>
      <c r="J1878" s="28"/>
      <c r="K1878" s="28"/>
      <c r="L1878" s="28"/>
      <c r="M1878" s="22"/>
      <c r="N1878" s="22"/>
      <c r="O1878" s="22"/>
      <c r="P1878" s="22"/>
      <c r="Q1878" s="22"/>
      <c r="R1878" s="28"/>
      <c r="S1878" s="28"/>
      <c r="T1878" s="28"/>
      <c r="U1878" s="28"/>
      <c r="V1878" s="22"/>
      <c r="W1878" s="22"/>
      <c r="X1878" s="22"/>
      <c r="Y1878" s="22"/>
      <c r="Z1878" s="22"/>
      <c r="AA1878" s="22"/>
      <c r="AB1878" s="22"/>
      <c r="AC1878" s="22"/>
      <c r="AD1878" s="22"/>
    </row>
    <row r="1879" spans="1:30" ht="15.75" customHeight="1" x14ac:dyDescent="0.15">
      <c r="A1879" s="22"/>
      <c r="B1879" s="22"/>
      <c r="C1879" s="22"/>
      <c r="D1879" s="22"/>
      <c r="E1879" s="22"/>
      <c r="F1879" s="28"/>
      <c r="G1879" s="28"/>
      <c r="H1879" s="28"/>
      <c r="I1879" s="28"/>
      <c r="J1879" s="28"/>
      <c r="K1879" s="28"/>
      <c r="L1879" s="28"/>
      <c r="M1879" s="22"/>
      <c r="N1879" s="22"/>
      <c r="O1879" s="22"/>
      <c r="P1879" s="22"/>
      <c r="Q1879" s="22"/>
      <c r="R1879" s="28"/>
      <c r="S1879" s="28"/>
      <c r="T1879" s="28"/>
      <c r="U1879" s="28"/>
      <c r="V1879" s="22"/>
      <c r="W1879" s="22"/>
      <c r="X1879" s="22"/>
      <c r="Y1879" s="22"/>
      <c r="Z1879" s="22"/>
      <c r="AA1879" s="22"/>
      <c r="AB1879" s="22"/>
      <c r="AC1879" s="22"/>
      <c r="AD1879" s="22"/>
    </row>
    <row r="1880" spans="1:30" ht="15.75" customHeight="1" x14ac:dyDescent="0.15">
      <c r="A1880" s="22"/>
      <c r="B1880" s="22"/>
      <c r="C1880" s="22"/>
      <c r="D1880" s="22"/>
      <c r="E1880" s="22"/>
      <c r="F1880" s="28"/>
      <c r="G1880" s="28"/>
      <c r="H1880" s="28"/>
      <c r="I1880" s="28"/>
      <c r="J1880" s="28"/>
      <c r="K1880" s="28"/>
      <c r="L1880" s="28"/>
      <c r="M1880" s="22"/>
      <c r="N1880" s="22"/>
      <c r="O1880" s="22"/>
      <c r="P1880" s="22"/>
      <c r="Q1880" s="22"/>
      <c r="R1880" s="28"/>
      <c r="S1880" s="28"/>
      <c r="T1880" s="28"/>
      <c r="U1880" s="28"/>
      <c r="V1880" s="22"/>
      <c r="W1880" s="22"/>
      <c r="X1880" s="22"/>
      <c r="Y1880" s="22"/>
      <c r="Z1880" s="22"/>
      <c r="AA1880" s="22"/>
      <c r="AB1880" s="22"/>
      <c r="AC1880" s="22"/>
      <c r="AD1880" s="22"/>
    </row>
    <row r="1881" spans="1:30" ht="15.75" customHeight="1" x14ac:dyDescent="0.15">
      <c r="A1881" s="22"/>
      <c r="B1881" s="22"/>
      <c r="C1881" s="22"/>
      <c r="D1881" s="22"/>
      <c r="E1881" s="22"/>
      <c r="F1881" s="28"/>
      <c r="G1881" s="28"/>
      <c r="H1881" s="28"/>
      <c r="I1881" s="28"/>
      <c r="J1881" s="28"/>
      <c r="K1881" s="28"/>
      <c r="L1881" s="28"/>
      <c r="M1881" s="22"/>
      <c r="N1881" s="22"/>
      <c r="O1881" s="22"/>
      <c r="P1881" s="22"/>
      <c r="Q1881" s="22"/>
      <c r="R1881" s="28"/>
      <c r="S1881" s="28"/>
      <c r="T1881" s="28"/>
      <c r="U1881" s="28"/>
      <c r="V1881" s="22"/>
      <c r="W1881" s="22"/>
      <c r="X1881" s="22"/>
      <c r="Y1881" s="22"/>
      <c r="Z1881" s="22"/>
      <c r="AA1881" s="22"/>
      <c r="AB1881" s="22"/>
      <c r="AC1881" s="22"/>
      <c r="AD1881" s="22"/>
    </row>
    <row r="1882" spans="1:30" ht="15.75" customHeight="1" x14ac:dyDescent="0.15">
      <c r="A1882" s="22"/>
      <c r="B1882" s="22"/>
      <c r="C1882" s="22"/>
      <c r="D1882" s="22"/>
      <c r="E1882" s="22"/>
      <c r="F1882" s="28"/>
      <c r="G1882" s="28"/>
      <c r="H1882" s="28"/>
      <c r="I1882" s="28"/>
      <c r="J1882" s="28"/>
      <c r="K1882" s="28"/>
      <c r="L1882" s="28"/>
      <c r="M1882" s="22"/>
      <c r="N1882" s="22"/>
      <c r="O1882" s="22"/>
      <c r="P1882" s="22"/>
      <c r="Q1882" s="22"/>
      <c r="R1882" s="28"/>
      <c r="S1882" s="28"/>
      <c r="T1882" s="28"/>
      <c r="U1882" s="28"/>
      <c r="V1882" s="22"/>
      <c r="W1882" s="22"/>
      <c r="X1882" s="22"/>
      <c r="Y1882" s="22"/>
      <c r="Z1882" s="22"/>
      <c r="AA1882" s="22"/>
      <c r="AB1882" s="22"/>
      <c r="AC1882" s="22"/>
      <c r="AD1882" s="22"/>
    </row>
    <row r="1883" spans="1:30" ht="15.75" customHeight="1" x14ac:dyDescent="0.15">
      <c r="A1883" s="22"/>
      <c r="B1883" s="22"/>
      <c r="C1883" s="22"/>
      <c r="D1883" s="22"/>
      <c r="E1883" s="22"/>
      <c r="F1883" s="28"/>
      <c r="G1883" s="28"/>
      <c r="H1883" s="28"/>
      <c r="I1883" s="28"/>
      <c r="J1883" s="28"/>
      <c r="K1883" s="28"/>
      <c r="L1883" s="28"/>
      <c r="M1883" s="22"/>
      <c r="N1883" s="22"/>
      <c r="O1883" s="22"/>
      <c r="P1883" s="22"/>
      <c r="Q1883" s="22"/>
      <c r="R1883" s="28"/>
      <c r="S1883" s="28"/>
      <c r="T1883" s="28"/>
      <c r="U1883" s="28"/>
      <c r="V1883" s="22"/>
      <c r="W1883" s="22"/>
      <c r="X1883" s="22"/>
      <c r="Y1883" s="22"/>
      <c r="Z1883" s="22"/>
      <c r="AA1883" s="22"/>
      <c r="AB1883" s="22"/>
      <c r="AC1883" s="22"/>
      <c r="AD1883" s="22"/>
    </row>
    <row r="1884" spans="1:30" ht="15.75" customHeight="1" x14ac:dyDescent="0.15">
      <c r="A1884" s="22"/>
      <c r="B1884" s="22"/>
      <c r="C1884" s="22"/>
      <c r="D1884" s="22"/>
      <c r="E1884" s="22"/>
      <c r="F1884" s="28"/>
      <c r="G1884" s="28"/>
      <c r="H1884" s="28"/>
      <c r="I1884" s="28"/>
      <c r="J1884" s="28"/>
      <c r="K1884" s="28"/>
      <c r="L1884" s="28"/>
      <c r="M1884" s="22"/>
      <c r="N1884" s="22"/>
      <c r="O1884" s="22"/>
      <c r="P1884" s="22"/>
      <c r="Q1884" s="22"/>
      <c r="R1884" s="28"/>
      <c r="S1884" s="28"/>
      <c r="T1884" s="28"/>
      <c r="U1884" s="28"/>
      <c r="V1884" s="22"/>
      <c r="W1884" s="22"/>
      <c r="X1884" s="22"/>
      <c r="Y1884" s="22"/>
      <c r="Z1884" s="22"/>
      <c r="AA1884" s="22"/>
      <c r="AB1884" s="22"/>
      <c r="AC1884" s="22"/>
      <c r="AD1884" s="22"/>
    </row>
    <row r="1885" spans="1:30" ht="15.75" customHeight="1" x14ac:dyDescent="0.15">
      <c r="A1885" s="22"/>
      <c r="B1885" s="22"/>
      <c r="C1885" s="22"/>
      <c r="D1885" s="22"/>
      <c r="E1885" s="22"/>
      <c r="F1885" s="28"/>
      <c r="G1885" s="28"/>
      <c r="H1885" s="28"/>
      <c r="I1885" s="28"/>
      <c r="J1885" s="28"/>
      <c r="K1885" s="28"/>
      <c r="L1885" s="28"/>
      <c r="M1885" s="22"/>
      <c r="N1885" s="22"/>
      <c r="O1885" s="22"/>
      <c r="P1885" s="22"/>
      <c r="Q1885" s="22"/>
      <c r="R1885" s="28"/>
      <c r="S1885" s="28"/>
      <c r="T1885" s="28"/>
      <c r="U1885" s="28"/>
      <c r="V1885" s="22"/>
      <c r="W1885" s="22"/>
      <c r="X1885" s="22"/>
      <c r="Y1885" s="22"/>
      <c r="Z1885" s="22"/>
      <c r="AA1885" s="22"/>
      <c r="AB1885" s="22"/>
      <c r="AC1885" s="22"/>
      <c r="AD1885" s="22"/>
    </row>
    <row r="1886" spans="1:30" ht="15.75" customHeight="1" x14ac:dyDescent="0.15">
      <c r="A1886" s="22"/>
      <c r="B1886" s="22"/>
      <c r="C1886" s="22"/>
      <c r="D1886" s="22"/>
      <c r="E1886" s="22"/>
      <c r="F1886" s="28"/>
      <c r="G1886" s="28"/>
      <c r="H1886" s="28"/>
      <c r="I1886" s="28"/>
      <c r="J1886" s="28"/>
      <c r="K1886" s="28"/>
      <c r="L1886" s="28"/>
      <c r="M1886" s="22"/>
      <c r="N1886" s="22"/>
      <c r="O1886" s="22"/>
      <c r="P1886" s="22"/>
      <c r="Q1886" s="22"/>
      <c r="R1886" s="28"/>
      <c r="S1886" s="28"/>
      <c r="T1886" s="28"/>
      <c r="U1886" s="28"/>
      <c r="V1886" s="22"/>
      <c r="W1886" s="22"/>
      <c r="X1886" s="22"/>
      <c r="Y1886" s="22"/>
      <c r="Z1886" s="22"/>
      <c r="AA1886" s="22"/>
      <c r="AB1886" s="22"/>
      <c r="AC1886" s="22"/>
      <c r="AD1886" s="22"/>
    </row>
    <row r="1887" spans="1:30" ht="15.75" customHeight="1" x14ac:dyDescent="0.15">
      <c r="A1887" s="22"/>
      <c r="B1887" s="22"/>
      <c r="C1887" s="22"/>
      <c r="D1887" s="22"/>
      <c r="E1887" s="22"/>
      <c r="F1887" s="28"/>
      <c r="G1887" s="28"/>
      <c r="H1887" s="28"/>
      <c r="I1887" s="28"/>
      <c r="J1887" s="28"/>
      <c r="K1887" s="28"/>
      <c r="L1887" s="28"/>
      <c r="M1887" s="22"/>
      <c r="N1887" s="22"/>
      <c r="O1887" s="22"/>
      <c r="P1887" s="22"/>
      <c r="Q1887" s="22"/>
      <c r="R1887" s="28"/>
      <c r="S1887" s="28"/>
      <c r="T1887" s="28"/>
      <c r="U1887" s="28"/>
      <c r="V1887" s="22"/>
      <c r="W1887" s="22"/>
      <c r="X1887" s="22"/>
      <c r="Y1887" s="22"/>
      <c r="Z1887" s="22"/>
      <c r="AA1887" s="22"/>
      <c r="AB1887" s="22"/>
      <c r="AC1887" s="22"/>
      <c r="AD1887" s="22"/>
    </row>
    <row r="1888" spans="1:30" ht="15.75" customHeight="1" x14ac:dyDescent="0.15">
      <c r="A1888" s="22"/>
      <c r="B1888" s="22"/>
      <c r="C1888" s="22"/>
      <c r="D1888" s="22"/>
      <c r="E1888" s="22"/>
      <c r="F1888" s="28"/>
      <c r="G1888" s="28"/>
      <c r="H1888" s="28"/>
      <c r="I1888" s="28"/>
      <c r="J1888" s="28"/>
      <c r="K1888" s="28"/>
      <c r="L1888" s="28"/>
      <c r="M1888" s="22"/>
      <c r="N1888" s="22"/>
      <c r="O1888" s="22"/>
      <c r="P1888" s="22"/>
      <c r="Q1888" s="22"/>
      <c r="R1888" s="28"/>
      <c r="S1888" s="28"/>
      <c r="T1888" s="28"/>
      <c r="U1888" s="28"/>
      <c r="V1888" s="22"/>
      <c r="W1888" s="22"/>
      <c r="X1888" s="22"/>
      <c r="Y1888" s="22"/>
      <c r="Z1888" s="22"/>
      <c r="AA1888" s="22"/>
      <c r="AB1888" s="22"/>
      <c r="AC1888" s="22"/>
      <c r="AD1888" s="22"/>
    </row>
    <row r="1889" spans="1:30" ht="15.75" customHeight="1" x14ac:dyDescent="0.15">
      <c r="A1889" s="22"/>
      <c r="B1889" s="22"/>
      <c r="C1889" s="22"/>
      <c r="D1889" s="22"/>
      <c r="E1889" s="22"/>
      <c r="F1889" s="28"/>
      <c r="G1889" s="28"/>
      <c r="H1889" s="28"/>
      <c r="I1889" s="28"/>
      <c r="J1889" s="28"/>
      <c r="K1889" s="28"/>
      <c r="L1889" s="28"/>
      <c r="M1889" s="22"/>
      <c r="N1889" s="22"/>
      <c r="O1889" s="22"/>
      <c r="P1889" s="22"/>
      <c r="Q1889" s="22"/>
      <c r="R1889" s="28"/>
      <c r="S1889" s="28"/>
      <c r="T1889" s="28"/>
      <c r="U1889" s="28"/>
      <c r="V1889" s="22"/>
      <c r="W1889" s="22"/>
      <c r="X1889" s="22"/>
      <c r="Y1889" s="22"/>
      <c r="Z1889" s="22"/>
      <c r="AA1889" s="22"/>
      <c r="AB1889" s="22"/>
      <c r="AC1889" s="22"/>
      <c r="AD1889" s="22"/>
    </row>
    <row r="1890" spans="1:30" ht="15.75" customHeight="1" x14ac:dyDescent="0.15">
      <c r="A1890" s="22"/>
      <c r="B1890" s="22"/>
      <c r="C1890" s="22"/>
      <c r="D1890" s="22"/>
      <c r="E1890" s="22"/>
      <c r="F1890" s="28"/>
      <c r="G1890" s="28"/>
      <c r="H1890" s="28"/>
      <c r="I1890" s="28"/>
      <c r="J1890" s="28"/>
      <c r="K1890" s="28"/>
      <c r="L1890" s="28"/>
      <c r="M1890" s="22"/>
      <c r="N1890" s="22"/>
      <c r="O1890" s="22"/>
      <c r="P1890" s="22"/>
      <c r="Q1890" s="22"/>
      <c r="R1890" s="28"/>
      <c r="S1890" s="28"/>
      <c r="T1890" s="28"/>
      <c r="U1890" s="28"/>
      <c r="V1890" s="22"/>
      <c r="W1890" s="22"/>
      <c r="X1890" s="22"/>
      <c r="Y1890" s="22"/>
      <c r="Z1890" s="22"/>
      <c r="AA1890" s="22"/>
      <c r="AB1890" s="22"/>
      <c r="AC1890" s="22"/>
      <c r="AD1890" s="22"/>
    </row>
    <row r="1891" spans="1:30" ht="15.75" customHeight="1" x14ac:dyDescent="0.15">
      <c r="A1891" s="22"/>
      <c r="B1891" s="22"/>
      <c r="C1891" s="22"/>
      <c r="D1891" s="22"/>
      <c r="E1891" s="22"/>
      <c r="F1891" s="28"/>
      <c r="G1891" s="28"/>
      <c r="H1891" s="28"/>
      <c r="I1891" s="28"/>
      <c r="J1891" s="28"/>
      <c r="K1891" s="28"/>
      <c r="L1891" s="28"/>
      <c r="M1891" s="22"/>
      <c r="N1891" s="22"/>
      <c r="O1891" s="22"/>
      <c r="P1891" s="22"/>
      <c r="Q1891" s="22"/>
      <c r="R1891" s="28"/>
      <c r="S1891" s="28"/>
      <c r="T1891" s="28"/>
      <c r="U1891" s="28"/>
      <c r="V1891" s="22"/>
      <c r="W1891" s="22"/>
      <c r="X1891" s="22"/>
      <c r="Y1891" s="22"/>
      <c r="Z1891" s="22"/>
      <c r="AA1891" s="22"/>
      <c r="AB1891" s="22"/>
      <c r="AC1891" s="22"/>
      <c r="AD1891" s="22"/>
    </row>
    <row r="1892" spans="1:30" ht="15.75" customHeight="1" x14ac:dyDescent="0.15">
      <c r="A1892" s="22"/>
      <c r="B1892" s="22"/>
      <c r="C1892" s="22"/>
      <c r="D1892" s="22"/>
      <c r="E1892" s="22"/>
      <c r="F1892" s="28"/>
      <c r="G1892" s="28"/>
      <c r="H1892" s="28"/>
      <c r="I1892" s="28"/>
      <c r="J1892" s="28"/>
      <c r="K1892" s="28"/>
      <c r="L1892" s="28"/>
      <c r="M1892" s="22"/>
      <c r="N1892" s="22"/>
      <c r="O1892" s="22"/>
      <c r="P1892" s="22"/>
      <c r="Q1892" s="22"/>
      <c r="R1892" s="28"/>
      <c r="S1892" s="28"/>
      <c r="T1892" s="28"/>
      <c r="U1892" s="28"/>
      <c r="V1892" s="22"/>
      <c r="W1892" s="22"/>
      <c r="X1892" s="22"/>
      <c r="Y1892" s="22"/>
      <c r="Z1892" s="22"/>
      <c r="AA1892" s="22"/>
      <c r="AB1892" s="22"/>
      <c r="AC1892" s="22"/>
      <c r="AD1892" s="22"/>
    </row>
    <row r="1893" spans="1:30" ht="15.75" customHeight="1" x14ac:dyDescent="0.15">
      <c r="A1893" s="22"/>
      <c r="B1893" s="22"/>
      <c r="C1893" s="22"/>
      <c r="D1893" s="22"/>
      <c r="E1893" s="22"/>
      <c r="F1893" s="28"/>
      <c r="G1893" s="28"/>
      <c r="H1893" s="28"/>
      <c r="I1893" s="28"/>
      <c r="J1893" s="28"/>
      <c r="K1893" s="28"/>
      <c r="L1893" s="28"/>
      <c r="M1893" s="22"/>
      <c r="N1893" s="22"/>
      <c r="O1893" s="22"/>
      <c r="P1893" s="22"/>
      <c r="Q1893" s="22"/>
      <c r="R1893" s="28"/>
      <c r="S1893" s="28"/>
      <c r="T1893" s="28"/>
      <c r="U1893" s="28"/>
      <c r="V1893" s="22"/>
      <c r="W1893" s="22"/>
      <c r="X1893" s="22"/>
      <c r="Y1893" s="22"/>
      <c r="Z1893" s="22"/>
      <c r="AA1893" s="22"/>
      <c r="AB1893" s="22"/>
      <c r="AC1893" s="22"/>
      <c r="AD1893" s="22"/>
    </row>
    <row r="1894" spans="1:30" ht="15.75" customHeight="1" x14ac:dyDescent="0.15">
      <c r="A1894" s="22"/>
      <c r="B1894" s="22"/>
      <c r="C1894" s="22"/>
      <c r="D1894" s="22"/>
      <c r="E1894" s="22"/>
      <c r="F1894" s="28"/>
      <c r="G1894" s="28"/>
      <c r="H1894" s="28"/>
      <c r="I1894" s="28"/>
      <c r="J1894" s="28"/>
      <c r="K1894" s="28"/>
      <c r="L1894" s="28"/>
      <c r="M1894" s="22"/>
      <c r="N1894" s="22"/>
      <c r="O1894" s="22"/>
      <c r="P1894" s="22"/>
      <c r="Q1894" s="22"/>
      <c r="R1894" s="28"/>
      <c r="S1894" s="28"/>
      <c r="T1894" s="28"/>
      <c r="U1894" s="28"/>
      <c r="V1894" s="22"/>
      <c r="W1894" s="22"/>
      <c r="X1894" s="22"/>
      <c r="Y1894" s="22"/>
      <c r="Z1894" s="22"/>
      <c r="AA1894" s="22"/>
      <c r="AB1894" s="22"/>
      <c r="AC1894" s="22"/>
      <c r="AD1894" s="22"/>
    </row>
    <row r="1895" spans="1:30" ht="15.75" customHeight="1" x14ac:dyDescent="0.15">
      <c r="A1895" s="22"/>
      <c r="B1895" s="22"/>
      <c r="C1895" s="22"/>
      <c r="D1895" s="22"/>
      <c r="E1895" s="22"/>
      <c r="F1895" s="28"/>
      <c r="G1895" s="28"/>
      <c r="H1895" s="28"/>
      <c r="I1895" s="28"/>
      <c r="J1895" s="28"/>
      <c r="K1895" s="28"/>
      <c r="L1895" s="28"/>
      <c r="M1895" s="22"/>
      <c r="N1895" s="22"/>
      <c r="O1895" s="22"/>
      <c r="P1895" s="22"/>
      <c r="Q1895" s="22"/>
      <c r="R1895" s="28"/>
      <c r="S1895" s="28"/>
      <c r="T1895" s="28"/>
      <c r="U1895" s="28"/>
      <c r="V1895" s="22"/>
      <c r="W1895" s="22"/>
      <c r="X1895" s="22"/>
      <c r="Y1895" s="22"/>
      <c r="Z1895" s="22"/>
      <c r="AA1895" s="22"/>
      <c r="AB1895" s="22"/>
      <c r="AC1895" s="22"/>
      <c r="AD1895" s="22"/>
    </row>
    <row r="1896" spans="1:30" ht="15.75" customHeight="1" x14ac:dyDescent="0.15">
      <c r="A1896" s="22"/>
      <c r="B1896" s="22"/>
      <c r="C1896" s="22"/>
      <c r="D1896" s="22"/>
      <c r="E1896" s="22"/>
      <c r="F1896" s="28"/>
      <c r="G1896" s="28"/>
      <c r="H1896" s="28"/>
      <c r="I1896" s="28"/>
      <c r="J1896" s="28"/>
      <c r="K1896" s="28"/>
      <c r="L1896" s="28"/>
      <c r="M1896" s="22"/>
      <c r="N1896" s="22"/>
      <c r="O1896" s="22"/>
      <c r="P1896" s="22"/>
      <c r="Q1896" s="22"/>
      <c r="R1896" s="28"/>
      <c r="S1896" s="28"/>
      <c r="T1896" s="28"/>
      <c r="U1896" s="28"/>
      <c r="V1896" s="22"/>
      <c r="W1896" s="22"/>
      <c r="X1896" s="22"/>
      <c r="Y1896" s="22"/>
      <c r="Z1896" s="22"/>
      <c r="AA1896" s="22"/>
      <c r="AB1896" s="22"/>
      <c r="AC1896" s="22"/>
      <c r="AD1896" s="22"/>
    </row>
    <row r="1897" spans="1:30" ht="15.75" customHeight="1" x14ac:dyDescent="0.15">
      <c r="A1897" s="22"/>
      <c r="B1897" s="22"/>
      <c r="C1897" s="22"/>
      <c r="D1897" s="22"/>
      <c r="E1897" s="22"/>
      <c r="F1897" s="28"/>
      <c r="G1897" s="28"/>
      <c r="H1897" s="28"/>
      <c r="I1897" s="28"/>
      <c r="J1897" s="28"/>
      <c r="K1897" s="28"/>
      <c r="L1897" s="28"/>
      <c r="M1897" s="22"/>
      <c r="N1897" s="22"/>
      <c r="O1897" s="22"/>
      <c r="P1897" s="22"/>
      <c r="Q1897" s="22"/>
      <c r="R1897" s="28"/>
      <c r="S1897" s="28"/>
      <c r="T1897" s="28"/>
      <c r="U1897" s="28"/>
      <c r="V1897" s="22"/>
      <c r="W1897" s="22"/>
      <c r="X1897" s="22"/>
      <c r="Y1897" s="22"/>
      <c r="Z1897" s="22"/>
      <c r="AA1897" s="22"/>
      <c r="AB1897" s="22"/>
      <c r="AC1897" s="22"/>
      <c r="AD1897" s="22"/>
    </row>
    <row r="1898" spans="1:30" ht="15.75" customHeight="1" x14ac:dyDescent="0.15">
      <c r="A1898" s="22"/>
      <c r="B1898" s="22"/>
      <c r="C1898" s="22"/>
      <c r="D1898" s="22"/>
      <c r="E1898" s="22"/>
      <c r="F1898" s="28"/>
      <c r="G1898" s="28"/>
      <c r="H1898" s="28"/>
      <c r="I1898" s="28"/>
      <c r="J1898" s="28"/>
      <c r="K1898" s="28"/>
      <c r="L1898" s="28"/>
      <c r="M1898" s="22"/>
      <c r="N1898" s="22"/>
      <c r="O1898" s="22"/>
      <c r="P1898" s="22"/>
      <c r="Q1898" s="22"/>
      <c r="R1898" s="28"/>
      <c r="S1898" s="28"/>
      <c r="T1898" s="28"/>
      <c r="U1898" s="28"/>
      <c r="V1898" s="22"/>
      <c r="W1898" s="22"/>
      <c r="X1898" s="22"/>
      <c r="Y1898" s="22"/>
      <c r="Z1898" s="22"/>
      <c r="AA1898" s="22"/>
      <c r="AB1898" s="22"/>
      <c r="AC1898" s="22"/>
      <c r="AD1898" s="22"/>
    </row>
    <row r="1899" spans="1:30" ht="15.75" customHeight="1" x14ac:dyDescent="0.15">
      <c r="A1899" s="22"/>
      <c r="B1899" s="22"/>
      <c r="C1899" s="22"/>
      <c r="D1899" s="22"/>
      <c r="E1899" s="22"/>
      <c r="F1899" s="28"/>
      <c r="G1899" s="28"/>
      <c r="H1899" s="28"/>
      <c r="I1899" s="28"/>
      <c r="J1899" s="28"/>
      <c r="K1899" s="28"/>
      <c r="L1899" s="28"/>
      <c r="M1899" s="22"/>
      <c r="N1899" s="22"/>
      <c r="O1899" s="22"/>
      <c r="P1899" s="22"/>
      <c r="Q1899" s="22"/>
      <c r="R1899" s="28"/>
      <c r="S1899" s="28"/>
      <c r="T1899" s="28"/>
      <c r="U1899" s="28"/>
      <c r="V1899" s="22"/>
      <c r="W1899" s="22"/>
      <c r="X1899" s="22"/>
      <c r="Y1899" s="22"/>
      <c r="Z1899" s="22"/>
      <c r="AA1899" s="22"/>
      <c r="AB1899" s="22"/>
      <c r="AC1899" s="22"/>
      <c r="AD1899" s="22"/>
    </row>
    <row r="1900" spans="1:30" ht="15.75" customHeight="1" x14ac:dyDescent="0.15">
      <c r="A1900" s="22"/>
      <c r="B1900" s="22"/>
      <c r="C1900" s="22"/>
      <c r="D1900" s="22"/>
      <c r="E1900" s="22"/>
      <c r="F1900" s="28"/>
      <c r="G1900" s="28"/>
      <c r="H1900" s="28"/>
      <c r="I1900" s="28"/>
      <c r="J1900" s="28"/>
      <c r="K1900" s="28"/>
      <c r="L1900" s="28"/>
      <c r="M1900" s="22"/>
      <c r="N1900" s="22"/>
      <c r="O1900" s="22"/>
      <c r="P1900" s="22"/>
      <c r="Q1900" s="22"/>
      <c r="R1900" s="28"/>
      <c r="S1900" s="28"/>
      <c r="T1900" s="28"/>
      <c r="U1900" s="28"/>
      <c r="V1900" s="22"/>
      <c r="W1900" s="22"/>
      <c r="X1900" s="22"/>
      <c r="Y1900" s="22"/>
      <c r="Z1900" s="22"/>
      <c r="AA1900" s="22"/>
      <c r="AB1900" s="22"/>
      <c r="AC1900" s="22"/>
      <c r="AD1900" s="22"/>
    </row>
    <row r="1901" spans="1:30" ht="15.75" customHeight="1" x14ac:dyDescent="0.15">
      <c r="A1901" s="22"/>
      <c r="B1901" s="22"/>
      <c r="C1901" s="22"/>
      <c r="D1901" s="22"/>
      <c r="E1901" s="22"/>
      <c r="F1901" s="28"/>
      <c r="G1901" s="28"/>
      <c r="H1901" s="28"/>
      <c r="I1901" s="28"/>
      <c r="J1901" s="28"/>
      <c r="K1901" s="28"/>
      <c r="L1901" s="28"/>
      <c r="M1901" s="22"/>
      <c r="N1901" s="22"/>
      <c r="O1901" s="22"/>
      <c r="P1901" s="22"/>
      <c r="Q1901" s="22"/>
      <c r="R1901" s="28"/>
      <c r="S1901" s="28"/>
      <c r="T1901" s="28"/>
      <c r="U1901" s="28"/>
      <c r="V1901" s="22"/>
      <c r="W1901" s="22"/>
      <c r="X1901" s="22"/>
      <c r="Y1901" s="22"/>
      <c r="Z1901" s="22"/>
      <c r="AA1901" s="22"/>
      <c r="AB1901" s="22"/>
      <c r="AC1901" s="22"/>
      <c r="AD1901" s="22"/>
    </row>
    <row r="1902" spans="1:30" ht="15.75" customHeight="1" x14ac:dyDescent="0.15">
      <c r="A1902" s="22"/>
      <c r="B1902" s="22"/>
      <c r="C1902" s="22"/>
      <c r="D1902" s="22"/>
      <c r="E1902" s="22"/>
      <c r="F1902" s="28"/>
      <c r="G1902" s="28"/>
      <c r="H1902" s="28"/>
      <c r="I1902" s="28"/>
      <c r="J1902" s="28"/>
      <c r="K1902" s="28"/>
      <c r="L1902" s="28"/>
      <c r="M1902" s="22"/>
      <c r="N1902" s="22"/>
      <c r="O1902" s="22"/>
      <c r="P1902" s="22"/>
      <c r="Q1902" s="22"/>
      <c r="R1902" s="28"/>
      <c r="S1902" s="28"/>
      <c r="T1902" s="28"/>
      <c r="U1902" s="28"/>
      <c r="V1902" s="22"/>
      <c r="W1902" s="22"/>
      <c r="X1902" s="22"/>
      <c r="Y1902" s="22"/>
      <c r="Z1902" s="22"/>
      <c r="AA1902" s="22"/>
      <c r="AB1902" s="22"/>
      <c r="AC1902" s="22"/>
      <c r="AD1902" s="22"/>
    </row>
    <row r="1903" spans="1:30" ht="15.75" customHeight="1" x14ac:dyDescent="0.15">
      <c r="A1903" s="22"/>
      <c r="B1903" s="22"/>
      <c r="C1903" s="22"/>
      <c r="D1903" s="22"/>
      <c r="E1903" s="22"/>
      <c r="F1903" s="28"/>
      <c r="G1903" s="28"/>
      <c r="H1903" s="28"/>
      <c r="I1903" s="28"/>
      <c r="J1903" s="28"/>
      <c r="K1903" s="28"/>
      <c r="L1903" s="28"/>
      <c r="M1903" s="22"/>
      <c r="N1903" s="22"/>
      <c r="O1903" s="22"/>
      <c r="P1903" s="22"/>
      <c r="Q1903" s="22"/>
      <c r="R1903" s="28"/>
      <c r="S1903" s="28"/>
      <c r="T1903" s="28"/>
      <c r="U1903" s="28"/>
      <c r="V1903" s="22"/>
      <c r="W1903" s="22"/>
      <c r="X1903" s="22"/>
      <c r="Y1903" s="22"/>
      <c r="Z1903" s="22"/>
      <c r="AA1903" s="22"/>
      <c r="AB1903" s="22"/>
      <c r="AC1903" s="22"/>
      <c r="AD1903" s="22"/>
    </row>
    <row r="1904" spans="1:30" ht="15.75" customHeight="1" x14ac:dyDescent="0.15">
      <c r="A1904" s="22"/>
      <c r="B1904" s="22"/>
      <c r="C1904" s="22"/>
      <c r="D1904" s="22"/>
      <c r="E1904" s="22"/>
      <c r="F1904" s="28"/>
      <c r="G1904" s="28"/>
      <c r="H1904" s="28"/>
      <c r="I1904" s="28"/>
      <c r="J1904" s="28"/>
      <c r="K1904" s="28"/>
      <c r="L1904" s="28"/>
      <c r="M1904" s="22"/>
      <c r="N1904" s="22"/>
      <c r="O1904" s="22"/>
      <c r="P1904" s="22"/>
      <c r="Q1904" s="22"/>
      <c r="R1904" s="28"/>
      <c r="S1904" s="28"/>
      <c r="T1904" s="28"/>
      <c r="U1904" s="28"/>
      <c r="V1904" s="22"/>
      <c r="W1904" s="22"/>
      <c r="X1904" s="22"/>
      <c r="Y1904" s="22"/>
      <c r="Z1904" s="22"/>
      <c r="AA1904" s="22"/>
      <c r="AB1904" s="22"/>
      <c r="AC1904" s="22"/>
      <c r="AD1904" s="22"/>
    </row>
    <row r="1905" spans="1:30" ht="15.75" customHeight="1" x14ac:dyDescent="0.15">
      <c r="A1905" s="22"/>
      <c r="B1905" s="22"/>
      <c r="C1905" s="22"/>
      <c r="D1905" s="22"/>
      <c r="E1905" s="22"/>
      <c r="F1905" s="28"/>
      <c r="G1905" s="28"/>
      <c r="H1905" s="28"/>
      <c r="I1905" s="28"/>
      <c r="J1905" s="28"/>
      <c r="K1905" s="28"/>
      <c r="L1905" s="28"/>
      <c r="M1905" s="22"/>
      <c r="N1905" s="22"/>
      <c r="O1905" s="22"/>
      <c r="P1905" s="22"/>
      <c r="Q1905" s="22"/>
      <c r="R1905" s="28"/>
      <c r="S1905" s="28"/>
      <c r="T1905" s="28"/>
      <c r="U1905" s="28"/>
      <c r="V1905" s="22"/>
      <c r="W1905" s="22"/>
      <c r="X1905" s="22"/>
      <c r="Y1905" s="22"/>
      <c r="Z1905" s="22"/>
      <c r="AA1905" s="22"/>
      <c r="AB1905" s="22"/>
      <c r="AC1905" s="22"/>
      <c r="AD1905" s="22"/>
    </row>
    <row r="1906" spans="1:30" ht="15.75" customHeight="1" x14ac:dyDescent="0.15">
      <c r="A1906" s="22"/>
      <c r="B1906" s="22"/>
      <c r="C1906" s="22"/>
      <c r="D1906" s="22"/>
      <c r="E1906" s="22"/>
      <c r="F1906" s="28"/>
      <c r="G1906" s="28"/>
      <c r="H1906" s="28"/>
      <c r="I1906" s="28"/>
      <c r="J1906" s="28"/>
      <c r="K1906" s="28"/>
      <c r="L1906" s="28"/>
      <c r="M1906" s="22"/>
      <c r="N1906" s="22"/>
      <c r="O1906" s="22"/>
      <c r="P1906" s="22"/>
      <c r="Q1906" s="22"/>
      <c r="R1906" s="28"/>
      <c r="S1906" s="28"/>
      <c r="T1906" s="28"/>
      <c r="U1906" s="28"/>
      <c r="V1906" s="22"/>
      <c r="W1906" s="22"/>
      <c r="X1906" s="22"/>
      <c r="Y1906" s="22"/>
      <c r="Z1906" s="22"/>
      <c r="AA1906" s="22"/>
      <c r="AB1906" s="22"/>
      <c r="AC1906" s="22"/>
      <c r="AD1906" s="22"/>
    </row>
    <row r="1907" spans="1:30" ht="15.75" customHeight="1" x14ac:dyDescent="0.15">
      <c r="A1907" s="22"/>
      <c r="B1907" s="22"/>
      <c r="C1907" s="22"/>
      <c r="D1907" s="22"/>
      <c r="E1907" s="22"/>
      <c r="F1907" s="28"/>
      <c r="G1907" s="28"/>
      <c r="H1907" s="28"/>
      <c r="I1907" s="28"/>
      <c r="J1907" s="28"/>
      <c r="K1907" s="28"/>
      <c r="L1907" s="28"/>
      <c r="M1907" s="22"/>
      <c r="N1907" s="22"/>
      <c r="O1907" s="22"/>
      <c r="P1907" s="22"/>
      <c r="Q1907" s="22"/>
      <c r="R1907" s="28"/>
      <c r="S1907" s="28"/>
      <c r="T1907" s="28"/>
      <c r="U1907" s="28"/>
      <c r="V1907" s="22"/>
      <c r="W1907" s="22"/>
      <c r="X1907" s="22"/>
      <c r="Y1907" s="22"/>
      <c r="Z1907" s="22"/>
      <c r="AA1907" s="22"/>
      <c r="AB1907" s="22"/>
      <c r="AC1907" s="22"/>
      <c r="AD1907" s="22"/>
    </row>
    <row r="1908" spans="1:30" ht="15.75" customHeight="1" x14ac:dyDescent="0.15">
      <c r="A1908" s="22"/>
      <c r="B1908" s="22"/>
      <c r="C1908" s="22"/>
      <c r="D1908" s="22"/>
      <c r="E1908" s="22"/>
      <c r="F1908" s="28"/>
      <c r="G1908" s="28"/>
      <c r="H1908" s="28"/>
      <c r="I1908" s="28"/>
      <c r="J1908" s="28"/>
      <c r="K1908" s="28"/>
      <c r="L1908" s="28"/>
      <c r="M1908" s="22"/>
      <c r="N1908" s="22"/>
      <c r="O1908" s="22"/>
      <c r="P1908" s="22"/>
      <c r="Q1908" s="22"/>
      <c r="R1908" s="28"/>
      <c r="S1908" s="28"/>
      <c r="T1908" s="28"/>
      <c r="U1908" s="28"/>
      <c r="V1908" s="22"/>
      <c r="W1908" s="22"/>
      <c r="X1908" s="22"/>
      <c r="Y1908" s="22"/>
      <c r="Z1908" s="22"/>
      <c r="AA1908" s="22"/>
      <c r="AB1908" s="22"/>
      <c r="AC1908" s="22"/>
      <c r="AD1908" s="22"/>
    </row>
    <row r="1909" spans="1:30" ht="15.75" customHeight="1" x14ac:dyDescent="0.15">
      <c r="A1909" s="22"/>
      <c r="B1909" s="22"/>
      <c r="C1909" s="22"/>
      <c r="D1909" s="22"/>
      <c r="E1909" s="22"/>
      <c r="F1909" s="28"/>
      <c r="G1909" s="28"/>
      <c r="H1909" s="28"/>
      <c r="I1909" s="28"/>
      <c r="J1909" s="28"/>
      <c r="K1909" s="28"/>
      <c r="L1909" s="28"/>
      <c r="M1909" s="22"/>
      <c r="N1909" s="22"/>
      <c r="O1909" s="22"/>
      <c r="P1909" s="22"/>
      <c r="Q1909" s="22"/>
      <c r="R1909" s="28"/>
      <c r="S1909" s="28"/>
      <c r="T1909" s="28"/>
      <c r="U1909" s="28"/>
      <c r="V1909" s="22"/>
      <c r="W1909" s="22"/>
      <c r="X1909" s="22"/>
      <c r="Y1909" s="22"/>
      <c r="Z1909" s="22"/>
      <c r="AA1909" s="22"/>
      <c r="AB1909" s="22"/>
      <c r="AC1909" s="22"/>
      <c r="AD1909" s="22"/>
    </row>
    <row r="1910" spans="1:30" ht="15.75" customHeight="1" x14ac:dyDescent="0.15">
      <c r="A1910" s="22"/>
      <c r="B1910" s="22"/>
      <c r="C1910" s="22"/>
      <c r="D1910" s="22"/>
      <c r="E1910" s="22"/>
      <c r="F1910" s="28"/>
      <c r="G1910" s="28"/>
      <c r="H1910" s="28"/>
      <c r="I1910" s="28"/>
      <c r="J1910" s="28"/>
      <c r="K1910" s="28"/>
      <c r="L1910" s="28"/>
      <c r="M1910" s="22"/>
      <c r="N1910" s="22"/>
      <c r="O1910" s="22"/>
      <c r="P1910" s="22"/>
      <c r="Q1910" s="22"/>
      <c r="R1910" s="28"/>
      <c r="S1910" s="28"/>
      <c r="T1910" s="28"/>
      <c r="U1910" s="28"/>
      <c r="V1910" s="22"/>
      <c r="W1910" s="22"/>
      <c r="X1910" s="22"/>
      <c r="Y1910" s="22"/>
      <c r="Z1910" s="22"/>
      <c r="AA1910" s="22"/>
      <c r="AB1910" s="22"/>
      <c r="AC1910" s="22"/>
      <c r="AD1910" s="22"/>
    </row>
    <row r="1911" spans="1:30" ht="15.75" customHeight="1" x14ac:dyDescent="0.15">
      <c r="A1911" s="22"/>
      <c r="B1911" s="22"/>
      <c r="C1911" s="22"/>
      <c r="D1911" s="22"/>
      <c r="E1911" s="22"/>
      <c r="F1911" s="28"/>
      <c r="G1911" s="28"/>
      <c r="H1911" s="28"/>
      <c r="I1911" s="28"/>
      <c r="J1911" s="28"/>
      <c r="K1911" s="28"/>
      <c r="L1911" s="28"/>
      <c r="M1911" s="22"/>
      <c r="N1911" s="22"/>
      <c r="O1911" s="22"/>
      <c r="P1911" s="22"/>
      <c r="Q1911" s="22"/>
      <c r="R1911" s="28"/>
      <c r="S1911" s="28"/>
      <c r="T1911" s="28"/>
      <c r="U1911" s="28"/>
      <c r="V1911" s="22"/>
      <c r="W1911" s="22"/>
      <c r="X1911" s="22"/>
      <c r="Y1911" s="22"/>
      <c r="Z1911" s="22"/>
      <c r="AA1911" s="22"/>
      <c r="AB1911" s="22"/>
      <c r="AC1911" s="22"/>
      <c r="AD1911" s="22"/>
    </row>
    <row r="1912" spans="1:30" ht="15.75" customHeight="1" x14ac:dyDescent="0.15">
      <c r="A1912" s="22"/>
      <c r="B1912" s="22"/>
      <c r="C1912" s="22"/>
      <c r="D1912" s="22"/>
      <c r="E1912" s="22"/>
      <c r="F1912" s="28"/>
      <c r="G1912" s="28"/>
      <c r="H1912" s="28"/>
      <c r="I1912" s="28"/>
      <c r="J1912" s="28"/>
      <c r="K1912" s="28"/>
      <c r="L1912" s="28"/>
      <c r="M1912" s="22"/>
      <c r="N1912" s="22"/>
      <c r="O1912" s="22"/>
      <c r="P1912" s="22"/>
      <c r="Q1912" s="22"/>
      <c r="R1912" s="28"/>
      <c r="S1912" s="28"/>
      <c r="T1912" s="28"/>
      <c r="U1912" s="28"/>
      <c r="V1912" s="22"/>
      <c r="W1912" s="22"/>
      <c r="X1912" s="22"/>
      <c r="Y1912" s="22"/>
      <c r="Z1912" s="22"/>
      <c r="AA1912" s="22"/>
      <c r="AB1912" s="22"/>
      <c r="AC1912" s="22"/>
      <c r="AD1912" s="22"/>
    </row>
    <row r="1913" spans="1:30" ht="15.75" customHeight="1" x14ac:dyDescent="0.15">
      <c r="A1913" s="22"/>
      <c r="B1913" s="22"/>
      <c r="C1913" s="22"/>
      <c r="D1913" s="22"/>
      <c r="E1913" s="22"/>
      <c r="F1913" s="28"/>
      <c r="G1913" s="28"/>
      <c r="H1913" s="28"/>
      <c r="I1913" s="28"/>
      <c r="J1913" s="28"/>
      <c r="K1913" s="28"/>
      <c r="L1913" s="28"/>
      <c r="M1913" s="22"/>
      <c r="N1913" s="22"/>
      <c r="O1913" s="22"/>
      <c r="P1913" s="22"/>
      <c r="Q1913" s="22"/>
      <c r="R1913" s="28"/>
      <c r="S1913" s="28"/>
      <c r="T1913" s="28"/>
      <c r="U1913" s="28"/>
      <c r="V1913" s="22"/>
      <c r="W1913" s="22"/>
      <c r="X1913" s="22"/>
      <c r="Y1913" s="22"/>
      <c r="Z1913" s="22"/>
      <c r="AA1913" s="22"/>
      <c r="AB1913" s="22"/>
      <c r="AC1913" s="22"/>
      <c r="AD1913" s="22"/>
    </row>
    <row r="1914" spans="1:30" ht="15.75" customHeight="1" x14ac:dyDescent="0.15">
      <c r="A1914" s="22"/>
      <c r="B1914" s="22"/>
      <c r="C1914" s="22"/>
      <c r="D1914" s="22"/>
      <c r="E1914" s="22"/>
      <c r="F1914" s="28"/>
      <c r="G1914" s="28"/>
      <c r="H1914" s="28"/>
      <c r="I1914" s="28"/>
      <c r="J1914" s="28"/>
      <c r="K1914" s="28"/>
      <c r="L1914" s="28"/>
      <c r="M1914" s="22"/>
      <c r="N1914" s="22"/>
      <c r="O1914" s="22"/>
      <c r="P1914" s="22"/>
      <c r="Q1914" s="22"/>
      <c r="R1914" s="28"/>
      <c r="S1914" s="28"/>
      <c r="T1914" s="28"/>
      <c r="U1914" s="28"/>
      <c r="V1914" s="22"/>
      <c r="W1914" s="22"/>
      <c r="X1914" s="22"/>
      <c r="Y1914" s="22"/>
      <c r="Z1914" s="22"/>
      <c r="AA1914" s="22"/>
      <c r="AB1914" s="22"/>
      <c r="AC1914" s="22"/>
      <c r="AD1914" s="22"/>
    </row>
    <row r="1915" spans="1:30" ht="15.75" customHeight="1" x14ac:dyDescent="0.15">
      <c r="A1915" s="22"/>
      <c r="B1915" s="22"/>
      <c r="C1915" s="22"/>
      <c r="D1915" s="22"/>
      <c r="E1915" s="22"/>
      <c r="F1915" s="28"/>
      <c r="G1915" s="28"/>
      <c r="H1915" s="28"/>
      <c r="I1915" s="28"/>
      <c r="J1915" s="28"/>
      <c r="K1915" s="28"/>
      <c r="L1915" s="28"/>
      <c r="M1915" s="22"/>
      <c r="N1915" s="22"/>
      <c r="O1915" s="22"/>
      <c r="P1915" s="22"/>
      <c r="Q1915" s="22"/>
      <c r="R1915" s="28"/>
      <c r="S1915" s="28"/>
      <c r="T1915" s="28"/>
      <c r="U1915" s="28"/>
      <c r="V1915" s="22"/>
      <c r="W1915" s="22"/>
      <c r="X1915" s="22"/>
      <c r="Y1915" s="22"/>
      <c r="Z1915" s="22"/>
      <c r="AA1915" s="22"/>
      <c r="AB1915" s="22"/>
      <c r="AC1915" s="22"/>
      <c r="AD1915" s="22"/>
    </row>
    <row r="1916" spans="1:30" ht="15.75" customHeight="1" x14ac:dyDescent="0.15">
      <c r="A1916" s="22"/>
      <c r="B1916" s="22"/>
      <c r="C1916" s="22"/>
      <c r="D1916" s="22"/>
      <c r="E1916" s="22"/>
      <c r="F1916" s="28"/>
      <c r="G1916" s="28"/>
      <c r="H1916" s="28"/>
      <c r="I1916" s="28"/>
      <c r="J1916" s="28"/>
      <c r="K1916" s="28"/>
      <c r="L1916" s="28"/>
      <c r="M1916" s="22"/>
      <c r="N1916" s="22"/>
      <c r="O1916" s="22"/>
      <c r="P1916" s="22"/>
      <c r="Q1916" s="22"/>
      <c r="R1916" s="28"/>
      <c r="S1916" s="28"/>
      <c r="T1916" s="28"/>
      <c r="U1916" s="28"/>
      <c r="V1916" s="22"/>
      <c r="W1916" s="22"/>
      <c r="X1916" s="22"/>
      <c r="Y1916" s="22"/>
      <c r="Z1916" s="22"/>
      <c r="AA1916" s="22"/>
      <c r="AB1916" s="22"/>
      <c r="AC1916" s="22"/>
      <c r="AD1916" s="22"/>
    </row>
    <row r="1917" spans="1:30" ht="15.75" customHeight="1" x14ac:dyDescent="0.15">
      <c r="A1917" s="22"/>
      <c r="B1917" s="22"/>
      <c r="C1917" s="22"/>
      <c r="D1917" s="22"/>
      <c r="E1917" s="22"/>
      <c r="F1917" s="28"/>
      <c r="G1917" s="28"/>
      <c r="H1917" s="28"/>
      <c r="I1917" s="28"/>
      <c r="J1917" s="28"/>
      <c r="K1917" s="28"/>
      <c r="L1917" s="28"/>
      <c r="M1917" s="22"/>
      <c r="N1917" s="22"/>
      <c r="O1917" s="22"/>
      <c r="P1917" s="22"/>
      <c r="Q1917" s="22"/>
      <c r="R1917" s="28"/>
      <c r="S1917" s="28"/>
      <c r="T1917" s="28"/>
      <c r="U1917" s="28"/>
      <c r="V1917" s="22"/>
      <c r="W1917" s="22"/>
      <c r="X1917" s="22"/>
      <c r="Y1917" s="22"/>
      <c r="Z1917" s="22"/>
      <c r="AA1917" s="22"/>
      <c r="AB1917" s="22"/>
      <c r="AC1917" s="22"/>
      <c r="AD1917" s="22"/>
    </row>
    <row r="1918" spans="1:30" ht="15.75" customHeight="1" x14ac:dyDescent="0.15">
      <c r="A1918" s="22"/>
      <c r="B1918" s="22"/>
      <c r="C1918" s="22"/>
      <c r="D1918" s="22"/>
      <c r="E1918" s="22"/>
      <c r="F1918" s="28"/>
      <c r="G1918" s="28"/>
      <c r="H1918" s="28"/>
      <c r="I1918" s="28"/>
      <c r="J1918" s="28"/>
      <c r="K1918" s="28"/>
      <c r="L1918" s="28"/>
      <c r="M1918" s="22"/>
      <c r="N1918" s="22"/>
      <c r="O1918" s="22"/>
      <c r="P1918" s="22"/>
      <c r="Q1918" s="22"/>
      <c r="R1918" s="28"/>
      <c r="S1918" s="28"/>
      <c r="T1918" s="28"/>
      <c r="U1918" s="28"/>
      <c r="V1918" s="22"/>
      <c r="W1918" s="22"/>
      <c r="X1918" s="22"/>
      <c r="Y1918" s="22"/>
      <c r="Z1918" s="22"/>
      <c r="AA1918" s="22"/>
      <c r="AB1918" s="22"/>
      <c r="AC1918" s="22"/>
      <c r="AD1918" s="22"/>
    </row>
    <row r="1919" spans="1:30" ht="15.75" customHeight="1" x14ac:dyDescent="0.15">
      <c r="A1919" s="22"/>
      <c r="B1919" s="22"/>
      <c r="C1919" s="22"/>
      <c r="D1919" s="22"/>
      <c r="E1919" s="22"/>
      <c r="F1919" s="28"/>
      <c r="G1919" s="28"/>
      <c r="H1919" s="28"/>
      <c r="I1919" s="28"/>
      <c r="J1919" s="28"/>
      <c r="K1919" s="28"/>
      <c r="L1919" s="28"/>
      <c r="M1919" s="22"/>
      <c r="N1919" s="22"/>
      <c r="O1919" s="22"/>
      <c r="P1919" s="22"/>
      <c r="Q1919" s="22"/>
      <c r="R1919" s="28"/>
      <c r="S1919" s="28"/>
      <c r="T1919" s="28"/>
      <c r="U1919" s="28"/>
      <c r="V1919" s="22"/>
      <c r="W1919" s="22"/>
      <c r="X1919" s="22"/>
      <c r="Y1919" s="22"/>
      <c r="Z1919" s="22"/>
      <c r="AA1919" s="22"/>
      <c r="AB1919" s="22"/>
      <c r="AC1919" s="22"/>
      <c r="AD1919" s="22"/>
    </row>
    <row r="1920" spans="1:30" ht="15.75" customHeight="1" x14ac:dyDescent="0.15">
      <c r="A1920" s="22"/>
      <c r="B1920" s="22"/>
      <c r="C1920" s="22"/>
      <c r="D1920" s="22"/>
      <c r="E1920" s="22"/>
      <c r="F1920" s="28"/>
      <c r="G1920" s="28"/>
      <c r="H1920" s="28"/>
      <c r="I1920" s="28"/>
      <c r="J1920" s="28"/>
      <c r="K1920" s="28"/>
      <c r="L1920" s="28"/>
      <c r="M1920" s="22"/>
      <c r="N1920" s="22"/>
      <c r="O1920" s="22"/>
      <c r="P1920" s="22"/>
      <c r="Q1920" s="22"/>
      <c r="R1920" s="28"/>
      <c r="S1920" s="28"/>
      <c r="T1920" s="28"/>
      <c r="U1920" s="28"/>
      <c r="V1920" s="22"/>
      <c r="W1920" s="22"/>
      <c r="X1920" s="22"/>
      <c r="Y1920" s="22"/>
      <c r="Z1920" s="22"/>
      <c r="AA1920" s="22"/>
      <c r="AB1920" s="22"/>
      <c r="AC1920" s="22"/>
      <c r="AD1920" s="22"/>
    </row>
    <row r="1921" spans="1:30" ht="15.75" customHeight="1" x14ac:dyDescent="0.15">
      <c r="A1921" s="22"/>
      <c r="B1921" s="22"/>
      <c r="C1921" s="22"/>
      <c r="D1921" s="22"/>
      <c r="E1921" s="22"/>
      <c r="F1921" s="28"/>
      <c r="G1921" s="28"/>
      <c r="H1921" s="28"/>
      <c r="I1921" s="28"/>
      <c r="J1921" s="28"/>
      <c r="K1921" s="28"/>
      <c r="L1921" s="28"/>
      <c r="M1921" s="22"/>
      <c r="N1921" s="22"/>
      <c r="O1921" s="22"/>
      <c r="P1921" s="22"/>
      <c r="Q1921" s="22"/>
      <c r="R1921" s="28"/>
      <c r="S1921" s="28"/>
      <c r="T1921" s="28"/>
      <c r="U1921" s="28"/>
      <c r="V1921" s="22"/>
      <c r="W1921" s="22"/>
      <c r="X1921" s="22"/>
      <c r="Y1921" s="22"/>
      <c r="Z1921" s="22"/>
      <c r="AA1921" s="22"/>
      <c r="AB1921" s="22"/>
      <c r="AC1921" s="22"/>
      <c r="AD1921" s="22"/>
    </row>
    <row r="1922" spans="1:30" ht="15.75" customHeight="1" x14ac:dyDescent="0.15">
      <c r="A1922" s="22"/>
      <c r="B1922" s="22"/>
      <c r="C1922" s="22"/>
      <c r="D1922" s="22"/>
      <c r="E1922" s="22"/>
      <c r="F1922" s="28"/>
      <c r="G1922" s="28"/>
      <c r="H1922" s="28"/>
      <c r="I1922" s="28"/>
      <c r="J1922" s="28"/>
      <c r="K1922" s="28"/>
      <c r="L1922" s="28"/>
      <c r="M1922" s="22"/>
      <c r="N1922" s="22"/>
      <c r="O1922" s="22"/>
      <c r="P1922" s="22"/>
      <c r="Q1922" s="22"/>
      <c r="R1922" s="28"/>
      <c r="S1922" s="28"/>
      <c r="T1922" s="28"/>
      <c r="U1922" s="28"/>
      <c r="V1922" s="22"/>
      <c r="W1922" s="22"/>
      <c r="X1922" s="22"/>
      <c r="Y1922" s="22"/>
      <c r="Z1922" s="22"/>
      <c r="AA1922" s="22"/>
      <c r="AB1922" s="22"/>
      <c r="AC1922" s="22"/>
      <c r="AD1922" s="22"/>
    </row>
    <row r="1923" spans="1:30" ht="15.75" customHeight="1" x14ac:dyDescent="0.15">
      <c r="A1923" s="22"/>
      <c r="B1923" s="22"/>
      <c r="C1923" s="22"/>
      <c r="D1923" s="22"/>
      <c r="E1923" s="22"/>
      <c r="F1923" s="28"/>
      <c r="G1923" s="28"/>
      <c r="H1923" s="28"/>
      <c r="I1923" s="28"/>
      <c r="J1923" s="28"/>
      <c r="K1923" s="28"/>
      <c r="L1923" s="28"/>
      <c r="M1923" s="22"/>
      <c r="N1923" s="22"/>
      <c r="O1923" s="22"/>
      <c r="P1923" s="22"/>
      <c r="Q1923" s="22"/>
      <c r="R1923" s="28"/>
      <c r="S1923" s="28"/>
      <c r="T1923" s="28"/>
      <c r="U1923" s="28"/>
      <c r="V1923" s="22"/>
      <c r="W1923" s="22"/>
      <c r="X1923" s="22"/>
      <c r="Y1923" s="22"/>
      <c r="Z1923" s="22"/>
      <c r="AA1923" s="22"/>
      <c r="AB1923" s="22"/>
      <c r="AC1923" s="22"/>
      <c r="AD1923" s="22"/>
    </row>
    <row r="1924" spans="1:30" ht="15.75" customHeight="1" x14ac:dyDescent="0.15">
      <c r="A1924" s="22"/>
      <c r="B1924" s="22"/>
      <c r="C1924" s="22"/>
      <c r="D1924" s="22"/>
      <c r="E1924" s="22"/>
      <c r="F1924" s="28"/>
      <c r="G1924" s="28"/>
      <c r="H1924" s="28"/>
      <c r="I1924" s="28"/>
      <c r="J1924" s="28"/>
      <c r="K1924" s="28"/>
      <c r="L1924" s="28"/>
      <c r="M1924" s="22"/>
      <c r="N1924" s="22"/>
      <c r="O1924" s="22"/>
      <c r="P1924" s="22"/>
      <c r="Q1924" s="22"/>
      <c r="R1924" s="28"/>
      <c r="S1924" s="28"/>
      <c r="T1924" s="28"/>
      <c r="U1924" s="28"/>
      <c r="V1924" s="22"/>
      <c r="W1924" s="22"/>
      <c r="X1924" s="22"/>
      <c r="Y1924" s="22"/>
      <c r="Z1924" s="22"/>
      <c r="AA1924" s="22"/>
      <c r="AB1924" s="22"/>
      <c r="AC1924" s="22"/>
      <c r="AD1924" s="22"/>
    </row>
    <row r="1925" spans="1:30" ht="15.75" customHeight="1" x14ac:dyDescent="0.15">
      <c r="A1925" s="22"/>
      <c r="B1925" s="22"/>
      <c r="C1925" s="22"/>
      <c r="D1925" s="22"/>
      <c r="E1925" s="22"/>
      <c r="F1925" s="28"/>
      <c r="G1925" s="28"/>
      <c r="H1925" s="28"/>
      <c r="I1925" s="28"/>
      <c r="J1925" s="28"/>
      <c r="K1925" s="28"/>
      <c r="L1925" s="28"/>
      <c r="M1925" s="22"/>
      <c r="N1925" s="22"/>
      <c r="O1925" s="22"/>
      <c r="P1925" s="22"/>
      <c r="Q1925" s="22"/>
      <c r="R1925" s="28"/>
      <c r="S1925" s="28"/>
      <c r="T1925" s="28"/>
      <c r="U1925" s="28"/>
      <c r="V1925" s="22"/>
      <c r="W1925" s="22"/>
      <c r="X1925" s="22"/>
      <c r="Y1925" s="22"/>
      <c r="Z1925" s="22"/>
      <c r="AA1925" s="22"/>
      <c r="AB1925" s="22"/>
      <c r="AC1925" s="22"/>
      <c r="AD1925" s="22"/>
    </row>
    <row r="1926" spans="1:30" ht="15.75" customHeight="1" x14ac:dyDescent="0.15">
      <c r="A1926" s="22"/>
      <c r="B1926" s="22"/>
      <c r="C1926" s="22"/>
      <c r="D1926" s="22"/>
      <c r="E1926" s="22"/>
      <c r="F1926" s="28"/>
      <c r="G1926" s="28"/>
      <c r="H1926" s="28"/>
      <c r="I1926" s="28"/>
      <c r="J1926" s="28"/>
      <c r="K1926" s="28"/>
      <c r="L1926" s="28"/>
      <c r="M1926" s="22"/>
      <c r="N1926" s="22"/>
      <c r="O1926" s="22"/>
      <c r="P1926" s="22"/>
      <c r="Q1926" s="22"/>
      <c r="R1926" s="28"/>
      <c r="S1926" s="28"/>
      <c r="T1926" s="28"/>
      <c r="U1926" s="28"/>
      <c r="V1926" s="22"/>
      <c r="W1926" s="22"/>
      <c r="X1926" s="22"/>
      <c r="Y1926" s="22"/>
      <c r="Z1926" s="22"/>
      <c r="AA1926" s="22"/>
      <c r="AB1926" s="22"/>
      <c r="AC1926" s="22"/>
      <c r="AD1926" s="22"/>
    </row>
    <row r="1927" spans="1:30" ht="15.75" customHeight="1" x14ac:dyDescent="0.15">
      <c r="A1927" s="22"/>
      <c r="B1927" s="22"/>
      <c r="C1927" s="22"/>
      <c r="D1927" s="22"/>
      <c r="E1927" s="22"/>
      <c r="F1927" s="28"/>
      <c r="G1927" s="28"/>
      <c r="H1927" s="28"/>
      <c r="I1927" s="28"/>
      <c r="J1927" s="28"/>
      <c r="K1927" s="28"/>
      <c r="L1927" s="28"/>
      <c r="M1927" s="22"/>
      <c r="N1927" s="22"/>
      <c r="O1927" s="22"/>
      <c r="P1927" s="22"/>
      <c r="Q1927" s="22"/>
      <c r="R1927" s="28"/>
      <c r="S1927" s="28"/>
      <c r="T1927" s="28"/>
      <c r="U1927" s="28"/>
      <c r="V1927" s="22"/>
      <c r="W1927" s="22"/>
      <c r="X1927" s="22"/>
      <c r="Y1927" s="22"/>
      <c r="Z1927" s="22"/>
      <c r="AA1927" s="22"/>
      <c r="AB1927" s="22"/>
      <c r="AC1927" s="22"/>
      <c r="AD1927" s="22"/>
    </row>
    <row r="1928" spans="1:30" ht="15.75" customHeight="1" x14ac:dyDescent="0.15">
      <c r="A1928" s="22"/>
      <c r="B1928" s="22"/>
      <c r="C1928" s="22"/>
      <c r="D1928" s="22"/>
      <c r="E1928" s="22"/>
      <c r="F1928" s="28"/>
      <c r="G1928" s="28"/>
      <c r="H1928" s="28"/>
      <c r="I1928" s="28"/>
      <c r="J1928" s="28"/>
      <c r="K1928" s="28"/>
      <c r="L1928" s="28"/>
      <c r="M1928" s="22"/>
      <c r="N1928" s="22"/>
      <c r="O1928" s="22"/>
      <c r="P1928" s="22"/>
      <c r="Q1928" s="22"/>
      <c r="R1928" s="28"/>
      <c r="S1928" s="28"/>
      <c r="T1928" s="28"/>
      <c r="U1928" s="28"/>
      <c r="V1928" s="22"/>
      <c r="W1928" s="22"/>
      <c r="X1928" s="22"/>
      <c r="Y1928" s="22"/>
      <c r="Z1928" s="22"/>
      <c r="AA1928" s="22"/>
      <c r="AB1928" s="22"/>
      <c r="AC1928" s="22"/>
      <c r="AD1928" s="22"/>
    </row>
    <row r="1929" spans="1:30" ht="15.75" customHeight="1" x14ac:dyDescent="0.15">
      <c r="A1929" s="22"/>
      <c r="B1929" s="22"/>
      <c r="C1929" s="22"/>
      <c r="D1929" s="22"/>
      <c r="E1929" s="22"/>
      <c r="F1929" s="28"/>
      <c r="G1929" s="28"/>
      <c r="H1929" s="28"/>
      <c r="I1929" s="28"/>
      <c r="J1929" s="28"/>
      <c r="K1929" s="28"/>
      <c r="L1929" s="28"/>
      <c r="M1929" s="22"/>
      <c r="N1929" s="22"/>
      <c r="O1929" s="22"/>
      <c r="P1929" s="22"/>
      <c r="Q1929" s="22"/>
      <c r="R1929" s="28"/>
      <c r="S1929" s="28"/>
      <c r="T1929" s="28"/>
      <c r="U1929" s="28"/>
      <c r="V1929" s="22"/>
      <c r="W1929" s="22"/>
      <c r="X1929" s="22"/>
      <c r="Y1929" s="22"/>
      <c r="Z1929" s="22"/>
      <c r="AA1929" s="22"/>
      <c r="AB1929" s="22"/>
      <c r="AC1929" s="22"/>
      <c r="AD1929" s="22"/>
    </row>
    <row r="1930" spans="1:30" ht="15.75" customHeight="1" x14ac:dyDescent="0.15">
      <c r="A1930" s="22"/>
      <c r="B1930" s="22"/>
      <c r="C1930" s="22"/>
      <c r="D1930" s="22"/>
      <c r="E1930" s="22"/>
      <c r="F1930" s="28"/>
      <c r="G1930" s="28"/>
      <c r="H1930" s="28"/>
      <c r="I1930" s="28"/>
      <c r="J1930" s="28"/>
      <c r="K1930" s="28"/>
      <c r="L1930" s="28"/>
      <c r="M1930" s="22"/>
      <c r="N1930" s="22"/>
      <c r="O1930" s="22"/>
      <c r="P1930" s="22"/>
      <c r="Q1930" s="22"/>
      <c r="R1930" s="28"/>
      <c r="S1930" s="28"/>
      <c r="T1930" s="28"/>
      <c r="U1930" s="28"/>
      <c r="V1930" s="22"/>
      <c r="W1930" s="22"/>
      <c r="X1930" s="22"/>
      <c r="Y1930" s="22"/>
      <c r="Z1930" s="22"/>
      <c r="AA1930" s="22"/>
      <c r="AB1930" s="22"/>
      <c r="AC1930" s="22"/>
      <c r="AD1930" s="22"/>
    </row>
    <row r="1931" spans="1:30" ht="15.75" customHeight="1" x14ac:dyDescent="0.15">
      <c r="A1931" s="22"/>
      <c r="B1931" s="22"/>
      <c r="C1931" s="22"/>
      <c r="D1931" s="22"/>
      <c r="E1931" s="22"/>
      <c r="F1931" s="28"/>
      <c r="G1931" s="28"/>
      <c r="H1931" s="28"/>
      <c r="I1931" s="28"/>
      <c r="J1931" s="28"/>
      <c r="K1931" s="28"/>
      <c r="L1931" s="28"/>
      <c r="M1931" s="22"/>
      <c r="N1931" s="22"/>
      <c r="O1931" s="22"/>
      <c r="P1931" s="22"/>
      <c r="Q1931" s="22"/>
      <c r="R1931" s="28"/>
      <c r="S1931" s="28"/>
      <c r="T1931" s="28"/>
      <c r="U1931" s="28"/>
      <c r="V1931" s="22"/>
      <c r="W1931" s="22"/>
      <c r="X1931" s="22"/>
      <c r="Y1931" s="22"/>
      <c r="Z1931" s="22"/>
      <c r="AA1931" s="22"/>
      <c r="AB1931" s="22"/>
      <c r="AC1931" s="22"/>
      <c r="AD1931" s="22"/>
    </row>
    <row r="1932" spans="1:30" ht="15.75" customHeight="1" x14ac:dyDescent="0.15">
      <c r="A1932" s="22"/>
      <c r="B1932" s="22"/>
      <c r="C1932" s="22"/>
      <c r="D1932" s="22"/>
      <c r="E1932" s="22"/>
      <c r="F1932" s="28"/>
      <c r="G1932" s="28"/>
      <c r="H1932" s="28"/>
      <c r="I1932" s="28"/>
      <c r="J1932" s="28"/>
      <c r="K1932" s="28"/>
      <c r="L1932" s="28"/>
      <c r="M1932" s="22"/>
      <c r="N1932" s="22"/>
      <c r="O1932" s="22"/>
      <c r="P1932" s="22"/>
      <c r="Q1932" s="22"/>
      <c r="R1932" s="28"/>
      <c r="S1932" s="28"/>
      <c r="T1932" s="28"/>
      <c r="U1932" s="28"/>
      <c r="V1932" s="22"/>
      <c r="W1932" s="22"/>
      <c r="X1932" s="22"/>
      <c r="Y1932" s="22"/>
      <c r="Z1932" s="22"/>
      <c r="AA1932" s="22"/>
      <c r="AB1932" s="22"/>
      <c r="AC1932" s="22"/>
      <c r="AD1932" s="22"/>
    </row>
    <row r="1933" spans="1:30" ht="15.75" customHeight="1" x14ac:dyDescent="0.15">
      <c r="A1933" s="22"/>
      <c r="B1933" s="22"/>
      <c r="C1933" s="22"/>
      <c r="D1933" s="22"/>
      <c r="E1933" s="22"/>
      <c r="F1933" s="28"/>
      <c r="G1933" s="28"/>
      <c r="H1933" s="28"/>
      <c r="I1933" s="28"/>
      <c r="J1933" s="28"/>
      <c r="K1933" s="28"/>
      <c r="L1933" s="28"/>
      <c r="M1933" s="22"/>
      <c r="N1933" s="22"/>
      <c r="O1933" s="22"/>
      <c r="P1933" s="22"/>
      <c r="Q1933" s="22"/>
      <c r="R1933" s="28"/>
      <c r="S1933" s="28"/>
      <c r="T1933" s="28"/>
      <c r="U1933" s="28"/>
      <c r="V1933" s="22"/>
      <c r="W1933" s="22"/>
      <c r="X1933" s="22"/>
      <c r="Y1933" s="22"/>
      <c r="Z1933" s="22"/>
      <c r="AA1933" s="22"/>
      <c r="AB1933" s="22"/>
      <c r="AC1933" s="22"/>
      <c r="AD1933" s="22"/>
    </row>
    <row r="1934" spans="1:30" ht="15.75" customHeight="1" x14ac:dyDescent="0.15">
      <c r="A1934" s="22"/>
      <c r="B1934" s="22"/>
      <c r="C1934" s="22"/>
      <c r="D1934" s="22"/>
      <c r="E1934" s="22"/>
      <c r="F1934" s="28"/>
      <c r="G1934" s="28"/>
      <c r="H1934" s="28"/>
      <c r="I1934" s="28"/>
      <c r="J1934" s="28"/>
      <c r="K1934" s="28"/>
      <c r="L1934" s="28"/>
      <c r="M1934" s="22"/>
      <c r="N1934" s="22"/>
      <c r="O1934" s="22"/>
      <c r="P1934" s="22"/>
      <c r="Q1934" s="22"/>
      <c r="R1934" s="28"/>
      <c r="S1934" s="28"/>
      <c r="T1934" s="28"/>
      <c r="U1934" s="28"/>
      <c r="V1934" s="22"/>
      <c r="W1934" s="22"/>
      <c r="X1934" s="22"/>
      <c r="Y1934" s="22"/>
      <c r="Z1934" s="22"/>
      <c r="AA1934" s="22"/>
      <c r="AB1934" s="22"/>
      <c r="AC1934" s="22"/>
      <c r="AD1934" s="22"/>
    </row>
    <row r="1935" spans="1:30" ht="15.75" customHeight="1" x14ac:dyDescent="0.15">
      <c r="A1935" s="22"/>
      <c r="B1935" s="22"/>
      <c r="C1935" s="22"/>
      <c r="D1935" s="22"/>
      <c r="E1935" s="22"/>
      <c r="F1935" s="28"/>
      <c r="G1935" s="28"/>
      <c r="H1935" s="28"/>
      <c r="I1935" s="28"/>
      <c r="J1935" s="28"/>
      <c r="K1935" s="28"/>
      <c r="L1935" s="28"/>
      <c r="M1935" s="22"/>
      <c r="N1935" s="22"/>
      <c r="O1935" s="22"/>
      <c r="P1935" s="22"/>
      <c r="Q1935" s="22"/>
      <c r="R1935" s="28"/>
      <c r="S1935" s="28"/>
      <c r="T1935" s="28"/>
      <c r="U1935" s="28"/>
      <c r="V1935" s="22"/>
      <c r="W1935" s="22"/>
      <c r="X1935" s="22"/>
      <c r="Y1935" s="22"/>
      <c r="Z1935" s="22"/>
      <c r="AA1935" s="22"/>
      <c r="AB1935" s="22"/>
      <c r="AC1935" s="22"/>
      <c r="AD1935" s="22"/>
    </row>
    <row r="1936" spans="1:30" ht="15.75" customHeight="1" x14ac:dyDescent="0.15">
      <c r="A1936" s="22"/>
      <c r="B1936" s="22"/>
      <c r="C1936" s="22"/>
      <c r="D1936" s="22"/>
      <c r="E1936" s="22"/>
      <c r="F1936" s="28"/>
      <c r="G1936" s="28"/>
      <c r="H1936" s="28"/>
      <c r="I1936" s="28"/>
      <c r="J1936" s="28"/>
      <c r="K1936" s="28"/>
      <c r="L1936" s="28"/>
      <c r="M1936" s="22"/>
      <c r="N1936" s="22"/>
      <c r="O1936" s="22"/>
      <c r="P1936" s="22"/>
      <c r="Q1936" s="22"/>
      <c r="R1936" s="28"/>
      <c r="S1936" s="28"/>
      <c r="T1936" s="28"/>
      <c r="U1936" s="28"/>
      <c r="V1936" s="22"/>
      <c r="W1936" s="22"/>
      <c r="X1936" s="22"/>
      <c r="Y1936" s="22"/>
      <c r="Z1936" s="22"/>
      <c r="AA1936" s="22"/>
      <c r="AB1936" s="22"/>
      <c r="AC1936" s="22"/>
      <c r="AD1936" s="22"/>
    </row>
    <row r="1937" spans="1:30" ht="15.75" customHeight="1" x14ac:dyDescent="0.15">
      <c r="A1937" s="22"/>
      <c r="B1937" s="22"/>
      <c r="C1937" s="22"/>
      <c r="D1937" s="22"/>
      <c r="E1937" s="22"/>
      <c r="F1937" s="28"/>
      <c r="G1937" s="28"/>
      <c r="H1937" s="28"/>
      <c r="I1937" s="28"/>
      <c r="J1937" s="28"/>
      <c r="K1937" s="28"/>
      <c r="L1937" s="28"/>
      <c r="M1937" s="22"/>
      <c r="N1937" s="22"/>
      <c r="O1937" s="22"/>
      <c r="P1937" s="22"/>
      <c r="Q1937" s="22"/>
      <c r="R1937" s="28"/>
      <c r="S1937" s="28"/>
      <c r="T1937" s="28"/>
      <c r="U1937" s="28"/>
      <c r="V1937" s="22"/>
      <c r="W1937" s="22"/>
      <c r="X1937" s="22"/>
      <c r="Y1937" s="22"/>
      <c r="Z1937" s="22"/>
      <c r="AA1937" s="22"/>
      <c r="AB1937" s="22"/>
      <c r="AC1937" s="22"/>
      <c r="AD1937" s="22"/>
    </row>
    <row r="1938" spans="1:30" ht="15.75" customHeight="1" x14ac:dyDescent="0.15">
      <c r="A1938" s="22"/>
      <c r="B1938" s="22"/>
      <c r="C1938" s="22"/>
      <c r="D1938" s="22"/>
      <c r="E1938" s="22"/>
      <c r="F1938" s="28"/>
      <c r="G1938" s="28"/>
      <c r="H1938" s="28"/>
      <c r="I1938" s="28"/>
      <c r="J1938" s="28"/>
      <c r="K1938" s="28"/>
      <c r="L1938" s="28"/>
      <c r="M1938" s="22"/>
      <c r="N1938" s="22"/>
      <c r="O1938" s="22"/>
      <c r="P1938" s="22"/>
      <c r="Q1938" s="22"/>
      <c r="R1938" s="28"/>
      <c r="S1938" s="28"/>
      <c r="T1938" s="28"/>
      <c r="U1938" s="28"/>
      <c r="V1938" s="22"/>
      <c r="W1938" s="22"/>
      <c r="X1938" s="22"/>
      <c r="Y1938" s="22"/>
      <c r="Z1938" s="22"/>
      <c r="AA1938" s="22"/>
      <c r="AB1938" s="22"/>
      <c r="AC1938" s="22"/>
      <c r="AD1938" s="22"/>
    </row>
    <row r="1939" spans="1:30" ht="15.75" customHeight="1" x14ac:dyDescent="0.15">
      <c r="A1939" s="22"/>
      <c r="B1939" s="22"/>
      <c r="C1939" s="22"/>
      <c r="D1939" s="22"/>
      <c r="E1939" s="22"/>
      <c r="F1939" s="28"/>
      <c r="G1939" s="28"/>
      <c r="H1939" s="28"/>
      <c r="I1939" s="28"/>
      <c r="J1939" s="28"/>
      <c r="K1939" s="28"/>
      <c r="L1939" s="28"/>
      <c r="M1939" s="22"/>
      <c r="N1939" s="22"/>
      <c r="O1939" s="22"/>
      <c r="P1939" s="22"/>
      <c r="Q1939" s="22"/>
      <c r="R1939" s="28"/>
      <c r="S1939" s="28"/>
      <c r="T1939" s="28"/>
      <c r="U1939" s="28"/>
      <c r="V1939" s="22"/>
      <c r="W1939" s="22"/>
      <c r="X1939" s="22"/>
      <c r="Y1939" s="22"/>
      <c r="Z1939" s="22"/>
      <c r="AA1939" s="22"/>
      <c r="AB1939" s="22"/>
      <c r="AC1939" s="22"/>
      <c r="AD1939" s="22"/>
    </row>
    <row r="1940" spans="1:30" ht="15.75" customHeight="1" x14ac:dyDescent="0.15">
      <c r="A1940" s="22"/>
      <c r="B1940" s="22"/>
      <c r="C1940" s="22"/>
      <c r="D1940" s="22"/>
      <c r="E1940" s="22"/>
      <c r="F1940" s="28"/>
      <c r="G1940" s="28"/>
      <c r="H1940" s="28"/>
      <c r="I1940" s="28"/>
      <c r="J1940" s="28"/>
      <c r="K1940" s="28"/>
      <c r="L1940" s="28"/>
      <c r="M1940" s="22"/>
      <c r="N1940" s="22"/>
      <c r="O1940" s="22"/>
      <c r="P1940" s="22"/>
      <c r="Q1940" s="22"/>
      <c r="R1940" s="28"/>
      <c r="S1940" s="28"/>
      <c r="T1940" s="28"/>
      <c r="U1940" s="28"/>
      <c r="V1940" s="22"/>
      <c r="W1940" s="22"/>
      <c r="X1940" s="22"/>
      <c r="Y1940" s="22"/>
      <c r="Z1940" s="22"/>
      <c r="AA1940" s="22"/>
      <c r="AB1940" s="22"/>
      <c r="AC1940" s="22"/>
      <c r="AD1940" s="22"/>
    </row>
    <row r="1941" spans="1:30" ht="15.75" customHeight="1" x14ac:dyDescent="0.15">
      <c r="A1941" s="22"/>
      <c r="B1941" s="22"/>
      <c r="C1941" s="22"/>
      <c r="D1941" s="22"/>
      <c r="E1941" s="22"/>
      <c r="F1941" s="28"/>
      <c r="G1941" s="28"/>
      <c r="H1941" s="28"/>
      <c r="I1941" s="28"/>
      <c r="J1941" s="28"/>
      <c r="K1941" s="28"/>
      <c r="L1941" s="28"/>
      <c r="M1941" s="22"/>
      <c r="N1941" s="22"/>
      <c r="O1941" s="22"/>
      <c r="P1941" s="22"/>
      <c r="Q1941" s="22"/>
      <c r="R1941" s="28"/>
      <c r="S1941" s="28"/>
      <c r="T1941" s="28"/>
      <c r="U1941" s="28"/>
      <c r="V1941" s="22"/>
      <c r="W1941" s="22"/>
      <c r="X1941" s="22"/>
      <c r="Y1941" s="22"/>
      <c r="Z1941" s="22"/>
      <c r="AA1941" s="22"/>
      <c r="AB1941" s="22"/>
      <c r="AC1941" s="22"/>
      <c r="AD1941" s="22"/>
    </row>
    <row r="1942" spans="1:30" ht="15.75" customHeight="1" x14ac:dyDescent="0.15">
      <c r="A1942" s="22"/>
      <c r="B1942" s="22"/>
      <c r="C1942" s="22"/>
      <c r="D1942" s="22"/>
      <c r="E1942" s="22"/>
      <c r="F1942" s="28"/>
      <c r="G1942" s="28"/>
      <c r="H1942" s="28"/>
      <c r="I1942" s="28"/>
      <c r="J1942" s="28"/>
      <c r="K1942" s="28"/>
      <c r="L1942" s="28"/>
      <c r="M1942" s="22"/>
      <c r="N1942" s="22"/>
      <c r="O1942" s="22"/>
      <c r="P1942" s="22"/>
      <c r="Q1942" s="22"/>
      <c r="R1942" s="28"/>
      <c r="S1942" s="28"/>
      <c r="T1942" s="28"/>
      <c r="U1942" s="28"/>
      <c r="V1942" s="22"/>
      <c r="W1942" s="22"/>
      <c r="X1942" s="22"/>
      <c r="Y1942" s="22"/>
      <c r="Z1942" s="22"/>
      <c r="AA1942" s="22"/>
      <c r="AB1942" s="22"/>
      <c r="AC1942" s="22"/>
      <c r="AD1942" s="22"/>
    </row>
    <row r="1943" spans="1:30" ht="15.75" customHeight="1" x14ac:dyDescent="0.15">
      <c r="A1943" s="22"/>
      <c r="B1943" s="22"/>
      <c r="C1943" s="22"/>
      <c r="D1943" s="22"/>
      <c r="E1943" s="22"/>
      <c r="F1943" s="28"/>
      <c r="G1943" s="28"/>
      <c r="H1943" s="28"/>
      <c r="I1943" s="28"/>
      <c r="J1943" s="28"/>
      <c r="K1943" s="28"/>
      <c r="L1943" s="28"/>
      <c r="M1943" s="22"/>
      <c r="N1943" s="22"/>
      <c r="O1943" s="22"/>
      <c r="P1943" s="22"/>
      <c r="Q1943" s="22"/>
      <c r="R1943" s="28"/>
      <c r="S1943" s="28"/>
      <c r="T1943" s="28"/>
      <c r="U1943" s="28"/>
      <c r="V1943" s="22"/>
      <c r="W1943" s="22"/>
      <c r="X1943" s="22"/>
      <c r="Y1943" s="22"/>
      <c r="Z1943" s="22"/>
      <c r="AA1943" s="22"/>
      <c r="AB1943" s="22"/>
      <c r="AC1943" s="22"/>
      <c r="AD1943" s="22"/>
    </row>
    <row r="1944" spans="1:30" ht="15.75" customHeight="1" x14ac:dyDescent="0.15">
      <c r="A1944" s="22"/>
      <c r="B1944" s="22"/>
      <c r="C1944" s="22"/>
      <c r="D1944" s="22"/>
      <c r="E1944" s="22"/>
      <c r="F1944" s="28"/>
      <c r="G1944" s="28"/>
      <c r="H1944" s="28"/>
      <c r="I1944" s="28"/>
      <c r="J1944" s="28"/>
      <c r="K1944" s="28"/>
      <c r="L1944" s="28"/>
      <c r="M1944" s="22"/>
      <c r="N1944" s="22"/>
      <c r="O1944" s="22"/>
      <c r="P1944" s="22"/>
      <c r="Q1944" s="22"/>
      <c r="R1944" s="28"/>
      <c r="S1944" s="28"/>
      <c r="T1944" s="28"/>
      <c r="U1944" s="28"/>
      <c r="V1944" s="22"/>
      <c r="W1944" s="22"/>
      <c r="X1944" s="22"/>
      <c r="Y1944" s="22"/>
      <c r="Z1944" s="22"/>
      <c r="AA1944" s="22"/>
      <c r="AB1944" s="22"/>
      <c r="AC1944" s="22"/>
      <c r="AD1944" s="22"/>
    </row>
    <row r="1945" spans="1:30" ht="15.75" customHeight="1" x14ac:dyDescent="0.15">
      <c r="A1945" s="22"/>
      <c r="B1945" s="22"/>
      <c r="C1945" s="22"/>
      <c r="D1945" s="22"/>
      <c r="E1945" s="22"/>
      <c r="F1945" s="28"/>
      <c r="G1945" s="28"/>
      <c r="H1945" s="28"/>
      <c r="I1945" s="28"/>
      <c r="J1945" s="28"/>
      <c r="K1945" s="28"/>
      <c r="L1945" s="28"/>
      <c r="M1945" s="22"/>
      <c r="N1945" s="22"/>
      <c r="O1945" s="22"/>
      <c r="P1945" s="22"/>
      <c r="Q1945" s="22"/>
      <c r="R1945" s="28"/>
      <c r="S1945" s="28"/>
      <c r="T1945" s="28"/>
      <c r="U1945" s="28"/>
      <c r="V1945" s="22"/>
      <c r="W1945" s="22"/>
      <c r="X1945" s="22"/>
      <c r="Y1945" s="22"/>
      <c r="Z1945" s="22"/>
      <c r="AA1945" s="22"/>
      <c r="AB1945" s="22"/>
      <c r="AC1945" s="22"/>
      <c r="AD1945" s="22"/>
    </row>
    <row r="1946" spans="1:30" ht="15.75" customHeight="1" x14ac:dyDescent="0.15">
      <c r="A1946" s="22"/>
      <c r="B1946" s="22"/>
      <c r="C1946" s="22"/>
      <c r="D1946" s="22"/>
      <c r="E1946" s="22"/>
      <c r="F1946" s="28"/>
      <c r="G1946" s="28"/>
      <c r="H1946" s="28"/>
      <c r="I1946" s="28"/>
      <c r="J1946" s="28"/>
      <c r="K1946" s="28"/>
      <c r="L1946" s="28"/>
      <c r="M1946" s="22"/>
      <c r="N1946" s="22"/>
      <c r="O1946" s="22"/>
      <c r="P1946" s="22"/>
      <c r="Q1946" s="22"/>
      <c r="R1946" s="28"/>
      <c r="S1946" s="28"/>
      <c r="T1946" s="28"/>
      <c r="U1946" s="28"/>
      <c r="V1946" s="22"/>
      <c r="W1946" s="22"/>
      <c r="X1946" s="22"/>
      <c r="Y1946" s="22"/>
      <c r="Z1946" s="22"/>
      <c r="AA1946" s="22"/>
      <c r="AB1946" s="22"/>
      <c r="AC1946" s="22"/>
      <c r="AD1946" s="22"/>
    </row>
    <row r="1947" spans="1:30" ht="15.75" customHeight="1" x14ac:dyDescent="0.15">
      <c r="A1947" s="22"/>
      <c r="B1947" s="22"/>
      <c r="C1947" s="22"/>
      <c r="D1947" s="22"/>
      <c r="E1947" s="22"/>
      <c r="F1947" s="28"/>
      <c r="G1947" s="28"/>
      <c r="H1947" s="28"/>
      <c r="I1947" s="28"/>
      <c r="J1947" s="28"/>
      <c r="K1947" s="28"/>
      <c r="L1947" s="28"/>
      <c r="M1947" s="22"/>
      <c r="N1947" s="22"/>
      <c r="O1947" s="22"/>
      <c r="P1947" s="22"/>
      <c r="Q1947" s="22"/>
      <c r="R1947" s="28"/>
      <c r="S1947" s="28"/>
      <c r="T1947" s="28"/>
      <c r="U1947" s="28"/>
      <c r="V1947" s="22"/>
      <c r="W1947" s="22"/>
      <c r="X1947" s="22"/>
      <c r="Y1947" s="22"/>
      <c r="Z1947" s="22"/>
      <c r="AA1947" s="22"/>
      <c r="AB1947" s="22"/>
      <c r="AC1947" s="22"/>
      <c r="AD1947" s="22"/>
    </row>
    <row r="1948" spans="1:30" ht="15.75" customHeight="1" x14ac:dyDescent="0.15">
      <c r="A1948" s="22"/>
      <c r="B1948" s="22"/>
      <c r="C1948" s="22"/>
      <c r="D1948" s="22"/>
      <c r="E1948" s="22"/>
      <c r="F1948" s="28"/>
      <c r="G1948" s="28"/>
      <c r="H1948" s="28"/>
      <c r="I1948" s="28"/>
      <c r="J1948" s="28"/>
      <c r="K1948" s="28"/>
      <c r="L1948" s="28"/>
      <c r="M1948" s="22"/>
      <c r="N1948" s="22"/>
      <c r="O1948" s="22"/>
      <c r="P1948" s="22"/>
      <c r="Q1948" s="22"/>
      <c r="R1948" s="28"/>
      <c r="S1948" s="28"/>
      <c r="T1948" s="28"/>
      <c r="U1948" s="28"/>
      <c r="V1948" s="22"/>
      <c r="W1948" s="22"/>
      <c r="X1948" s="22"/>
      <c r="Y1948" s="22"/>
      <c r="Z1948" s="22"/>
      <c r="AA1948" s="22"/>
      <c r="AB1948" s="22"/>
      <c r="AC1948" s="22"/>
      <c r="AD1948" s="22"/>
    </row>
    <row r="1949" spans="1:30" ht="15.75" customHeight="1" x14ac:dyDescent="0.15">
      <c r="A1949" s="22"/>
      <c r="B1949" s="22"/>
      <c r="C1949" s="22"/>
      <c r="D1949" s="22"/>
      <c r="E1949" s="22"/>
      <c r="F1949" s="28"/>
      <c r="G1949" s="28"/>
      <c r="H1949" s="28"/>
      <c r="I1949" s="28"/>
      <c r="J1949" s="28"/>
      <c r="K1949" s="28"/>
      <c r="L1949" s="28"/>
      <c r="M1949" s="22"/>
      <c r="N1949" s="22"/>
      <c r="O1949" s="22"/>
      <c r="P1949" s="22"/>
      <c r="Q1949" s="22"/>
      <c r="R1949" s="28"/>
      <c r="S1949" s="28"/>
      <c r="T1949" s="28"/>
      <c r="U1949" s="28"/>
      <c r="V1949" s="22"/>
      <c r="W1949" s="22"/>
      <c r="X1949" s="22"/>
      <c r="Y1949" s="22"/>
      <c r="Z1949" s="22"/>
      <c r="AA1949" s="22"/>
      <c r="AB1949" s="22"/>
      <c r="AC1949" s="22"/>
      <c r="AD1949" s="22"/>
    </row>
    <row r="1950" spans="1:30" ht="15.75" customHeight="1" x14ac:dyDescent="0.15">
      <c r="A1950" s="22"/>
      <c r="B1950" s="22"/>
      <c r="C1950" s="22"/>
      <c r="D1950" s="22"/>
      <c r="E1950" s="22"/>
      <c r="F1950" s="28"/>
      <c r="G1950" s="28"/>
      <c r="H1950" s="28"/>
      <c r="I1950" s="28"/>
      <c r="J1950" s="28"/>
      <c r="K1950" s="28"/>
      <c r="L1950" s="28"/>
      <c r="M1950" s="22"/>
      <c r="N1950" s="22"/>
      <c r="O1950" s="22"/>
      <c r="P1950" s="22"/>
      <c r="Q1950" s="22"/>
      <c r="R1950" s="28"/>
      <c r="S1950" s="28"/>
      <c r="T1950" s="28"/>
      <c r="U1950" s="28"/>
      <c r="V1950" s="22"/>
      <c r="W1950" s="22"/>
      <c r="X1950" s="22"/>
      <c r="Y1950" s="22"/>
      <c r="Z1950" s="22"/>
      <c r="AA1950" s="22"/>
      <c r="AB1950" s="22"/>
      <c r="AC1950" s="22"/>
      <c r="AD1950" s="22"/>
    </row>
    <row r="1951" spans="1:30" ht="15.75" customHeight="1" x14ac:dyDescent="0.15">
      <c r="A1951" s="22"/>
      <c r="B1951" s="22"/>
      <c r="C1951" s="22"/>
      <c r="D1951" s="22"/>
      <c r="E1951" s="22"/>
      <c r="F1951" s="28"/>
      <c r="G1951" s="28"/>
      <c r="H1951" s="28"/>
      <c r="I1951" s="28"/>
      <c r="J1951" s="28"/>
      <c r="K1951" s="28"/>
      <c r="L1951" s="28"/>
      <c r="M1951" s="22"/>
      <c r="N1951" s="22"/>
      <c r="O1951" s="22"/>
      <c r="P1951" s="22"/>
      <c r="Q1951" s="22"/>
      <c r="R1951" s="28"/>
      <c r="S1951" s="28"/>
      <c r="T1951" s="28"/>
      <c r="U1951" s="28"/>
      <c r="V1951" s="22"/>
      <c r="W1951" s="22"/>
      <c r="X1951" s="22"/>
      <c r="Y1951" s="22"/>
      <c r="Z1951" s="22"/>
      <c r="AA1951" s="22"/>
      <c r="AB1951" s="22"/>
      <c r="AC1951" s="22"/>
      <c r="AD1951" s="22"/>
    </row>
    <row r="1952" spans="1:30" ht="15.75" customHeight="1" x14ac:dyDescent="0.15">
      <c r="A1952" s="22"/>
      <c r="B1952" s="22"/>
      <c r="C1952" s="22"/>
      <c r="D1952" s="22"/>
      <c r="E1952" s="22"/>
      <c r="F1952" s="28"/>
      <c r="G1952" s="28"/>
      <c r="H1952" s="28"/>
      <c r="I1952" s="28"/>
      <c r="J1952" s="28"/>
      <c r="K1952" s="28"/>
      <c r="L1952" s="28"/>
      <c r="M1952" s="22"/>
      <c r="N1952" s="22"/>
      <c r="O1952" s="22"/>
      <c r="P1952" s="22"/>
      <c r="Q1952" s="22"/>
      <c r="R1952" s="28"/>
      <c r="S1952" s="28"/>
      <c r="T1952" s="28"/>
      <c r="U1952" s="28"/>
      <c r="V1952" s="22"/>
      <c r="W1952" s="22"/>
      <c r="X1952" s="22"/>
      <c r="Y1952" s="22"/>
      <c r="Z1952" s="22"/>
      <c r="AA1952" s="22"/>
      <c r="AB1952" s="22"/>
      <c r="AC1952" s="22"/>
      <c r="AD1952" s="22"/>
    </row>
    <row r="1953" spans="1:30" ht="15.75" customHeight="1" x14ac:dyDescent="0.15">
      <c r="A1953" s="22"/>
      <c r="B1953" s="22"/>
      <c r="C1953" s="22"/>
      <c r="D1953" s="22"/>
      <c r="E1953" s="22"/>
      <c r="F1953" s="28"/>
      <c r="G1953" s="28"/>
      <c r="H1953" s="28"/>
      <c r="I1953" s="28"/>
      <c r="J1953" s="28"/>
      <c r="K1953" s="28"/>
      <c r="L1953" s="28"/>
      <c r="M1953" s="22"/>
      <c r="N1953" s="22"/>
      <c r="O1953" s="22"/>
      <c r="P1953" s="22"/>
      <c r="Q1953" s="22"/>
      <c r="R1953" s="28"/>
      <c r="S1953" s="28"/>
      <c r="T1953" s="28"/>
      <c r="U1953" s="28"/>
      <c r="V1953" s="22"/>
      <c r="W1953" s="22"/>
      <c r="X1953" s="22"/>
      <c r="Y1953" s="22"/>
      <c r="Z1953" s="22"/>
      <c r="AA1953" s="22"/>
      <c r="AB1953" s="22"/>
      <c r="AC1953" s="22"/>
      <c r="AD1953" s="22"/>
    </row>
    <row r="1954" spans="1:30" ht="15.75" customHeight="1" x14ac:dyDescent="0.15">
      <c r="A1954" s="22"/>
      <c r="B1954" s="22"/>
      <c r="C1954" s="22"/>
      <c r="D1954" s="22"/>
      <c r="E1954" s="22"/>
      <c r="F1954" s="28"/>
      <c r="G1954" s="28"/>
      <c r="H1954" s="28"/>
      <c r="I1954" s="28"/>
      <c r="J1954" s="28"/>
      <c r="K1954" s="28"/>
      <c r="L1954" s="28"/>
      <c r="M1954" s="22"/>
      <c r="N1954" s="22"/>
      <c r="O1954" s="22"/>
      <c r="P1954" s="22"/>
      <c r="Q1954" s="22"/>
      <c r="R1954" s="28"/>
      <c r="S1954" s="28"/>
      <c r="T1954" s="28"/>
      <c r="U1954" s="28"/>
      <c r="V1954" s="22"/>
      <c r="W1954" s="22"/>
      <c r="X1954" s="22"/>
      <c r="Y1954" s="22"/>
      <c r="Z1954" s="22"/>
      <c r="AA1954" s="22"/>
      <c r="AB1954" s="22"/>
      <c r="AC1954" s="22"/>
      <c r="AD1954" s="22"/>
    </row>
    <row r="1955" spans="1:30" ht="15.75" customHeight="1" x14ac:dyDescent="0.15">
      <c r="A1955" s="22"/>
      <c r="B1955" s="22"/>
      <c r="C1955" s="22"/>
      <c r="D1955" s="22"/>
      <c r="E1955" s="22"/>
      <c r="F1955" s="28"/>
      <c r="G1955" s="28"/>
      <c r="H1955" s="28"/>
      <c r="I1955" s="28"/>
      <c r="J1955" s="28"/>
      <c r="K1955" s="28"/>
      <c r="L1955" s="28"/>
      <c r="M1955" s="22"/>
      <c r="N1955" s="22"/>
      <c r="O1955" s="22"/>
      <c r="P1955" s="22"/>
      <c r="Q1955" s="22"/>
      <c r="R1955" s="28"/>
      <c r="S1955" s="28"/>
      <c r="T1955" s="28"/>
      <c r="U1955" s="28"/>
      <c r="V1955" s="22"/>
      <c r="W1955" s="22"/>
      <c r="X1955" s="22"/>
      <c r="Y1955" s="22"/>
      <c r="Z1955" s="22"/>
      <c r="AA1955" s="22"/>
      <c r="AB1955" s="22"/>
      <c r="AC1955" s="22"/>
      <c r="AD1955" s="22"/>
    </row>
    <row r="1956" spans="1:30" ht="15.75" customHeight="1" x14ac:dyDescent="0.15">
      <c r="A1956" s="22"/>
      <c r="B1956" s="22"/>
      <c r="C1956" s="22"/>
      <c r="D1956" s="22"/>
      <c r="E1956" s="22"/>
      <c r="F1956" s="28"/>
      <c r="G1956" s="28"/>
      <c r="H1956" s="28"/>
      <c r="I1956" s="28"/>
      <c r="J1956" s="28"/>
      <c r="K1956" s="28"/>
      <c r="L1956" s="28"/>
      <c r="M1956" s="22"/>
      <c r="N1956" s="22"/>
      <c r="O1956" s="22"/>
      <c r="P1956" s="22"/>
      <c r="Q1956" s="22"/>
      <c r="R1956" s="28"/>
      <c r="S1956" s="28"/>
      <c r="T1956" s="28"/>
      <c r="U1956" s="28"/>
      <c r="V1956" s="22"/>
      <c r="W1956" s="22"/>
      <c r="X1956" s="22"/>
      <c r="Y1956" s="22"/>
      <c r="Z1956" s="22"/>
      <c r="AA1956" s="22"/>
      <c r="AB1956" s="22"/>
      <c r="AC1956" s="22"/>
      <c r="AD1956" s="22"/>
    </row>
    <row r="1957" spans="1:30" ht="15.75" customHeight="1" x14ac:dyDescent="0.15">
      <c r="A1957" s="22"/>
      <c r="B1957" s="22"/>
      <c r="C1957" s="22"/>
      <c r="D1957" s="22"/>
      <c r="E1957" s="22"/>
      <c r="F1957" s="28"/>
      <c r="G1957" s="28"/>
      <c r="H1957" s="28"/>
      <c r="I1957" s="28"/>
      <c r="J1957" s="28"/>
      <c r="K1957" s="28"/>
      <c r="L1957" s="28"/>
      <c r="M1957" s="22"/>
      <c r="N1957" s="22"/>
      <c r="O1957" s="22"/>
      <c r="P1957" s="22"/>
      <c r="Q1957" s="22"/>
      <c r="R1957" s="28"/>
      <c r="S1957" s="28"/>
      <c r="T1957" s="28"/>
      <c r="U1957" s="28"/>
      <c r="V1957" s="22"/>
      <c r="W1957" s="22"/>
      <c r="X1957" s="22"/>
      <c r="Y1957" s="22"/>
      <c r="Z1957" s="22"/>
      <c r="AA1957" s="22"/>
      <c r="AB1957" s="22"/>
      <c r="AC1957" s="22"/>
      <c r="AD1957" s="22"/>
    </row>
    <row r="1958" spans="1:30" ht="15.75" customHeight="1" x14ac:dyDescent="0.15">
      <c r="A1958" s="22"/>
      <c r="B1958" s="22"/>
      <c r="C1958" s="22"/>
      <c r="D1958" s="22"/>
      <c r="E1958" s="22"/>
      <c r="F1958" s="28"/>
      <c r="G1958" s="28"/>
      <c r="H1958" s="28"/>
      <c r="I1958" s="28"/>
      <c r="J1958" s="28"/>
      <c r="K1958" s="28"/>
      <c r="L1958" s="28"/>
      <c r="M1958" s="22"/>
      <c r="N1958" s="22"/>
      <c r="O1958" s="22"/>
      <c r="P1958" s="22"/>
      <c r="Q1958" s="22"/>
      <c r="R1958" s="28"/>
      <c r="S1958" s="28"/>
      <c r="T1958" s="28"/>
      <c r="U1958" s="28"/>
      <c r="V1958" s="22"/>
      <c r="W1958" s="22"/>
      <c r="X1958" s="22"/>
      <c r="Y1958" s="22"/>
      <c r="Z1958" s="22"/>
      <c r="AA1958" s="22"/>
      <c r="AB1958" s="22"/>
      <c r="AC1958" s="22"/>
      <c r="AD1958" s="22"/>
    </row>
    <row r="1959" spans="1:30" ht="15.75" customHeight="1" x14ac:dyDescent="0.15">
      <c r="A1959" s="22"/>
      <c r="B1959" s="22"/>
      <c r="C1959" s="22"/>
      <c r="D1959" s="22"/>
      <c r="E1959" s="22"/>
      <c r="F1959" s="28"/>
      <c r="G1959" s="28"/>
      <c r="H1959" s="28"/>
      <c r="I1959" s="28"/>
      <c r="J1959" s="28"/>
      <c r="K1959" s="28"/>
      <c r="L1959" s="28"/>
      <c r="M1959" s="22"/>
      <c r="N1959" s="22"/>
      <c r="O1959" s="22"/>
      <c r="P1959" s="22"/>
      <c r="Q1959" s="22"/>
      <c r="R1959" s="28"/>
      <c r="S1959" s="28"/>
      <c r="T1959" s="28"/>
      <c r="U1959" s="28"/>
      <c r="V1959" s="22"/>
      <c r="W1959" s="22"/>
      <c r="X1959" s="22"/>
      <c r="Y1959" s="22"/>
      <c r="Z1959" s="22"/>
      <c r="AA1959" s="22"/>
      <c r="AB1959" s="22"/>
      <c r="AC1959" s="22"/>
      <c r="AD1959" s="22"/>
    </row>
    <row r="1960" spans="1:30" ht="15.75" customHeight="1" x14ac:dyDescent="0.15">
      <c r="A1960" s="22"/>
      <c r="B1960" s="22"/>
      <c r="C1960" s="22"/>
      <c r="D1960" s="22"/>
      <c r="E1960" s="22"/>
      <c r="F1960" s="28"/>
      <c r="G1960" s="28"/>
      <c r="H1960" s="28"/>
      <c r="I1960" s="28"/>
      <c r="J1960" s="28"/>
      <c r="K1960" s="28"/>
      <c r="L1960" s="28"/>
      <c r="M1960" s="22"/>
      <c r="N1960" s="22"/>
      <c r="O1960" s="22"/>
      <c r="P1960" s="22"/>
      <c r="Q1960" s="22"/>
      <c r="R1960" s="28"/>
      <c r="S1960" s="28"/>
      <c r="T1960" s="28"/>
      <c r="U1960" s="28"/>
      <c r="V1960" s="22"/>
      <c r="W1960" s="22"/>
      <c r="X1960" s="22"/>
      <c r="Y1960" s="22"/>
      <c r="Z1960" s="22"/>
      <c r="AA1960" s="22"/>
      <c r="AB1960" s="22"/>
      <c r="AC1960" s="22"/>
      <c r="AD1960" s="22"/>
    </row>
    <row r="1961" spans="1:30" ht="15.75" customHeight="1" x14ac:dyDescent="0.15">
      <c r="A1961" s="22"/>
      <c r="B1961" s="22"/>
      <c r="C1961" s="22"/>
      <c r="D1961" s="22"/>
      <c r="E1961" s="22"/>
      <c r="F1961" s="28"/>
      <c r="G1961" s="28"/>
      <c r="H1961" s="28"/>
      <c r="I1961" s="28"/>
      <c r="J1961" s="28"/>
      <c r="K1961" s="28"/>
      <c r="L1961" s="28"/>
      <c r="M1961" s="22"/>
      <c r="N1961" s="22"/>
      <c r="O1961" s="22"/>
      <c r="P1961" s="22"/>
      <c r="Q1961" s="22"/>
      <c r="R1961" s="28"/>
      <c r="S1961" s="28"/>
      <c r="T1961" s="28"/>
      <c r="U1961" s="28"/>
      <c r="V1961" s="22"/>
      <c r="W1961" s="22"/>
      <c r="X1961" s="22"/>
      <c r="Y1961" s="22"/>
      <c r="Z1961" s="22"/>
      <c r="AA1961" s="22"/>
      <c r="AB1961" s="22"/>
      <c r="AC1961" s="22"/>
      <c r="AD1961" s="22"/>
    </row>
    <row r="1962" spans="1:30" ht="15.75" customHeight="1" x14ac:dyDescent="0.15">
      <c r="A1962" s="22"/>
      <c r="B1962" s="22"/>
      <c r="C1962" s="22"/>
      <c r="D1962" s="22"/>
      <c r="E1962" s="22"/>
      <c r="F1962" s="28"/>
      <c r="G1962" s="28"/>
      <c r="H1962" s="28"/>
      <c r="I1962" s="28"/>
      <c r="J1962" s="28"/>
      <c r="K1962" s="28"/>
      <c r="L1962" s="28"/>
      <c r="M1962" s="22"/>
      <c r="N1962" s="22"/>
      <c r="O1962" s="22"/>
      <c r="P1962" s="22"/>
      <c r="Q1962" s="22"/>
      <c r="R1962" s="28"/>
      <c r="S1962" s="28"/>
      <c r="T1962" s="28"/>
      <c r="U1962" s="28"/>
      <c r="V1962" s="22"/>
      <c r="W1962" s="22"/>
      <c r="X1962" s="22"/>
      <c r="Y1962" s="22"/>
      <c r="Z1962" s="22"/>
      <c r="AA1962" s="22"/>
      <c r="AB1962" s="22"/>
      <c r="AC1962" s="22"/>
      <c r="AD1962" s="22"/>
    </row>
    <row r="1963" spans="1:30" ht="15.75" customHeight="1" x14ac:dyDescent="0.15">
      <c r="A1963" s="22"/>
      <c r="B1963" s="22"/>
      <c r="C1963" s="22"/>
      <c r="D1963" s="22"/>
      <c r="E1963" s="22"/>
      <c r="F1963" s="28"/>
      <c r="G1963" s="28"/>
      <c r="H1963" s="28"/>
      <c r="I1963" s="28"/>
      <c r="J1963" s="28"/>
      <c r="K1963" s="28"/>
      <c r="L1963" s="28"/>
      <c r="M1963" s="22"/>
      <c r="N1963" s="22"/>
      <c r="O1963" s="22"/>
      <c r="P1963" s="22"/>
      <c r="Q1963" s="22"/>
      <c r="R1963" s="28"/>
      <c r="S1963" s="28"/>
      <c r="T1963" s="28"/>
      <c r="U1963" s="28"/>
      <c r="V1963" s="22"/>
      <c r="W1963" s="22"/>
      <c r="X1963" s="22"/>
      <c r="Y1963" s="22"/>
      <c r="Z1963" s="22"/>
      <c r="AA1963" s="22"/>
      <c r="AB1963" s="22"/>
      <c r="AC1963" s="22"/>
      <c r="AD1963" s="22"/>
    </row>
    <row r="1964" spans="1:30" ht="15.75" customHeight="1" x14ac:dyDescent="0.15">
      <c r="A1964" s="22"/>
      <c r="B1964" s="22"/>
      <c r="C1964" s="22"/>
      <c r="D1964" s="22"/>
      <c r="E1964" s="22"/>
      <c r="F1964" s="28"/>
      <c r="G1964" s="28"/>
      <c r="H1964" s="28"/>
      <c r="I1964" s="28"/>
      <c r="J1964" s="28"/>
      <c r="K1964" s="28"/>
      <c r="L1964" s="28"/>
      <c r="M1964" s="22"/>
      <c r="N1964" s="22"/>
      <c r="O1964" s="22"/>
      <c r="P1964" s="22"/>
      <c r="Q1964" s="22"/>
      <c r="R1964" s="28"/>
      <c r="S1964" s="28"/>
      <c r="T1964" s="28"/>
      <c r="U1964" s="28"/>
      <c r="V1964" s="22"/>
      <c r="W1964" s="22"/>
      <c r="X1964" s="22"/>
      <c r="Y1964" s="22"/>
      <c r="Z1964" s="22"/>
      <c r="AA1964" s="22"/>
      <c r="AB1964" s="22"/>
      <c r="AC1964" s="22"/>
      <c r="AD1964" s="22"/>
    </row>
    <row r="1965" spans="1:30" ht="15.75" customHeight="1" x14ac:dyDescent="0.15">
      <c r="A1965" s="22"/>
      <c r="B1965" s="22"/>
      <c r="C1965" s="22"/>
      <c r="D1965" s="22"/>
      <c r="E1965" s="22"/>
      <c r="F1965" s="28"/>
      <c r="G1965" s="28"/>
      <c r="H1965" s="28"/>
      <c r="I1965" s="28"/>
      <c r="J1965" s="28"/>
      <c r="K1965" s="28"/>
      <c r="L1965" s="28"/>
      <c r="M1965" s="22"/>
      <c r="N1965" s="22"/>
      <c r="O1965" s="22"/>
      <c r="P1965" s="22"/>
      <c r="Q1965" s="22"/>
      <c r="R1965" s="28"/>
      <c r="S1965" s="28"/>
      <c r="T1965" s="28"/>
      <c r="U1965" s="28"/>
      <c r="V1965" s="22"/>
      <c r="W1965" s="22"/>
      <c r="X1965" s="22"/>
      <c r="Y1965" s="22"/>
      <c r="Z1965" s="22"/>
      <c r="AA1965" s="22"/>
      <c r="AB1965" s="22"/>
      <c r="AC1965" s="22"/>
      <c r="AD1965" s="22"/>
    </row>
    <row r="1966" spans="1:30" ht="15.75" customHeight="1" x14ac:dyDescent="0.15">
      <c r="A1966" s="22"/>
      <c r="B1966" s="22"/>
      <c r="C1966" s="22"/>
      <c r="D1966" s="22"/>
      <c r="E1966" s="22"/>
      <c r="F1966" s="28"/>
      <c r="G1966" s="28"/>
      <c r="H1966" s="28"/>
      <c r="I1966" s="28"/>
      <c r="J1966" s="28"/>
      <c r="K1966" s="28"/>
      <c r="L1966" s="28"/>
      <c r="M1966" s="22"/>
      <c r="N1966" s="22"/>
      <c r="O1966" s="22"/>
      <c r="P1966" s="22"/>
      <c r="Q1966" s="22"/>
      <c r="R1966" s="28"/>
      <c r="S1966" s="28"/>
      <c r="T1966" s="28"/>
      <c r="U1966" s="28"/>
      <c r="V1966" s="22"/>
      <c r="W1966" s="22"/>
      <c r="X1966" s="22"/>
      <c r="Y1966" s="22"/>
      <c r="Z1966" s="22"/>
      <c r="AA1966" s="22"/>
      <c r="AB1966" s="22"/>
      <c r="AC1966" s="22"/>
      <c r="AD1966" s="22"/>
    </row>
    <row r="1967" spans="1:30" ht="15.75" customHeight="1" x14ac:dyDescent="0.15">
      <c r="A1967" s="22"/>
      <c r="B1967" s="22"/>
      <c r="C1967" s="22"/>
      <c r="D1967" s="22"/>
      <c r="E1967" s="22"/>
      <c r="F1967" s="28"/>
      <c r="G1967" s="28"/>
      <c r="H1967" s="28"/>
      <c r="I1967" s="28"/>
      <c r="J1967" s="28"/>
      <c r="K1967" s="28"/>
      <c r="L1967" s="28"/>
      <c r="M1967" s="22"/>
      <c r="N1967" s="22"/>
      <c r="O1967" s="22"/>
      <c r="P1967" s="22"/>
      <c r="Q1967" s="22"/>
      <c r="R1967" s="28"/>
      <c r="S1967" s="28"/>
      <c r="T1967" s="28"/>
      <c r="U1967" s="28"/>
      <c r="V1967" s="22"/>
      <c r="W1967" s="22"/>
      <c r="X1967" s="22"/>
      <c r="Y1967" s="22"/>
      <c r="Z1967" s="22"/>
      <c r="AA1967" s="22"/>
      <c r="AB1967" s="22"/>
      <c r="AC1967" s="22"/>
      <c r="AD1967" s="22"/>
    </row>
    <row r="1968" spans="1:30" ht="15.75" customHeight="1" x14ac:dyDescent="0.15">
      <c r="A1968" s="22"/>
      <c r="B1968" s="22"/>
      <c r="C1968" s="22"/>
      <c r="D1968" s="22"/>
      <c r="E1968" s="22"/>
      <c r="F1968" s="28"/>
      <c r="G1968" s="28"/>
      <c r="H1968" s="28"/>
      <c r="I1968" s="28"/>
      <c r="J1968" s="28"/>
      <c r="K1968" s="28"/>
      <c r="L1968" s="28"/>
      <c r="M1968" s="22"/>
      <c r="N1968" s="22"/>
      <c r="O1968" s="22"/>
      <c r="P1968" s="22"/>
      <c r="Q1968" s="22"/>
      <c r="R1968" s="28"/>
      <c r="S1968" s="28"/>
      <c r="T1968" s="28"/>
      <c r="U1968" s="28"/>
      <c r="V1968" s="22"/>
      <c r="W1968" s="22"/>
      <c r="X1968" s="22"/>
      <c r="Y1968" s="22"/>
      <c r="Z1968" s="22"/>
      <c r="AA1968" s="22"/>
      <c r="AB1968" s="22"/>
      <c r="AC1968" s="22"/>
      <c r="AD1968" s="22"/>
    </row>
    <row r="1969" spans="1:30" ht="15.75" customHeight="1" x14ac:dyDescent="0.15">
      <c r="A1969" s="22"/>
      <c r="B1969" s="22"/>
      <c r="C1969" s="22"/>
      <c r="D1969" s="22"/>
      <c r="E1969" s="22"/>
      <c r="F1969" s="28"/>
      <c r="G1969" s="28"/>
      <c r="H1969" s="28"/>
      <c r="I1969" s="28"/>
      <c r="J1969" s="28"/>
      <c r="K1969" s="28"/>
      <c r="L1969" s="28"/>
      <c r="M1969" s="22"/>
      <c r="N1969" s="22"/>
      <c r="O1969" s="22"/>
      <c r="P1969" s="22"/>
      <c r="Q1969" s="22"/>
      <c r="R1969" s="28"/>
      <c r="S1969" s="28"/>
      <c r="T1969" s="28"/>
      <c r="U1969" s="28"/>
      <c r="V1969" s="22"/>
      <c r="W1969" s="22"/>
      <c r="X1969" s="22"/>
      <c r="Y1969" s="22"/>
      <c r="Z1969" s="22"/>
      <c r="AA1969" s="22"/>
      <c r="AB1969" s="22"/>
      <c r="AC1969" s="22"/>
      <c r="AD1969" s="22"/>
    </row>
    <row r="1970" spans="1:30" ht="15.75" customHeight="1" x14ac:dyDescent="0.15">
      <c r="A1970" s="22"/>
      <c r="B1970" s="22"/>
      <c r="C1970" s="22"/>
      <c r="D1970" s="22"/>
      <c r="E1970" s="22"/>
      <c r="F1970" s="28"/>
      <c r="G1970" s="28"/>
      <c r="H1970" s="28"/>
      <c r="I1970" s="28"/>
      <c r="J1970" s="28"/>
      <c r="K1970" s="28"/>
      <c r="L1970" s="28"/>
      <c r="M1970" s="22"/>
      <c r="N1970" s="22"/>
      <c r="O1970" s="22"/>
      <c r="P1970" s="22"/>
      <c r="Q1970" s="22"/>
      <c r="R1970" s="28"/>
      <c r="S1970" s="28"/>
      <c r="T1970" s="28"/>
      <c r="U1970" s="28"/>
      <c r="V1970" s="22"/>
      <c r="W1970" s="22"/>
      <c r="X1970" s="22"/>
      <c r="Y1970" s="22"/>
      <c r="Z1970" s="22"/>
      <c r="AA1970" s="22"/>
      <c r="AB1970" s="22"/>
      <c r="AC1970" s="22"/>
      <c r="AD1970" s="22"/>
    </row>
    <row r="1971" spans="1:30" ht="15.75" customHeight="1" x14ac:dyDescent="0.15">
      <c r="A1971" s="22"/>
      <c r="B1971" s="22"/>
      <c r="C1971" s="22"/>
      <c r="D1971" s="22"/>
      <c r="E1971" s="22"/>
      <c r="F1971" s="28"/>
      <c r="G1971" s="28"/>
      <c r="H1971" s="28"/>
      <c r="I1971" s="28"/>
      <c r="J1971" s="28"/>
      <c r="K1971" s="28"/>
      <c r="L1971" s="28"/>
      <c r="M1971" s="22"/>
      <c r="N1971" s="22"/>
      <c r="O1971" s="22"/>
      <c r="P1971" s="22"/>
      <c r="Q1971" s="22"/>
      <c r="R1971" s="28"/>
      <c r="S1971" s="28"/>
      <c r="T1971" s="28"/>
      <c r="U1971" s="28"/>
      <c r="V1971" s="22"/>
      <c r="W1971" s="22"/>
      <c r="X1971" s="22"/>
      <c r="Y1971" s="22"/>
      <c r="Z1971" s="22"/>
      <c r="AA1971" s="22"/>
      <c r="AB1971" s="22"/>
      <c r="AC1971" s="22"/>
      <c r="AD1971" s="22"/>
    </row>
    <row r="1972" spans="1:30" ht="15.75" customHeight="1" x14ac:dyDescent="0.15">
      <c r="A1972" s="22"/>
      <c r="B1972" s="22"/>
      <c r="C1972" s="22"/>
      <c r="D1972" s="22"/>
      <c r="E1972" s="22"/>
      <c r="F1972" s="28"/>
      <c r="G1972" s="28"/>
      <c r="H1972" s="28"/>
      <c r="I1972" s="28"/>
      <c r="J1972" s="28"/>
      <c r="K1972" s="28"/>
      <c r="L1972" s="28"/>
      <c r="M1972" s="22"/>
      <c r="N1972" s="22"/>
      <c r="O1972" s="22"/>
      <c r="P1972" s="22"/>
      <c r="Q1972" s="22"/>
      <c r="R1972" s="28"/>
      <c r="S1972" s="28"/>
      <c r="T1972" s="28"/>
      <c r="U1972" s="28"/>
      <c r="V1972" s="22"/>
      <c r="W1972" s="22"/>
      <c r="X1972" s="22"/>
      <c r="Y1972" s="22"/>
      <c r="Z1972" s="22"/>
      <c r="AA1972" s="22"/>
      <c r="AB1972" s="22"/>
      <c r="AC1972" s="22"/>
      <c r="AD1972" s="22"/>
    </row>
    <row r="1973" spans="1:30" ht="15.75" customHeight="1" x14ac:dyDescent="0.15">
      <c r="A1973" s="22"/>
      <c r="B1973" s="22"/>
      <c r="C1973" s="22"/>
      <c r="D1973" s="22"/>
      <c r="E1973" s="22"/>
      <c r="F1973" s="28"/>
      <c r="G1973" s="28"/>
      <c r="H1973" s="28"/>
      <c r="I1973" s="28"/>
      <c r="J1973" s="28"/>
      <c r="K1973" s="28"/>
      <c r="L1973" s="28"/>
      <c r="M1973" s="22"/>
      <c r="N1973" s="22"/>
      <c r="O1973" s="22"/>
      <c r="P1973" s="22"/>
      <c r="Q1973" s="22"/>
      <c r="R1973" s="28"/>
      <c r="S1973" s="28"/>
      <c r="T1973" s="28"/>
      <c r="U1973" s="28"/>
      <c r="V1973" s="22"/>
      <c r="W1973" s="22"/>
      <c r="X1973" s="22"/>
      <c r="Y1973" s="22"/>
      <c r="Z1973" s="22"/>
      <c r="AA1973" s="22"/>
      <c r="AB1973" s="22"/>
      <c r="AC1973" s="22"/>
      <c r="AD1973" s="22"/>
    </row>
    <row r="1974" spans="1:30" ht="15.75" customHeight="1" x14ac:dyDescent="0.15">
      <c r="A1974" s="22"/>
      <c r="B1974" s="22"/>
      <c r="C1974" s="22"/>
      <c r="D1974" s="22"/>
      <c r="E1974" s="22"/>
      <c r="F1974" s="28"/>
      <c r="G1974" s="28"/>
      <c r="H1974" s="28"/>
      <c r="I1974" s="28"/>
      <c r="J1974" s="28"/>
      <c r="K1974" s="28"/>
      <c r="L1974" s="28"/>
      <c r="M1974" s="22"/>
      <c r="N1974" s="22"/>
      <c r="O1974" s="22"/>
      <c r="P1974" s="22"/>
      <c r="Q1974" s="22"/>
      <c r="R1974" s="28"/>
      <c r="S1974" s="28"/>
      <c r="T1974" s="28"/>
      <c r="U1974" s="28"/>
      <c r="V1974" s="22"/>
      <c r="W1974" s="22"/>
      <c r="X1974" s="22"/>
      <c r="Y1974" s="22"/>
      <c r="Z1974" s="22"/>
      <c r="AA1974" s="22"/>
      <c r="AB1974" s="22"/>
      <c r="AC1974" s="22"/>
      <c r="AD1974" s="22"/>
    </row>
    <row r="1975" spans="1:30" ht="15.75" customHeight="1" x14ac:dyDescent="0.15">
      <c r="A1975" s="22"/>
      <c r="B1975" s="22"/>
      <c r="C1975" s="22"/>
      <c r="D1975" s="22"/>
      <c r="E1975" s="22"/>
      <c r="F1975" s="28"/>
      <c r="G1975" s="28"/>
      <c r="H1975" s="28"/>
      <c r="I1975" s="28"/>
      <c r="J1975" s="28"/>
      <c r="K1975" s="28"/>
      <c r="L1975" s="28"/>
      <c r="M1975" s="22"/>
      <c r="N1975" s="22"/>
      <c r="O1975" s="22"/>
      <c r="P1975" s="22"/>
      <c r="Q1975" s="22"/>
      <c r="R1975" s="28"/>
      <c r="S1975" s="28"/>
      <c r="T1975" s="28"/>
      <c r="U1975" s="28"/>
      <c r="V1975" s="22"/>
      <c r="W1975" s="22"/>
      <c r="X1975" s="22"/>
      <c r="Y1975" s="22"/>
      <c r="Z1975" s="22"/>
      <c r="AA1975" s="22"/>
      <c r="AB1975" s="22"/>
      <c r="AC1975" s="22"/>
      <c r="AD1975" s="22"/>
    </row>
    <row r="1976" spans="1:30" ht="15.75" customHeight="1" x14ac:dyDescent="0.15">
      <c r="A1976" s="22"/>
      <c r="B1976" s="22"/>
      <c r="C1976" s="22"/>
      <c r="D1976" s="22"/>
      <c r="E1976" s="22"/>
      <c r="F1976" s="28"/>
      <c r="G1976" s="28"/>
      <c r="H1976" s="28"/>
      <c r="I1976" s="28"/>
      <c r="J1976" s="28"/>
      <c r="K1976" s="28"/>
      <c r="L1976" s="28"/>
      <c r="M1976" s="22"/>
      <c r="N1976" s="22"/>
      <c r="O1976" s="22"/>
      <c r="P1976" s="22"/>
      <c r="Q1976" s="22"/>
      <c r="R1976" s="28"/>
      <c r="S1976" s="28"/>
      <c r="T1976" s="28"/>
      <c r="U1976" s="28"/>
      <c r="V1976" s="22"/>
      <c r="W1976" s="22"/>
      <c r="X1976" s="22"/>
      <c r="Y1976" s="22"/>
      <c r="Z1976" s="22"/>
      <c r="AA1976" s="22"/>
      <c r="AB1976" s="22"/>
      <c r="AC1976" s="22"/>
      <c r="AD1976" s="22"/>
    </row>
    <row r="1977" spans="1:30" ht="15.75" customHeight="1" x14ac:dyDescent="0.15">
      <c r="A1977" s="22"/>
      <c r="B1977" s="22"/>
      <c r="C1977" s="22"/>
      <c r="D1977" s="22"/>
      <c r="E1977" s="22"/>
      <c r="F1977" s="28"/>
      <c r="G1977" s="28"/>
      <c r="H1977" s="28"/>
      <c r="I1977" s="28"/>
      <c r="J1977" s="28"/>
      <c r="K1977" s="28"/>
      <c r="L1977" s="28"/>
      <c r="M1977" s="22"/>
      <c r="N1977" s="22"/>
      <c r="O1977" s="22"/>
      <c r="P1977" s="22"/>
      <c r="Q1977" s="22"/>
      <c r="R1977" s="28"/>
      <c r="S1977" s="28"/>
      <c r="T1977" s="28"/>
      <c r="U1977" s="28"/>
      <c r="V1977" s="22"/>
      <c r="W1977" s="22"/>
      <c r="X1977" s="22"/>
      <c r="Y1977" s="22"/>
      <c r="Z1977" s="22"/>
      <c r="AA1977" s="22"/>
      <c r="AB1977" s="22"/>
      <c r="AC1977" s="22"/>
      <c r="AD1977" s="22"/>
    </row>
    <row r="1978" spans="1:30" ht="15.75" customHeight="1" x14ac:dyDescent="0.15">
      <c r="A1978" s="22"/>
      <c r="B1978" s="22"/>
      <c r="C1978" s="22"/>
      <c r="D1978" s="22"/>
      <c r="E1978" s="22"/>
      <c r="F1978" s="28"/>
      <c r="G1978" s="28"/>
      <c r="H1978" s="28"/>
      <c r="I1978" s="28"/>
      <c r="J1978" s="28"/>
      <c r="K1978" s="28"/>
      <c r="L1978" s="28"/>
      <c r="M1978" s="22"/>
      <c r="N1978" s="22"/>
      <c r="O1978" s="22"/>
      <c r="P1978" s="22"/>
      <c r="Q1978" s="22"/>
      <c r="R1978" s="28"/>
      <c r="S1978" s="28"/>
      <c r="T1978" s="28"/>
      <c r="U1978" s="28"/>
      <c r="V1978" s="22"/>
      <c r="W1978" s="22"/>
      <c r="X1978" s="22"/>
      <c r="Y1978" s="22"/>
      <c r="Z1978" s="22"/>
      <c r="AA1978" s="22"/>
      <c r="AB1978" s="22"/>
      <c r="AC1978" s="22"/>
      <c r="AD1978" s="22"/>
    </row>
    <row r="1979" spans="1:30" ht="15.75" customHeight="1" x14ac:dyDescent="0.15">
      <c r="A1979" s="22"/>
      <c r="B1979" s="22"/>
      <c r="C1979" s="22"/>
      <c r="D1979" s="22"/>
      <c r="E1979" s="22"/>
      <c r="F1979" s="28"/>
      <c r="G1979" s="28"/>
      <c r="H1979" s="28"/>
      <c r="I1979" s="28"/>
      <c r="J1979" s="28"/>
      <c r="K1979" s="28"/>
      <c r="L1979" s="28"/>
      <c r="M1979" s="22"/>
      <c r="N1979" s="22"/>
      <c r="O1979" s="22"/>
      <c r="P1979" s="22"/>
      <c r="Q1979" s="22"/>
      <c r="R1979" s="28"/>
      <c r="S1979" s="28"/>
      <c r="T1979" s="28"/>
      <c r="U1979" s="28"/>
      <c r="V1979" s="22"/>
      <c r="W1979" s="22"/>
      <c r="X1979" s="22"/>
      <c r="Y1979" s="22"/>
      <c r="Z1979" s="22"/>
      <c r="AA1979" s="22"/>
      <c r="AB1979" s="22"/>
      <c r="AC1979" s="22"/>
      <c r="AD1979" s="22"/>
    </row>
    <row r="1980" spans="1:30" ht="15.75" customHeight="1" x14ac:dyDescent="0.15">
      <c r="A1980" s="22"/>
      <c r="B1980" s="22"/>
      <c r="C1980" s="22"/>
      <c r="D1980" s="22"/>
      <c r="E1980" s="22"/>
      <c r="F1980" s="28"/>
      <c r="G1980" s="28"/>
      <c r="H1980" s="28"/>
      <c r="I1980" s="28"/>
      <c r="J1980" s="28"/>
      <c r="K1980" s="28"/>
      <c r="L1980" s="28"/>
      <c r="M1980" s="22"/>
      <c r="N1980" s="22"/>
      <c r="O1980" s="22"/>
      <c r="P1980" s="22"/>
      <c r="Q1980" s="22"/>
      <c r="R1980" s="28"/>
      <c r="S1980" s="28"/>
      <c r="T1980" s="28"/>
      <c r="U1980" s="28"/>
      <c r="V1980" s="22"/>
      <c r="W1980" s="22"/>
      <c r="X1980" s="22"/>
      <c r="Y1980" s="22"/>
      <c r="Z1980" s="22"/>
      <c r="AA1980" s="22"/>
      <c r="AB1980" s="22"/>
      <c r="AC1980" s="22"/>
      <c r="AD1980" s="22"/>
    </row>
    <row r="1981" spans="1:30" ht="15.75" customHeight="1" x14ac:dyDescent="0.15">
      <c r="A1981" s="22"/>
      <c r="B1981" s="22"/>
      <c r="C1981" s="22"/>
      <c r="D1981" s="22"/>
      <c r="E1981" s="22"/>
      <c r="F1981" s="28"/>
      <c r="G1981" s="28"/>
      <c r="H1981" s="28"/>
      <c r="I1981" s="28"/>
      <c r="J1981" s="28"/>
      <c r="K1981" s="28"/>
      <c r="L1981" s="28"/>
      <c r="M1981" s="22"/>
      <c r="N1981" s="22"/>
      <c r="O1981" s="22"/>
      <c r="P1981" s="22"/>
      <c r="Q1981" s="22"/>
      <c r="R1981" s="28"/>
      <c r="S1981" s="28"/>
      <c r="T1981" s="28"/>
      <c r="U1981" s="28"/>
      <c r="V1981" s="22"/>
      <c r="W1981" s="22"/>
      <c r="X1981" s="22"/>
      <c r="Y1981" s="22"/>
      <c r="Z1981" s="22"/>
      <c r="AA1981" s="22"/>
      <c r="AB1981" s="22"/>
      <c r="AC1981" s="22"/>
      <c r="AD1981" s="22"/>
    </row>
    <row r="1982" spans="1:30" ht="15.75" customHeight="1" x14ac:dyDescent="0.15">
      <c r="A1982" s="22"/>
      <c r="B1982" s="22"/>
      <c r="C1982" s="22"/>
      <c r="D1982" s="22"/>
      <c r="E1982" s="22"/>
      <c r="F1982" s="28"/>
      <c r="G1982" s="28"/>
      <c r="H1982" s="28"/>
      <c r="I1982" s="28"/>
      <c r="J1982" s="28"/>
      <c r="K1982" s="28"/>
      <c r="L1982" s="28"/>
      <c r="M1982" s="22"/>
      <c r="N1982" s="22"/>
      <c r="O1982" s="22"/>
      <c r="P1982" s="22"/>
      <c r="Q1982" s="22"/>
      <c r="R1982" s="28"/>
      <c r="S1982" s="28"/>
      <c r="T1982" s="28"/>
      <c r="U1982" s="28"/>
      <c r="V1982" s="22"/>
      <c r="W1982" s="22"/>
      <c r="X1982" s="22"/>
      <c r="Y1982" s="22"/>
      <c r="Z1982" s="22"/>
      <c r="AA1982" s="22"/>
      <c r="AB1982" s="22"/>
      <c r="AC1982" s="22"/>
      <c r="AD1982" s="22"/>
    </row>
    <row r="1983" spans="1:30" ht="15.75" customHeight="1" x14ac:dyDescent="0.15">
      <c r="A1983" s="22"/>
      <c r="B1983" s="22"/>
      <c r="C1983" s="22"/>
      <c r="D1983" s="22"/>
      <c r="E1983" s="22"/>
      <c r="F1983" s="28"/>
      <c r="G1983" s="28"/>
      <c r="H1983" s="28"/>
      <c r="I1983" s="28"/>
      <c r="J1983" s="28"/>
      <c r="K1983" s="28"/>
      <c r="L1983" s="28"/>
      <c r="M1983" s="22"/>
      <c r="N1983" s="22"/>
      <c r="O1983" s="22"/>
      <c r="P1983" s="22"/>
      <c r="Q1983" s="22"/>
      <c r="R1983" s="28"/>
      <c r="S1983" s="28"/>
      <c r="T1983" s="28"/>
      <c r="U1983" s="28"/>
      <c r="V1983" s="22"/>
      <c r="W1983" s="22"/>
      <c r="X1983" s="22"/>
      <c r="Y1983" s="22"/>
      <c r="Z1983" s="22"/>
      <c r="AA1983" s="22"/>
      <c r="AB1983" s="22"/>
      <c r="AC1983" s="22"/>
      <c r="AD1983" s="22"/>
    </row>
    <row r="1984" spans="1:30" ht="15.75" customHeight="1" x14ac:dyDescent="0.15">
      <c r="A1984" s="22"/>
      <c r="B1984" s="22"/>
      <c r="C1984" s="22"/>
      <c r="D1984" s="22"/>
      <c r="E1984" s="22"/>
      <c r="F1984" s="28"/>
      <c r="G1984" s="28"/>
      <c r="H1984" s="28"/>
      <c r="I1984" s="28"/>
      <c r="J1984" s="28"/>
      <c r="K1984" s="28"/>
      <c r="L1984" s="28"/>
      <c r="M1984" s="22"/>
      <c r="N1984" s="22"/>
      <c r="O1984" s="22"/>
      <c r="P1984" s="22"/>
      <c r="Q1984" s="22"/>
      <c r="R1984" s="28"/>
      <c r="S1984" s="28"/>
      <c r="T1984" s="28"/>
      <c r="U1984" s="28"/>
      <c r="V1984" s="22"/>
      <c r="W1984" s="22"/>
      <c r="X1984" s="22"/>
      <c r="Y1984" s="22"/>
      <c r="Z1984" s="22"/>
      <c r="AA1984" s="22"/>
      <c r="AB1984" s="22"/>
      <c r="AC1984" s="22"/>
      <c r="AD1984" s="22"/>
    </row>
    <row r="1985" spans="1:30" ht="15.75" customHeight="1" x14ac:dyDescent="0.15">
      <c r="A1985" s="22"/>
      <c r="B1985" s="22"/>
      <c r="C1985" s="22"/>
      <c r="D1985" s="22"/>
      <c r="E1985" s="22"/>
      <c r="F1985" s="28"/>
      <c r="G1985" s="28"/>
      <c r="H1985" s="28"/>
      <c r="I1985" s="28"/>
      <c r="J1985" s="28"/>
      <c r="K1985" s="28"/>
      <c r="L1985" s="28"/>
      <c r="M1985" s="22"/>
      <c r="N1985" s="22"/>
      <c r="O1985" s="22"/>
      <c r="P1985" s="22"/>
      <c r="Q1985" s="22"/>
      <c r="R1985" s="28"/>
      <c r="S1985" s="28"/>
      <c r="T1985" s="28"/>
      <c r="U1985" s="28"/>
      <c r="V1985" s="22"/>
      <c r="W1985" s="22"/>
      <c r="X1985" s="22"/>
      <c r="Y1985" s="22"/>
      <c r="Z1985" s="22"/>
      <c r="AA1985" s="22"/>
      <c r="AB1985" s="22"/>
      <c r="AC1985" s="22"/>
      <c r="AD1985" s="22"/>
    </row>
    <row r="1986" spans="1:30" ht="15.75" customHeight="1" x14ac:dyDescent="0.15">
      <c r="A1986" s="22"/>
      <c r="B1986" s="22"/>
      <c r="C1986" s="22"/>
      <c r="D1986" s="22"/>
      <c r="E1986" s="22"/>
      <c r="F1986" s="28"/>
      <c r="G1986" s="28"/>
      <c r="H1986" s="28"/>
      <c r="I1986" s="28"/>
      <c r="J1986" s="28"/>
      <c r="K1986" s="28"/>
      <c r="L1986" s="28"/>
      <c r="M1986" s="22"/>
      <c r="N1986" s="22"/>
      <c r="O1986" s="22"/>
      <c r="P1986" s="22"/>
      <c r="Q1986" s="22"/>
      <c r="R1986" s="28"/>
      <c r="S1986" s="28"/>
      <c r="T1986" s="28"/>
      <c r="U1986" s="28"/>
      <c r="V1986" s="22"/>
      <c r="W1986" s="22"/>
      <c r="X1986" s="22"/>
      <c r="Y1986" s="22"/>
      <c r="Z1986" s="22"/>
      <c r="AA1986" s="22"/>
      <c r="AB1986" s="22"/>
      <c r="AC1986" s="22"/>
      <c r="AD1986" s="22"/>
    </row>
    <row r="1987" spans="1:30" ht="15.75" customHeight="1" x14ac:dyDescent="0.15">
      <c r="A1987" s="22"/>
      <c r="B1987" s="22"/>
      <c r="C1987" s="22"/>
      <c r="D1987" s="22"/>
      <c r="E1987" s="22"/>
      <c r="F1987" s="28"/>
      <c r="G1987" s="28"/>
      <c r="H1987" s="28"/>
      <c r="I1987" s="28"/>
      <c r="J1987" s="28"/>
      <c r="K1987" s="28"/>
      <c r="L1987" s="28"/>
      <c r="M1987" s="22"/>
      <c r="N1987" s="22"/>
      <c r="O1987" s="22"/>
      <c r="P1987" s="22"/>
      <c r="Q1987" s="22"/>
      <c r="R1987" s="28"/>
      <c r="S1987" s="28"/>
      <c r="T1987" s="28"/>
      <c r="U1987" s="28"/>
      <c r="V1987" s="22"/>
      <c r="W1987" s="22"/>
      <c r="X1987" s="22"/>
      <c r="Y1987" s="22"/>
      <c r="Z1987" s="22"/>
      <c r="AA1987" s="22"/>
      <c r="AB1987" s="22"/>
      <c r="AC1987" s="22"/>
      <c r="AD1987" s="22"/>
    </row>
    <row r="1988" spans="1:30" ht="15.75" customHeight="1" x14ac:dyDescent="0.15">
      <c r="A1988" s="22"/>
      <c r="B1988" s="22"/>
      <c r="C1988" s="22"/>
      <c r="D1988" s="22"/>
      <c r="E1988" s="22"/>
      <c r="F1988" s="28"/>
      <c r="G1988" s="28"/>
      <c r="H1988" s="28"/>
      <c r="I1988" s="28"/>
      <c r="J1988" s="28"/>
      <c r="K1988" s="28"/>
      <c r="L1988" s="28"/>
      <c r="M1988" s="22"/>
      <c r="N1988" s="22"/>
      <c r="O1988" s="22"/>
      <c r="P1988" s="22"/>
      <c r="Q1988" s="22"/>
      <c r="R1988" s="28"/>
      <c r="S1988" s="28"/>
      <c r="T1988" s="28"/>
      <c r="U1988" s="28"/>
      <c r="V1988" s="22"/>
      <c r="W1988" s="22"/>
      <c r="X1988" s="22"/>
      <c r="Y1988" s="22"/>
      <c r="Z1988" s="22"/>
      <c r="AA1988" s="22"/>
      <c r="AB1988" s="22"/>
      <c r="AC1988" s="22"/>
      <c r="AD1988" s="22"/>
    </row>
    <row r="1989" spans="1:30" ht="15.75" customHeight="1" x14ac:dyDescent="0.15">
      <c r="A1989" s="22"/>
      <c r="B1989" s="22"/>
      <c r="C1989" s="22"/>
      <c r="D1989" s="22"/>
      <c r="E1989" s="22"/>
      <c r="F1989" s="28"/>
      <c r="G1989" s="28"/>
      <c r="H1989" s="28"/>
      <c r="I1989" s="28"/>
      <c r="J1989" s="28"/>
      <c r="K1989" s="28"/>
      <c r="L1989" s="28"/>
      <c r="M1989" s="22"/>
      <c r="N1989" s="22"/>
      <c r="O1989" s="22"/>
      <c r="P1989" s="22"/>
      <c r="Q1989" s="22"/>
      <c r="R1989" s="28"/>
      <c r="S1989" s="28"/>
      <c r="T1989" s="28"/>
      <c r="U1989" s="28"/>
      <c r="V1989" s="22"/>
      <c r="W1989" s="22"/>
      <c r="X1989" s="22"/>
      <c r="Y1989" s="22"/>
      <c r="Z1989" s="22"/>
      <c r="AA1989" s="22"/>
      <c r="AB1989" s="22"/>
      <c r="AC1989" s="22"/>
      <c r="AD1989" s="22"/>
    </row>
    <row r="1990" spans="1:30" ht="15.75" customHeight="1" x14ac:dyDescent="0.15">
      <c r="A1990" s="22"/>
      <c r="B1990" s="22"/>
      <c r="C1990" s="22"/>
      <c r="D1990" s="22"/>
      <c r="E1990" s="22"/>
      <c r="F1990" s="28"/>
      <c r="G1990" s="28"/>
      <c r="H1990" s="28"/>
      <c r="I1990" s="28"/>
      <c r="J1990" s="28"/>
      <c r="K1990" s="28"/>
      <c r="L1990" s="28"/>
      <c r="M1990" s="22"/>
      <c r="N1990" s="22"/>
      <c r="O1990" s="22"/>
      <c r="P1990" s="22"/>
      <c r="Q1990" s="22"/>
      <c r="R1990" s="28"/>
      <c r="S1990" s="28"/>
      <c r="T1990" s="28"/>
      <c r="U1990" s="28"/>
      <c r="V1990" s="22"/>
      <c r="W1990" s="22"/>
      <c r="X1990" s="22"/>
      <c r="Y1990" s="22"/>
      <c r="Z1990" s="22"/>
      <c r="AA1990" s="22"/>
      <c r="AB1990" s="22"/>
      <c r="AC1990" s="22"/>
      <c r="AD1990" s="22"/>
    </row>
    <row r="1991" spans="1:30" ht="15.75" customHeight="1" x14ac:dyDescent="0.15">
      <c r="A1991" s="22"/>
      <c r="B1991" s="22"/>
      <c r="C1991" s="22"/>
      <c r="D1991" s="22"/>
      <c r="E1991" s="22"/>
      <c r="F1991" s="28"/>
      <c r="G1991" s="28"/>
      <c r="H1991" s="28"/>
      <c r="I1991" s="28"/>
      <c r="J1991" s="28"/>
      <c r="K1991" s="28"/>
      <c r="L1991" s="28"/>
      <c r="M1991" s="22"/>
      <c r="N1991" s="22"/>
      <c r="O1991" s="22"/>
      <c r="P1991" s="22"/>
      <c r="Q1991" s="22"/>
      <c r="R1991" s="28"/>
      <c r="S1991" s="28"/>
      <c r="T1991" s="28"/>
      <c r="U1991" s="28"/>
      <c r="V1991" s="22"/>
      <c r="W1991" s="22"/>
      <c r="X1991" s="22"/>
      <c r="Y1991" s="22"/>
      <c r="Z1991" s="22"/>
      <c r="AA1991" s="22"/>
      <c r="AB1991" s="22"/>
      <c r="AC1991" s="22"/>
      <c r="AD1991" s="22"/>
    </row>
    <row r="1992" spans="1:30" ht="15.75" customHeight="1" x14ac:dyDescent="0.15">
      <c r="A1992" s="22"/>
      <c r="B1992" s="22"/>
      <c r="C1992" s="22"/>
      <c r="D1992" s="22"/>
      <c r="E1992" s="22"/>
      <c r="F1992" s="28"/>
      <c r="G1992" s="28"/>
      <c r="H1992" s="28"/>
      <c r="I1992" s="28"/>
      <c r="J1992" s="28"/>
      <c r="K1992" s="28"/>
      <c r="L1992" s="28"/>
      <c r="M1992" s="22"/>
      <c r="N1992" s="22"/>
      <c r="O1992" s="22"/>
      <c r="P1992" s="22"/>
      <c r="Q1992" s="22"/>
      <c r="R1992" s="28"/>
      <c r="S1992" s="28"/>
      <c r="T1992" s="28"/>
      <c r="U1992" s="28"/>
      <c r="V1992" s="22"/>
      <c r="W1992" s="22"/>
      <c r="X1992" s="22"/>
      <c r="Y1992" s="22"/>
      <c r="Z1992" s="22"/>
      <c r="AA1992" s="22"/>
      <c r="AB1992" s="22"/>
      <c r="AC1992" s="22"/>
      <c r="AD1992" s="22"/>
    </row>
    <row r="1993" spans="1:30" ht="15.75" customHeight="1" x14ac:dyDescent="0.15">
      <c r="A1993" s="22"/>
      <c r="B1993" s="22"/>
      <c r="C1993" s="22"/>
      <c r="D1993" s="22"/>
      <c r="E1993" s="22"/>
      <c r="F1993" s="28"/>
      <c r="G1993" s="28"/>
      <c r="H1993" s="28"/>
      <c r="I1993" s="28"/>
      <c r="J1993" s="28"/>
      <c r="K1993" s="28"/>
      <c r="L1993" s="28"/>
      <c r="M1993" s="22"/>
      <c r="N1993" s="22"/>
      <c r="O1993" s="22"/>
      <c r="P1993" s="22"/>
      <c r="Q1993" s="22"/>
      <c r="R1993" s="28"/>
      <c r="S1993" s="28"/>
      <c r="T1993" s="28"/>
      <c r="U1993" s="28"/>
      <c r="V1993" s="22"/>
      <c r="W1993" s="22"/>
      <c r="X1993" s="22"/>
      <c r="Y1993" s="22"/>
      <c r="Z1993" s="22"/>
      <c r="AA1993" s="22"/>
      <c r="AB1993" s="22"/>
      <c r="AC1993" s="22"/>
      <c r="AD1993" s="22"/>
    </row>
    <row r="1994" spans="1:30" ht="15.75" customHeight="1" x14ac:dyDescent="0.15">
      <c r="A1994" s="22"/>
      <c r="B1994" s="22"/>
      <c r="C1994" s="22"/>
      <c r="D1994" s="22"/>
      <c r="E1994" s="22"/>
      <c r="F1994" s="28"/>
      <c r="G1994" s="28"/>
      <c r="H1994" s="28"/>
      <c r="I1994" s="28"/>
      <c r="J1994" s="28"/>
      <c r="K1994" s="28"/>
      <c r="L1994" s="28"/>
      <c r="M1994" s="22"/>
      <c r="N1994" s="22"/>
      <c r="O1994" s="22"/>
      <c r="P1994" s="22"/>
      <c r="Q1994" s="22"/>
      <c r="R1994" s="28"/>
      <c r="S1994" s="28"/>
      <c r="T1994" s="28"/>
      <c r="U1994" s="28"/>
      <c r="V1994" s="22"/>
      <c r="W1994" s="22"/>
      <c r="X1994" s="22"/>
      <c r="Y1994" s="22"/>
      <c r="Z1994" s="22"/>
      <c r="AA1994" s="22"/>
      <c r="AB1994" s="22"/>
      <c r="AC1994" s="22"/>
      <c r="AD1994" s="22"/>
    </row>
    <row r="1995" spans="1:30" ht="15.75" customHeight="1" x14ac:dyDescent="0.15">
      <c r="T1995" s="28"/>
      <c r="U1995" s="28"/>
      <c r="V1995" s="22"/>
      <c r="W1995" s="22"/>
      <c r="X1995" s="22"/>
      <c r="Y1995" s="22"/>
      <c r="Z1995" s="22"/>
      <c r="AA1995" s="22"/>
      <c r="AB1995" s="22"/>
      <c r="AC1995" s="22"/>
      <c r="AD1995" s="22"/>
    </row>
    <row r="1996" spans="1:30" ht="15.75" customHeight="1" x14ac:dyDescent="0.15">
      <c r="T1996" s="28"/>
      <c r="U1996" s="28"/>
      <c r="V1996" s="22"/>
      <c r="W1996" s="22"/>
      <c r="X1996" s="22"/>
      <c r="Y1996" s="22"/>
      <c r="Z1996" s="22"/>
      <c r="AA1996" s="22"/>
      <c r="AB1996" s="22"/>
      <c r="AC1996" s="22"/>
      <c r="AD1996" s="22"/>
    </row>
    <row r="1997" spans="1:30" ht="15.75" customHeight="1" x14ac:dyDescent="0.15">
      <c r="A1997" s="22"/>
      <c r="B1997" s="22"/>
      <c r="C1997" s="22"/>
      <c r="D1997" s="22"/>
      <c r="E1997" s="22"/>
      <c r="F1997" s="28"/>
      <c r="G1997" s="28"/>
      <c r="H1997" s="28"/>
      <c r="I1997" s="28"/>
      <c r="J1997" s="28"/>
      <c r="K1997" s="28"/>
      <c r="L1997" s="28"/>
      <c r="M1997" s="22"/>
      <c r="N1997" s="22"/>
      <c r="O1997" s="22"/>
      <c r="P1997" s="22"/>
      <c r="Q1997" s="22"/>
      <c r="R1997" s="28"/>
      <c r="S1997" s="28"/>
      <c r="T1997" s="28"/>
      <c r="U1997" s="28"/>
      <c r="V1997" s="22"/>
      <c r="W1997" s="22"/>
      <c r="X1997" s="22"/>
      <c r="Y1997" s="22"/>
      <c r="Z1997" s="22"/>
      <c r="AA1997" s="22"/>
      <c r="AB1997" s="22"/>
      <c r="AC1997" s="22"/>
      <c r="AD1997" s="22"/>
    </row>
    <row r="1998" spans="1:30" ht="15.75" customHeight="1" x14ac:dyDescent="0.15">
      <c r="A1998" s="22"/>
      <c r="B1998" s="22"/>
      <c r="C1998" s="22"/>
      <c r="D1998" s="22"/>
      <c r="E1998" s="22"/>
      <c r="F1998" s="28"/>
      <c r="G1998" s="28"/>
      <c r="H1998" s="28"/>
      <c r="I1998" s="28"/>
      <c r="J1998" s="28"/>
      <c r="K1998" s="28"/>
      <c r="L1998" s="28"/>
      <c r="M1998" s="22"/>
      <c r="N1998" s="22"/>
      <c r="O1998" s="22"/>
      <c r="P1998" s="22"/>
      <c r="Q1998" s="22"/>
      <c r="R1998" s="28"/>
      <c r="S1998" s="28"/>
      <c r="T1998" s="28"/>
      <c r="U1998" s="28"/>
      <c r="V1998" s="22"/>
      <c r="W1998" s="22"/>
      <c r="X1998" s="22"/>
      <c r="Y1998" s="22"/>
      <c r="Z1998" s="22"/>
      <c r="AA1998" s="22"/>
      <c r="AB1998" s="22"/>
      <c r="AC1998" s="22"/>
      <c r="AD1998" s="22"/>
    </row>
    <row r="1999" spans="1:30" ht="15.75" customHeight="1" x14ac:dyDescent="0.15">
      <c r="D1999" s="26" t="s">
        <v>2657</v>
      </c>
      <c r="E1999" s="26" t="s">
        <v>2617</v>
      </c>
      <c r="F1999" s="27" t="s">
        <v>2658</v>
      </c>
      <c r="G1999" s="27" t="s">
        <v>2659</v>
      </c>
      <c r="H1999" s="27" t="s">
        <v>2660</v>
      </c>
      <c r="I1999" s="27" t="s">
        <v>2661</v>
      </c>
      <c r="J1999" s="27" t="s">
        <v>2662</v>
      </c>
      <c r="K1999" s="27" t="s">
        <v>2663</v>
      </c>
      <c r="L1999" s="27" t="s">
        <v>2664</v>
      </c>
      <c r="M1999" s="26" t="s">
        <v>2665</v>
      </c>
      <c r="N1999" s="26" t="s">
        <v>2666</v>
      </c>
      <c r="O1999" s="26" t="s">
        <v>2667</v>
      </c>
      <c r="P1999" s="26" t="s">
        <v>2668</v>
      </c>
      <c r="Q1999" s="26" t="s">
        <v>2669</v>
      </c>
      <c r="R1999" s="27" t="s">
        <v>2670</v>
      </c>
      <c r="S1999" s="27" t="s">
        <v>2671</v>
      </c>
      <c r="T1999" s="27" t="s">
        <v>2632</v>
      </c>
      <c r="U1999" s="27" t="s">
        <v>2672</v>
      </c>
      <c r="V1999" s="26" t="s">
        <v>2673</v>
      </c>
      <c r="W1999" s="26" t="s">
        <v>2674</v>
      </c>
      <c r="X1999" s="26" t="s">
        <v>2675</v>
      </c>
      <c r="Y1999" s="26" t="s">
        <v>2676</v>
      </c>
      <c r="Z1999" s="26" t="s">
        <v>2677</v>
      </c>
      <c r="AA1999" s="26" t="s">
        <v>2678</v>
      </c>
      <c r="AB1999" s="26" t="s">
        <v>2679</v>
      </c>
      <c r="AC1999" s="26" t="s">
        <v>2680</v>
      </c>
      <c r="AD1999" s="26"/>
    </row>
    <row r="2000" spans="1:30" ht="15.75" customHeight="1" x14ac:dyDescent="0.15">
      <c r="F2000" s="28">
        <f t="shared" ref="F2000:L2000" si="0">SUM(F2:F1000)</f>
        <v>62090</v>
      </c>
      <c r="G2000" s="28">
        <f t="shared" si="0"/>
        <v>55623</v>
      </c>
      <c r="H2000" s="28">
        <f t="shared" si="0"/>
        <v>6112</v>
      </c>
      <c r="I2000" s="28">
        <f t="shared" si="0"/>
        <v>13575</v>
      </c>
      <c r="J2000" s="28">
        <f t="shared" si="0"/>
        <v>2315</v>
      </c>
      <c r="K2000" s="28">
        <f t="shared" si="0"/>
        <v>207</v>
      </c>
      <c r="L2000" s="28">
        <f t="shared" si="0"/>
        <v>1423</v>
      </c>
      <c r="P2000" s="22"/>
      <c r="Q2000" s="22"/>
      <c r="R2000" s="28">
        <f t="shared" ref="R2000:U2000" si="1">SUM(R2:R1000)</f>
        <v>369</v>
      </c>
      <c r="S2000" s="28">
        <f t="shared" si="1"/>
        <v>4793</v>
      </c>
      <c r="T2000" s="28">
        <f t="shared" si="1"/>
        <v>236</v>
      </c>
      <c r="U2000" s="28">
        <f t="shared" si="1"/>
        <v>630</v>
      </c>
      <c r="V2000" s="22"/>
      <c r="W2000" s="22"/>
      <c r="X2000" s="22"/>
      <c r="Y2000" s="22"/>
      <c r="Z2000" s="22"/>
      <c r="AA2000" s="22">
        <f>(0.692*(S2000+T2000)+0.73*U2000+0.865*(I2000-(J2000+K2000+L2000))+1.334+J2000+1.725*K2000+2.065*L2000)/(G2000+S2000-T2000+U2000+R2000)</f>
        <v>0.29228692852122468</v>
      </c>
      <c r="AB2000" s="22">
        <f>SUM(AB2:AB1000)</f>
        <v>6482.194494616735</v>
      </c>
      <c r="AC2000" s="22"/>
      <c r="AD2000" s="22"/>
    </row>
  </sheetData>
  <sortState xmlns:xlrd2="http://schemas.microsoft.com/office/spreadsheetml/2017/richdata2" ref="A2:AD360">
    <sortCondition descending="1" ref="F2:F360"/>
  </sortState>
  <hyperlinks>
    <hyperlink ref="B2" r:id="rId1" xr:uid="{4E7063B3-7864-DA4A-A749-7C20F212C4C2}"/>
    <hyperlink ref="B3" r:id="rId2" xr:uid="{65BB4B54-E1ED-9D4E-8966-7DFA7F0FBC1A}"/>
    <hyperlink ref="B4" r:id="rId3" xr:uid="{6EB77615-FB6C-0F4E-8525-0104DBDF2FF8}"/>
    <hyperlink ref="B5" r:id="rId4" xr:uid="{FE1653AC-D7D2-B947-AFAA-CEEDA0A6B9DD}"/>
    <hyperlink ref="B6" r:id="rId5" xr:uid="{B7A925A5-C66D-4B4C-AAE1-9FAA44A5530F}"/>
    <hyperlink ref="B7" r:id="rId6" xr:uid="{1676DA90-8A16-1C4E-A8FD-D7F9F6DC51EB}"/>
    <hyperlink ref="B8" r:id="rId7" xr:uid="{28D48DDD-D612-0E4A-B613-A6FF3A9BAB20}"/>
    <hyperlink ref="B9" r:id="rId8" xr:uid="{DEB5258B-CB67-474B-AF7B-9E6D1451F99D}"/>
    <hyperlink ref="B10" r:id="rId9" xr:uid="{27B879AE-56D6-9547-B2A0-E3E6859BEF87}"/>
    <hyperlink ref="B11" r:id="rId10" xr:uid="{9D454434-DBFF-C849-94C9-81CB11E7241A}"/>
    <hyperlink ref="B12" r:id="rId11" xr:uid="{A087677A-57FE-124D-9EDC-9E32869E170F}"/>
    <hyperlink ref="B13" r:id="rId12" xr:uid="{ABA021BB-3145-1A4F-AA72-4FE9C822E5B3}"/>
    <hyperlink ref="B14" r:id="rId13" xr:uid="{0E8A07EA-0266-C945-BB6A-E5DBA22F2C72}"/>
    <hyperlink ref="B15" r:id="rId14" xr:uid="{3EE094CB-D7EA-7A48-AC24-19704325E3C2}"/>
    <hyperlink ref="B16" r:id="rId15" xr:uid="{AC66DE5B-827E-D548-A7E5-61B9C5A8541C}"/>
    <hyperlink ref="B17" r:id="rId16" xr:uid="{CA8BD611-837C-E240-B622-2C8EFBE08D05}"/>
    <hyperlink ref="B18" r:id="rId17" xr:uid="{9C011DC8-F2D9-AE4C-91F2-4F480E5073EB}"/>
    <hyperlink ref="B19" r:id="rId18" xr:uid="{F15A9566-683E-D042-A1C1-B627F39A5E6C}"/>
    <hyperlink ref="B20" r:id="rId19" xr:uid="{94E446BC-E5D3-7745-A5A5-9AD9145E107A}"/>
    <hyperlink ref="B21" r:id="rId20" xr:uid="{42BD0C5B-6E03-8B41-B093-3062AE20B013}"/>
    <hyperlink ref="B22" r:id="rId21" xr:uid="{2B05E214-1223-D943-BD1C-1A338637771E}"/>
    <hyperlink ref="B23" r:id="rId22" xr:uid="{A06ECB22-71AD-F045-B7F8-62DD65C46611}"/>
    <hyperlink ref="B24" r:id="rId23" xr:uid="{9EE56B0A-3815-B541-ACDA-C968731510C3}"/>
    <hyperlink ref="B25" r:id="rId24" xr:uid="{3D491682-D99D-F443-8264-27F1409D3239}"/>
    <hyperlink ref="B26" r:id="rId25" xr:uid="{90A5555C-0D52-7B44-AC7B-53E248620D02}"/>
    <hyperlink ref="B27" r:id="rId26" xr:uid="{841F2645-6E05-834B-BC6F-FC6A7B0E57F4}"/>
    <hyperlink ref="B28" r:id="rId27" xr:uid="{D9E1F4FF-89D6-3B41-A935-DF8CF04B8F56}"/>
    <hyperlink ref="B29" r:id="rId28" xr:uid="{EEC51BED-29C2-C747-B414-1523CE97BCAC}"/>
    <hyperlink ref="B30" r:id="rId29" xr:uid="{300AEC2B-9E7B-8341-826A-E4889C8EDE4F}"/>
    <hyperlink ref="B31" r:id="rId30" xr:uid="{33C60A2C-86BA-5743-9A54-4FC60A0E7CEF}"/>
    <hyperlink ref="B32" r:id="rId31" xr:uid="{245DE472-1C61-214B-B68F-74ADE1261755}"/>
    <hyperlink ref="B33" r:id="rId32" xr:uid="{ABF4FB88-098D-DE4B-8FC7-FBA8344B96CF}"/>
    <hyperlink ref="B34" r:id="rId33" xr:uid="{6C560EF5-F9DA-8B41-941F-F321157EE1C6}"/>
    <hyperlink ref="B35" r:id="rId34" xr:uid="{D6117AF8-3F15-7742-9F44-3A59BEB401CD}"/>
    <hyperlink ref="B36" r:id="rId35" xr:uid="{8D58A99B-E93D-8748-98D8-CAD7124E8004}"/>
    <hyperlink ref="B37" r:id="rId36" xr:uid="{C6FF493D-3E47-8E44-8E73-91D8A0BED685}"/>
    <hyperlink ref="B38" r:id="rId37" xr:uid="{EF7F1B78-1293-6A48-BC3B-8018836EAFF7}"/>
    <hyperlink ref="B39" r:id="rId38" xr:uid="{F511BAA6-ACCB-3E43-BC42-1E18D607725E}"/>
    <hyperlink ref="B40" r:id="rId39" xr:uid="{A2106E9E-5E79-BD49-AD67-EDF1DEF1BA1D}"/>
    <hyperlink ref="B41" r:id="rId40" xr:uid="{0A3B10EC-458A-394D-BD60-867E23C9F1C2}"/>
    <hyperlink ref="B42" r:id="rId41" xr:uid="{E6326463-62AC-134E-ADB7-2CD8BB5DDF31}"/>
    <hyperlink ref="B43" r:id="rId42" xr:uid="{6A7940B6-A92E-0A4B-93E0-5E46DC4C2BC7}"/>
    <hyperlink ref="B44" r:id="rId43" xr:uid="{E517CA44-0EB6-4048-82EE-0132DAE8277F}"/>
    <hyperlink ref="B45" r:id="rId44" xr:uid="{1B9E807E-3690-C14A-9EC9-B2EC0F862BF3}"/>
    <hyperlink ref="B46" r:id="rId45" xr:uid="{02F25078-B0E7-DD44-A55B-CA01DA697AC3}"/>
    <hyperlink ref="B47" r:id="rId46" xr:uid="{46B8449D-DB88-D749-96AA-D0CC69E01369}"/>
    <hyperlink ref="B48" r:id="rId47" xr:uid="{88CC3F8C-7456-F244-AAE9-9354032D5C85}"/>
    <hyperlink ref="B49" r:id="rId48" xr:uid="{10D60C2E-18F8-4B41-AD69-58E5590CB4C6}"/>
    <hyperlink ref="B50" r:id="rId49" xr:uid="{265309DA-E85C-734B-B276-6FA322BC3A14}"/>
    <hyperlink ref="B51" r:id="rId50" xr:uid="{DF3A54B2-9A7E-9D4C-B1D0-19E09A1DE853}"/>
    <hyperlink ref="B52" r:id="rId51" xr:uid="{7A8165D5-EC59-7E46-BE19-6407AAB08B19}"/>
    <hyperlink ref="B53" r:id="rId52" xr:uid="{C068D170-CF4F-3142-8EC3-2B2A6BB9A83E}"/>
    <hyperlink ref="B54" r:id="rId53" xr:uid="{95E8F604-6A04-B440-A175-C744C71F9B02}"/>
    <hyperlink ref="B55" r:id="rId54" xr:uid="{DACA726A-944C-EA4C-B22F-5B022E70F40B}"/>
    <hyperlink ref="B56" r:id="rId55" xr:uid="{D74ECF27-7DAF-4549-A861-3808173CC2E2}"/>
    <hyperlink ref="B57" r:id="rId56" xr:uid="{F21600A4-ECF7-AE4A-82F3-29539A1BA4C3}"/>
    <hyperlink ref="B58" r:id="rId57" xr:uid="{D5D4036A-71D2-984E-8602-8CE5264254F7}"/>
    <hyperlink ref="B59" r:id="rId58" xr:uid="{4FA0000D-F426-9D46-9ADE-08620CC3FBDB}"/>
    <hyperlink ref="B60" r:id="rId59" xr:uid="{C7D322CF-CCF3-6B46-862E-6584EEEF8870}"/>
    <hyperlink ref="B61" r:id="rId60" xr:uid="{820CE497-EE7D-BD4C-B9F2-9923976CF8F8}"/>
    <hyperlink ref="B62" r:id="rId61" xr:uid="{00EFFCE7-3409-4141-B869-EB41EB71B6E1}"/>
    <hyperlink ref="B63" r:id="rId62" xr:uid="{8A8E5605-C145-DD47-853D-BA34E142C5C0}"/>
    <hyperlink ref="B64" r:id="rId63" xr:uid="{5F3C70BA-5168-554F-894A-30A4CFA4C6D1}"/>
    <hyperlink ref="B65" r:id="rId64" xr:uid="{BBC6AC82-1021-434F-8174-4BC2630CE522}"/>
    <hyperlink ref="B66" r:id="rId65" xr:uid="{C02AFF1E-8063-BD43-BF9B-0CEF9EC8990C}"/>
    <hyperlink ref="B67" r:id="rId66" xr:uid="{EE786EBB-7A02-4B4E-A93F-1C388E7B55C0}"/>
    <hyperlink ref="B68" r:id="rId67" xr:uid="{E1400FCB-C0CD-8F4F-A9D6-8B25037F9C25}"/>
    <hyperlink ref="B69" r:id="rId68" xr:uid="{97489626-0A54-274E-BA07-5FDB8893C8F1}"/>
    <hyperlink ref="B70" r:id="rId69" xr:uid="{AAE88DAC-BBEC-C34B-9C67-68CC0E9089FC}"/>
    <hyperlink ref="B71" r:id="rId70" xr:uid="{576F9A71-5A23-8043-915D-047EE9B200B3}"/>
    <hyperlink ref="B72" r:id="rId71" xr:uid="{C363C485-C843-A849-8520-9C4A48FF3646}"/>
    <hyperlink ref="B73" r:id="rId72" xr:uid="{DFCC5030-4421-924A-9DE1-67A13405A0EA}"/>
    <hyperlink ref="B74" r:id="rId73" xr:uid="{E3EFC178-BC98-8A49-A598-F66D5B95CF45}"/>
    <hyperlink ref="B75" r:id="rId74" xr:uid="{6D24A34D-85AA-124C-85D2-2F1B69807B23}"/>
    <hyperlink ref="B76" r:id="rId75" xr:uid="{EFBE953E-65BF-AC4C-B3BF-F8DC0A462FB8}"/>
    <hyperlink ref="B77" r:id="rId76" xr:uid="{D57D90D0-EAF0-674F-A214-3DC741B16299}"/>
    <hyperlink ref="B78" r:id="rId77" xr:uid="{E740F895-FEDB-6A43-ACFB-FBA6126C428E}"/>
    <hyperlink ref="B79" r:id="rId78" xr:uid="{49985C28-4D19-B54A-AF53-8A0B779BB5CA}"/>
    <hyperlink ref="B80" r:id="rId79" xr:uid="{C7D06D31-D2B3-F841-8995-54055D501356}"/>
    <hyperlink ref="B81" r:id="rId80" xr:uid="{7A3A995E-F517-3041-AB20-CCF07C7B2CF7}"/>
    <hyperlink ref="B82" r:id="rId81" xr:uid="{8652D112-5842-824A-AB2C-8A8CCDD3C9DB}"/>
    <hyperlink ref="B83" r:id="rId82" xr:uid="{ED1CAC34-BAEF-4F4A-B97B-D48FDB34F5C0}"/>
    <hyperlink ref="B84" r:id="rId83" xr:uid="{87F9C54D-D852-634C-B460-CA1DB434746F}"/>
    <hyperlink ref="B85" r:id="rId84" xr:uid="{D0741B69-A19E-234F-BA8A-D2D377674399}"/>
    <hyperlink ref="B86" r:id="rId85" xr:uid="{56596A0C-80E8-E140-9D01-491D03B4BA29}"/>
    <hyperlink ref="B87" r:id="rId86" xr:uid="{94AF57AD-0C5F-844B-A708-850B586895F6}"/>
    <hyperlink ref="B88" r:id="rId87" xr:uid="{9652B185-9751-F344-8112-AAF51DA386A8}"/>
    <hyperlink ref="B89" r:id="rId88" xr:uid="{B318181B-7302-824B-80ED-960AAED4A705}"/>
    <hyperlink ref="B90" r:id="rId89" xr:uid="{F99C0BDB-D45F-974F-8F52-5CE060AE0E8C}"/>
    <hyperlink ref="B91" r:id="rId90" xr:uid="{822FDFFA-2042-7644-94EC-C7C4720FB303}"/>
    <hyperlink ref="B92" r:id="rId91" xr:uid="{E686541D-9B2B-264C-9840-3F033491ED24}"/>
    <hyperlink ref="B93" r:id="rId92" xr:uid="{1BA83CC5-D64C-0548-8CB9-76748833A65B}"/>
    <hyperlink ref="B94" r:id="rId93" xr:uid="{312FDAFF-D021-5C4F-A0FE-D88F50D3D2D3}"/>
    <hyperlink ref="B95" r:id="rId94" xr:uid="{DA8B1D04-97E2-974A-81C8-1AF2E8B9F108}"/>
    <hyperlink ref="B96" r:id="rId95" xr:uid="{0A046D68-9FAA-6E41-9B31-C4D442D0DA4A}"/>
    <hyperlink ref="B97" r:id="rId96" xr:uid="{C8408D3D-738B-D54B-AB08-AC74DFD2E627}"/>
    <hyperlink ref="B98" r:id="rId97" xr:uid="{77CAA862-7EFD-D943-B98C-F8DFC762C771}"/>
    <hyperlink ref="B99" r:id="rId98" xr:uid="{5C2F6CFD-78E7-394B-B83C-A1F91D5EBA54}"/>
    <hyperlink ref="B100" r:id="rId99" xr:uid="{71C88F94-0C45-5448-A121-EB3CED5FA432}"/>
    <hyperlink ref="B101" r:id="rId100" xr:uid="{EF4920D4-84E3-6747-8B41-C1BF9245008A}"/>
    <hyperlink ref="B102" r:id="rId101" xr:uid="{59F2BF06-7EDD-514B-AFB9-C38ABDC23E64}"/>
    <hyperlink ref="B103" r:id="rId102" xr:uid="{C7894412-AA76-2845-8385-759C0AB8595E}"/>
    <hyperlink ref="B104" r:id="rId103" xr:uid="{3B8ADBFB-1DF9-F040-8C43-D131196D1D7F}"/>
    <hyperlink ref="B105" r:id="rId104" xr:uid="{31A13704-3342-CF4E-8EED-499B423EB483}"/>
    <hyperlink ref="B106" r:id="rId105" xr:uid="{124A03BD-8D93-F842-B89D-AFE4C0FDFF36}"/>
    <hyperlink ref="B107" r:id="rId106" xr:uid="{11DFE27D-8362-8245-A847-8AD7D8540AD4}"/>
    <hyperlink ref="B108" r:id="rId107" xr:uid="{5756BD15-57B2-FE49-9A20-12EDEB2A5E1D}"/>
    <hyperlink ref="B109" r:id="rId108" xr:uid="{B1892554-0B2D-B54C-BE5E-3B6AAB52AD45}"/>
    <hyperlink ref="B110" r:id="rId109" xr:uid="{4EDCA1FA-F965-8A40-81EB-C5CF56B7EA27}"/>
    <hyperlink ref="B111" r:id="rId110" xr:uid="{FB44F90B-EA08-4441-BD9C-E418023E0404}"/>
    <hyperlink ref="B112" r:id="rId111" xr:uid="{2B84F32B-C17D-2945-A4AA-CB726ABA984C}"/>
    <hyperlink ref="B113" r:id="rId112" xr:uid="{065B370B-193F-3B40-B3F8-E7C51E801B1C}"/>
    <hyperlink ref="B114" r:id="rId113" xr:uid="{722AB578-318F-D84D-919A-13605F8AAF20}"/>
    <hyperlink ref="B115" r:id="rId114" xr:uid="{05E1CED5-5911-2C46-B537-A734A2F90951}"/>
    <hyperlink ref="B116" r:id="rId115" xr:uid="{A3B0A09B-CA05-DA46-A168-FDD3AB2CFD91}"/>
    <hyperlink ref="B117" r:id="rId116" xr:uid="{FA0280D8-6869-0B4D-A09F-66810F0E0119}"/>
    <hyperlink ref="B118" r:id="rId117" xr:uid="{897D2BEA-8996-F64C-83CC-2566D0EB92F4}"/>
    <hyperlink ref="B119" r:id="rId118" xr:uid="{987B5B28-CEEB-6E43-9D7D-11CA90A8C82B}"/>
    <hyperlink ref="B120" r:id="rId119" xr:uid="{9B88C316-5D85-3F42-87E7-64E8E722E66A}"/>
    <hyperlink ref="B121" r:id="rId120" xr:uid="{B5DED6BD-4182-6041-A095-B131B44EA36F}"/>
    <hyperlink ref="B122" r:id="rId121" xr:uid="{3D3A51DA-5798-CE49-A93C-5F6E081E4684}"/>
    <hyperlink ref="B123" r:id="rId122" xr:uid="{FC0906EB-685E-C64A-823C-8780E1F2F2B4}"/>
    <hyperlink ref="B124" r:id="rId123" xr:uid="{22676081-A189-8545-BA7E-091B509CAAC4}"/>
    <hyperlink ref="B125" r:id="rId124" xr:uid="{4900CC17-108A-2748-A9D7-EE3890A8F411}"/>
    <hyperlink ref="B126" r:id="rId125" xr:uid="{B579B68F-FFD2-594D-A1C4-F90C3D1054C6}"/>
    <hyperlink ref="B127" r:id="rId126" xr:uid="{613FAAE4-F4A2-D549-8C82-1B199744ACBB}"/>
    <hyperlink ref="B128" r:id="rId127" xr:uid="{323C6300-25C8-7647-9AED-35A272C5AFB3}"/>
    <hyperlink ref="B129" r:id="rId128" xr:uid="{15D05186-7037-9945-96F1-F54E87E7255E}"/>
    <hyperlink ref="B130" r:id="rId129" xr:uid="{DC394E4A-FC78-424F-99A1-1B28394F98E5}"/>
    <hyperlink ref="B131" r:id="rId130" xr:uid="{58B81D34-6AEA-CB43-9725-618EAFCA991F}"/>
    <hyperlink ref="B132" r:id="rId131" xr:uid="{A8546072-F143-9A46-A3D1-3217818D073F}"/>
    <hyperlink ref="B133" r:id="rId132" xr:uid="{468A9FF4-059A-944E-ACC7-EC005612B790}"/>
    <hyperlink ref="B134" r:id="rId133" xr:uid="{F91387C5-D47D-6048-A9A2-DE2AA19F3454}"/>
    <hyperlink ref="B135" r:id="rId134" xr:uid="{B204D2C4-4A45-F045-A160-4485B8E8D605}"/>
    <hyperlink ref="B136" r:id="rId135" xr:uid="{BCF964B2-C5E5-4B4B-8895-0C7ED972ABFB}"/>
    <hyperlink ref="B137" r:id="rId136" xr:uid="{537AE618-E3B4-6B4F-9167-56408A118534}"/>
    <hyperlink ref="B138" r:id="rId137" xr:uid="{CC4A69A4-AAA6-4B42-9CD8-4B6A43C5F2EF}"/>
    <hyperlink ref="B139" r:id="rId138" xr:uid="{9418D2FB-C47C-2143-8163-6BAD004D393C}"/>
    <hyperlink ref="B140" r:id="rId139" xr:uid="{07E979B3-77B2-F449-A550-723DD7A5E422}"/>
    <hyperlink ref="B141" r:id="rId140" xr:uid="{DD6FDB29-6DAC-E14C-BDB2-028AA598EDDC}"/>
    <hyperlink ref="B142" r:id="rId141" xr:uid="{499CE4C1-0228-FB46-A9F7-8126710EC508}"/>
    <hyperlink ref="B143" r:id="rId142" xr:uid="{0909F21F-C656-1842-9C57-31716EBAD348}"/>
    <hyperlink ref="B144" r:id="rId143" xr:uid="{C5FAB94E-E654-F34D-9697-202F12E04CD1}"/>
    <hyperlink ref="B145" r:id="rId144" xr:uid="{7A77F0B8-819E-D847-89A1-6B11DA47643C}"/>
    <hyperlink ref="B146" r:id="rId145" xr:uid="{EA00EED3-BF49-344F-AAF0-0CF3F6D27A73}"/>
    <hyperlink ref="B147" r:id="rId146" xr:uid="{3181865D-5920-AC44-A17A-DAA9084C9F68}"/>
    <hyperlink ref="B148" r:id="rId147" xr:uid="{CD76BF49-3385-F54B-BF9F-0B213A36850F}"/>
    <hyperlink ref="B149" r:id="rId148" xr:uid="{733DD174-C145-D444-9EC6-99C019D90323}"/>
    <hyperlink ref="B150" r:id="rId149" xr:uid="{8E58B1AF-A2ED-C74D-9695-C5E507242C40}"/>
    <hyperlink ref="B151" r:id="rId150" xr:uid="{03A41252-5D20-3B4F-B619-3C8F9D70958B}"/>
    <hyperlink ref="B152" r:id="rId151" xr:uid="{BE24B7C8-A383-A24D-8EC7-F1D67BDC12D1}"/>
    <hyperlink ref="B153" r:id="rId152" xr:uid="{891E570C-DFEC-FE43-832E-412E47F17C7D}"/>
    <hyperlink ref="B154" r:id="rId153" xr:uid="{2242FE72-BA8B-374D-9109-397538278050}"/>
    <hyperlink ref="B155" r:id="rId154" xr:uid="{A9707590-F04E-E843-AF73-CBD92014C13B}"/>
    <hyperlink ref="B156" r:id="rId155" xr:uid="{B402B8BB-536B-B644-9FF7-A141625637AB}"/>
    <hyperlink ref="B157" r:id="rId156" xr:uid="{607821AC-2CA1-D44F-84D2-49EEF070561F}"/>
    <hyperlink ref="B158" r:id="rId157" xr:uid="{84790842-F05C-0841-9C3D-416B270B5635}"/>
    <hyperlink ref="B159" r:id="rId158" xr:uid="{4055A074-68B2-3946-B66A-6AB9A2D55519}"/>
    <hyperlink ref="B160" r:id="rId159" xr:uid="{13D303B6-FF76-2B4B-BCB5-5934A4F2F9DE}"/>
    <hyperlink ref="B161" r:id="rId160" xr:uid="{53A0552C-5D3D-424A-82E0-1A0FE2206E57}"/>
    <hyperlink ref="B162" r:id="rId161" xr:uid="{6E6EFA7A-B0A4-554F-9CE8-82C666F16A69}"/>
    <hyperlink ref="B163" r:id="rId162" xr:uid="{33E3B05C-F02B-F540-83FF-FB4409F71E08}"/>
    <hyperlink ref="B164" r:id="rId163" xr:uid="{A8FF765D-D0CE-AB4A-B224-6A13D38D55AF}"/>
    <hyperlink ref="B165" r:id="rId164" xr:uid="{8FC72394-F8AA-C343-B380-D06E14B1CC7E}"/>
    <hyperlink ref="B166" r:id="rId165" xr:uid="{F06D2214-C5D6-E942-8A48-2FF98ABE9030}"/>
    <hyperlink ref="B167" r:id="rId166" xr:uid="{AA4CBBF7-CA0E-8E4D-B28F-A60E36321A88}"/>
    <hyperlink ref="B168" r:id="rId167" xr:uid="{9BF25BA5-69C2-AB4C-AECA-5DD10605A19B}"/>
    <hyperlink ref="B169" r:id="rId168" xr:uid="{E4F68E51-DF9A-224E-81B8-6ED27580C88A}"/>
    <hyperlink ref="B170" r:id="rId169" xr:uid="{04E69C33-1E0A-E94E-A79C-5D00D2FF904B}"/>
    <hyperlink ref="B171" r:id="rId170" xr:uid="{4B7775B9-0695-0040-9EAE-D95B4139F594}"/>
    <hyperlink ref="B172" r:id="rId171" xr:uid="{CE60CE10-8256-BA4A-B5CF-0FF019DBAF77}"/>
    <hyperlink ref="B173" r:id="rId172" xr:uid="{CBA70061-CB98-1448-B598-701360410B74}"/>
    <hyperlink ref="B174" r:id="rId173" xr:uid="{B736E50C-8BEF-B947-836C-53003B201F72}"/>
    <hyperlink ref="B175" r:id="rId174" xr:uid="{79D4D59C-D1E2-B243-A22D-4763FC74F308}"/>
    <hyperlink ref="B176" r:id="rId175" xr:uid="{6E4ED633-8AA2-5A4E-9C48-27BF296CC93A}"/>
    <hyperlink ref="B177" r:id="rId176" xr:uid="{466A34F7-BB1D-8346-AF79-512BFEEA89F8}"/>
    <hyperlink ref="B178" r:id="rId177" xr:uid="{6EE030DC-20AB-C142-8F2D-5C53EE40BCC6}"/>
    <hyperlink ref="B179" r:id="rId178" xr:uid="{9C162145-CD75-6940-A016-B4D7BFF61DA5}"/>
    <hyperlink ref="B180" r:id="rId179" xr:uid="{438411FB-DDE2-5348-A8C6-DBABD400677A}"/>
    <hyperlink ref="B181" r:id="rId180" xr:uid="{C4666E4A-7248-6248-A27F-034D88867C4E}"/>
    <hyperlink ref="B182" r:id="rId181" xr:uid="{E9756050-114F-4741-8C9D-35B2684D2B4A}"/>
    <hyperlink ref="B183" r:id="rId182" xr:uid="{22E1CED2-AA2E-A44D-9225-0348177CC3DB}"/>
    <hyperlink ref="B184" r:id="rId183" xr:uid="{8CAF5478-86E9-4C43-B9D2-09AF047A2427}"/>
    <hyperlink ref="B185" r:id="rId184" xr:uid="{DB2FFE37-0FB9-EA43-B5C9-BB70116D23ED}"/>
    <hyperlink ref="B186" r:id="rId185" xr:uid="{09E87618-F3EF-1B47-B506-9EBE1848D0E8}"/>
    <hyperlink ref="B187" r:id="rId186" xr:uid="{4BABF4A7-26C4-5B4A-97C2-94037D41C42F}"/>
    <hyperlink ref="B188" r:id="rId187" xr:uid="{A0756B50-5ACA-6D49-9F4D-C54AC19DF621}"/>
    <hyperlink ref="B189" r:id="rId188" xr:uid="{77B97209-1176-9046-A8DC-531CC2B6D07C}"/>
    <hyperlink ref="B190" r:id="rId189" xr:uid="{CE54BB0E-D3B2-A244-8CC7-1D16DEE095FB}"/>
    <hyperlink ref="B191" r:id="rId190" xr:uid="{7FE5F836-C854-FF4E-B194-A24B92F839BB}"/>
    <hyperlink ref="B192" r:id="rId191" xr:uid="{BAC6996F-45B9-5149-A39F-475154FD553A}"/>
    <hyperlink ref="B193" r:id="rId192" xr:uid="{D916EB6F-7388-4E48-B9BC-34E08891FE2A}"/>
    <hyperlink ref="B194" r:id="rId193" xr:uid="{2BC28D7A-9746-3D42-AADD-B15C2E3B8B0E}"/>
    <hyperlink ref="B195" r:id="rId194" xr:uid="{13096C74-74BE-EC4E-BF4B-47782E2B9221}"/>
    <hyperlink ref="B196" r:id="rId195" xr:uid="{4F919736-2355-0C4C-869F-A0B3756AFE68}"/>
    <hyperlink ref="B197" r:id="rId196" xr:uid="{C0CCC17D-0F19-694E-B037-F05126807617}"/>
    <hyperlink ref="B198" r:id="rId197" xr:uid="{4A7ECB67-47C2-0142-B980-428E259675EA}"/>
    <hyperlink ref="B199" r:id="rId198" xr:uid="{C44672E3-60A6-5440-B8CF-590D30E03CBB}"/>
    <hyperlink ref="B200" r:id="rId199" xr:uid="{556711C6-98FB-E94F-96EF-665604F4658C}"/>
    <hyperlink ref="B201" r:id="rId200" xr:uid="{9FC064A9-2CF1-204D-B3C7-5D0B77280FC0}"/>
    <hyperlink ref="B202" r:id="rId201" xr:uid="{F28AF2EB-FDA5-044D-9462-A31E284DAAF4}"/>
    <hyperlink ref="B203" r:id="rId202" xr:uid="{38078336-F5EC-A144-96AB-6E1FABD5F80A}"/>
    <hyperlink ref="B204" r:id="rId203" xr:uid="{67A842AE-2BA8-9548-AA83-137295EC99A1}"/>
    <hyperlink ref="B205" r:id="rId204" xr:uid="{27F7D789-D0F2-3C4D-8C63-F7737EBD79D9}"/>
    <hyperlink ref="B206" r:id="rId205" xr:uid="{1731059B-0E85-634D-8007-CA47C280F90D}"/>
    <hyperlink ref="B207" r:id="rId206" xr:uid="{97A54901-A8A1-EB46-B45F-9E631AC3D959}"/>
    <hyperlink ref="B208" r:id="rId207" xr:uid="{5C4C76DE-B552-0149-AE61-529DD2526271}"/>
    <hyperlink ref="B209" r:id="rId208" xr:uid="{06EDE5FE-1CE5-D24F-9C79-D81D31D9546E}"/>
    <hyperlink ref="B210" r:id="rId209" xr:uid="{333C8595-5BA0-D44E-B760-39CD5E02229E}"/>
    <hyperlink ref="B211" r:id="rId210" xr:uid="{438EE434-58AC-CE4B-A15F-EDC2FBA19F43}"/>
    <hyperlink ref="B212" r:id="rId211" xr:uid="{40BE2501-CB9C-7A48-A907-944FBAF10852}"/>
    <hyperlink ref="B213" r:id="rId212" xr:uid="{9AE17CB0-D755-0E4A-A595-1D0931718887}"/>
    <hyperlink ref="B214" r:id="rId213" xr:uid="{30086378-7BF6-FD4C-A58F-4C175F4BDA1A}"/>
    <hyperlink ref="B215" r:id="rId214" xr:uid="{B6D3D955-468D-544A-93DA-455FF5169FFA}"/>
    <hyperlink ref="B216" r:id="rId215" xr:uid="{9DEDC798-C6C5-9D4F-84F3-2347926BC19F}"/>
    <hyperlink ref="B217" r:id="rId216" xr:uid="{4C90CBB9-2EC9-D14E-AC11-043870C60767}"/>
    <hyperlink ref="B218" r:id="rId217" xr:uid="{98529E91-E7A2-7E4B-A59E-29D501676974}"/>
    <hyperlink ref="B219" r:id="rId218" xr:uid="{BC8C3FEB-8CB2-114D-A157-E8F39E036784}"/>
    <hyperlink ref="B220" r:id="rId219" xr:uid="{1D3B0788-3E8E-A44D-B81D-303193583094}"/>
    <hyperlink ref="B221" r:id="rId220" xr:uid="{EBB0B0D1-F2A9-5240-8F0D-D0C3A40122C1}"/>
    <hyperlink ref="B222" r:id="rId221" xr:uid="{033026AA-A901-A544-AAB5-F30C030FEA6A}"/>
    <hyperlink ref="B223" r:id="rId222" xr:uid="{373B7927-6625-F54B-B5B4-0F4928F4EDA8}"/>
    <hyperlink ref="B224" r:id="rId223" xr:uid="{42C7BCAB-98AA-794A-836A-C01C1C5C7681}"/>
    <hyperlink ref="B225" r:id="rId224" xr:uid="{55C1D409-9FC4-A84C-A204-B60683249FBA}"/>
    <hyperlink ref="B226" r:id="rId225" xr:uid="{83EDBCCC-7521-F44A-9A7F-96B50A263998}"/>
    <hyperlink ref="B227" r:id="rId226" xr:uid="{D626A96C-B808-4945-8762-BDCA9C06CC18}"/>
    <hyperlink ref="B228" r:id="rId227" xr:uid="{BDCC2924-F398-CA4A-A27A-1FDE37133603}"/>
    <hyperlink ref="B229" r:id="rId228" xr:uid="{C09F2D65-BB18-4149-90FB-68A308D1D833}"/>
    <hyperlink ref="B230" r:id="rId229" xr:uid="{0DF473FE-75A1-BB45-9044-269C4E022776}"/>
    <hyperlink ref="B231" r:id="rId230" xr:uid="{4A614BE1-88EF-C947-910E-A598EFEA942C}"/>
    <hyperlink ref="B232" r:id="rId231" xr:uid="{CD7C7949-52D8-7D4C-93F1-3E4F1907A416}"/>
    <hyperlink ref="B233" r:id="rId232" xr:uid="{F202C652-5805-184E-9800-8C6E4B586F82}"/>
    <hyperlink ref="B234" r:id="rId233" xr:uid="{DA79453F-7CD0-EB4D-A740-1675D9C9FBD2}"/>
    <hyperlink ref="B235" r:id="rId234" xr:uid="{6B27FF63-963E-444B-8241-2A4FBF0914B0}"/>
    <hyperlink ref="B236" r:id="rId235" xr:uid="{1A9CB00C-351C-9644-B84C-A0CA793AF516}"/>
    <hyperlink ref="B237" r:id="rId236" xr:uid="{C3038F2F-2F9F-2648-B1EE-BDF40D2CD67A}"/>
    <hyperlink ref="B238" r:id="rId237" xr:uid="{6817BB18-C5C4-8E48-82BB-D2F7806870F1}"/>
    <hyperlink ref="B239" r:id="rId238" xr:uid="{AAB2B8FD-9B0B-D645-9185-6F4077D86EF1}"/>
    <hyperlink ref="B240" r:id="rId239" xr:uid="{EF5EFA93-A382-7E4A-95AC-5F348276A502}"/>
    <hyperlink ref="B241" r:id="rId240" xr:uid="{91967188-3CE1-4843-9792-C6F4986A93AC}"/>
    <hyperlink ref="B242" r:id="rId241" xr:uid="{9DC31643-2AA8-1C4A-911D-90CB3843FA77}"/>
    <hyperlink ref="B243" r:id="rId242" xr:uid="{F1E75C01-EFDD-2549-8C12-6E4E3956318B}"/>
    <hyperlink ref="B244" r:id="rId243" xr:uid="{87C53801-FFFE-974F-8ED3-A68F2B3B3FB0}"/>
    <hyperlink ref="B245" r:id="rId244" xr:uid="{D6E28D65-260B-C549-A684-4713456D2ACC}"/>
    <hyperlink ref="B246" r:id="rId245" xr:uid="{94BEB3EC-08BB-3E48-8175-2728CD82DCED}"/>
    <hyperlink ref="B247" r:id="rId246" xr:uid="{13B6FF10-A327-244D-9A3D-E8CC192963AE}"/>
    <hyperlink ref="B248" r:id="rId247" xr:uid="{C0B49DBC-A7F0-E04B-B8FF-5F904CFCD482}"/>
    <hyperlink ref="B249" r:id="rId248" xr:uid="{0384D617-68B8-D04C-A9CF-CEFF5DF9BCC1}"/>
    <hyperlink ref="B250" r:id="rId249" xr:uid="{A2915C9A-1D54-F54D-B74D-F866D4788B2F}"/>
    <hyperlink ref="B251" r:id="rId250" xr:uid="{0041FDA4-6F1C-C247-98A2-EE7270B57C20}"/>
    <hyperlink ref="B252" r:id="rId251" xr:uid="{49EA227A-99DD-A34A-A020-4CD9E46B7D97}"/>
    <hyperlink ref="B253" r:id="rId252" xr:uid="{9F398DED-4674-7B49-806E-1DDA68B7B5E7}"/>
    <hyperlink ref="B254" r:id="rId253" xr:uid="{4C605D68-3B66-784B-B6B8-67798DA3179B}"/>
    <hyperlink ref="B255" r:id="rId254" xr:uid="{7539C1DF-BA9F-BE4C-A794-D4485B23F49E}"/>
    <hyperlink ref="B256" r:id="rId255" xr:uid="{BBF29B79-6ED5-054D-89C1-3138C93967C3}"/>
    <hyperlink ref="B257" r:id="rId256" xr:uid="{4C4774F0-162D-3B44-82D9-EBEB4AAE6A93}"/>
    <hyperlink ref="B258" r:id="rId257" xr:uid="{C879DD8A-2A2A-8D42-A19A-AF454BDEC0C2}"/>
    <hyperlink ref="B259" r:id="rId258" xr:uid="{C6C1C51F-1C19-ED47-A52C-0BCB31D34B54}"/>
    <hyperlink ref="B260" r:id="rId259" xr:uid="{59FF929E-3239-2344-85DA-E6309B78C966}"/>
    <hyperlink ref="B261" r:id="rId260" xr:uid="{EA8A3722-1CF1-DF42-8C21-99AA4051D841}"/>
    <hyperlink ref="B262" r:id="rId261" xr:uid="{FBF6C35C-086F-C440-8168-941A546BF45B}"/>
    <hyperlink ref="B263" r:id="rId262" xr:uid="{97A02F84-0506-4B49-AFFC-CC7D597063A6}"/>
    <hyperlink ref="B264" r:id="rId263" xr:uid="{543931EB-6980-A04D-8D78-57E634BEDCEB}"/>
    <hyperlink ref="B265" r:id="rId264" xr:uid="{FABC651F-508C-094A-B242-5ADF0BED707A}"/>
    <hyperlink ref="B266" r:id="rId265" xr:uid="{A7685095-CE8F-4B4B-A3E0-5480861F2064}"/>
    <hyperlink ref="B267" r:id="rId266" xr:uid="{9B9F1ABC-6C09-894C-BBCC-298F18862D47}"/>
    <hyperlink ref="B268" r:id="rId267" xr:uid="{EE520CB5-8675-2B4E-9A26-1EDEED4735FE}"/>
    <hyperlink ref="B269" r:id="rId268" xr:uid="{DA11687B-1B6E-B842-8016-9F4FF775EE71}"/>
    <hyperlink ref="B270" r:id="rId269" xr:uid="{79085816-B7FD-184B-8EB0-9BD403BFC67E}"/>
    <hyperlink ref="B271" r:id="rId270" xr:uid="{31F47BDB-95C3-6644-B42E-BF829B062FB3}"/>
    <hyperlink ref="B272" r:id="rId271" xr:uid="{11D7082F-8A81-CA4C-A467-20B6DFA9B4E7}"/>
    <hyperlink ref="B273" r:id="rId272" xr:uid="{E59CA36A-5F06-4344-A4D4-A81D2DFBA564}"/>
    <hyperlink ref="B274" r:id="rId273" xr:uid="{DE265255-C7C4-EC48-A33E-01A2E109E2AA}"/>
    <hyperlink ref="B275" r:id="rId274" xr:uid="{93733D6B-6006-A84F-893A-4DCC725D6295}"/>
    <hyperlink ref="B276" r:id="rId275" xr:uid="{63C73CD7-6B2F-6A43-8C58-BDD9D7973CD2}"/>
    <hyperlink ref="B277" r:id="rId276" xr:uid="{EFEFA4B6-6808-7B43-8C13-68A2D239F6B2}"/>
    <hyperlink ref="B278" r:id="rId277" xr:uid="{630E87B1-9233-2941-8DCE-00C698E8ABF7}"/>
    <hyperlink ref="B279" r:id="rId278" xr:uid="{C2FDA599-10B6-BC44-A8A7-8B577835F7A6}"/>
    <hyperlink ref="B280" r:id="rId279" xr:uid="{C565E9CF-8A5D-0847-9889-86837563ED22}"/>
    <hyperlink ref="B281" r:id="rId280" xr:uid="{1C0B7CA0-F0CA-3E40-A7A8-84BB6D35DE37}"/>
    <hyperlink ref="B282" r:id="rId281" xr:uid="{FDC82F02-495A-C449-858A-E3308D15E698}"/>
    <hyperlink ref="B283" r:id="rId282" xr:uid="{49D35A43-7119-6E4A-8412-D32DB41FD7CE}"/>
    <hyperlink ref="B284" r:id="rId283" xr:uid="{5BBBD648-BEBF-6A4E-9A82-934EEB2D0406}"/>
    <hyperlink ref="B285" r:id="rId284" xr:uid="{BB247193-20D0-0543-BE89-8021450FA23A}"/>
    <hyperlink ref="B286" r:id="rId285" xr:uid="{84ECED35-5E28-DE4E-B803-233BF2B3CAB0}"/>
    <hyperlink ref="B287" r:id="rId286" xr:uid="{DCA93723-4897-E246-AF5D-4E67EE03D231}"/>
    <hyperlink ref="B288" r:id="rId287" xr:uid="{E1E632F1-3926-244D-8116-788BDD8E7B12}"/>
    <hyperlink ref="B289" r:id="rId288" xr:uid="{B4B465CE-DA93-E945-8AB9-47925EA46D64}"/>
    <hyperlink ref="B290" r:id="rId289" xr:uid="{874E94D8-F7CF-4C4A-A9C2-AB5656DDFF69}"/>
    <hyperlink ref="B291" r:id="rId290" xr:uid="{2EA819C5-CC42-C542-A4E9-0A9C461BB226}"/>
    <hyperlink ref="B292" r:id="rId291" xr:uid="{31A77209-5FE9-A046-BF86-9FE8376FA87A}"/>
    <hyperlink ref="B293" r:id="rId292" xr:uid="{90E29CEE-8E36-BA4F-BD45-6D8A2014AC15}"/>
    <hyperlink ref="B294" r:id="rId293" xr:uid="{E881DA9C-5DB1-2249-933D-E745BF4A277A}"/>
    <hyperlink ref="B295" r:id="rId294" xr:uid="{83E4D65B-9631-904D-8371-62603E8AC456}"/>
    <hyperlink ref="B296" r:id="rId295" xr:uid="{8EBB8A5B-7486-4D42-B691-756CDC94924D}"/>
    <hyperlink ref="B297" r:id="rId296" xr:uid="{538A6AD1-2F05-3D49-A46F-4BB66637C2A1}"/>
    <hyperlink ref="B298" r:id="rId297" xr:uid="{42F61F96-37E3-BF4F-871B-5E6492520409}"/>
    <hyperlink ref="B299" r:id="rId298" xr:uid="{ECB37D58-2A88-4F4C-9C6B-01B003643F1E}"/>
    <hyperlink ref="B300" r:id="rId299" xr:uid="{587D9E56-7F10-A547-970E-7AC897706EB8}"/>
    <hyperlink ref="B301" r:id="rId300" xr:uid="{6044878C-3E99-2441-AA2D-C8B96BB3113B}"/>
    <hyperlink ref="B302" r:id="rId301" xr:uid="{95D9A9F7-096B-E641-88D5-9E8AED79E179}"/>
    <hyperlink ref="B303" r:id="rId302" xr:uid="{85CC6183-76AE-7949-AEC1-8C1DF09BDDBB}"/>
    <hyperlink ref="B304" r:id="rId303" xr:uid="{F5C78867-436B-FC43-92CC-6BF43F38E4BC}"/>
    <hyperlink ref="B305" r:id="rId304" xr:uid="{67036B3F-C78D-7640-B1CF-A3AD11539B4D}"/>
    <hyperlink ref="B306" r:id="rId305" xr:uid="{056B3830-EC8B-8442-8C55-BA49D0696A68}"/>
    <hyperlink ref="B307" r:id="rId306" xr:uid="{68FF4249-32D2-B449-BFE7-55DB402E6846}"/>
    <hyperlink ref="B308" r:id="rId307" xr:uid="{575A31B0-598D-AB4B-B33E-392C6FFDBAB8}"/>
    <hyperlink ref="B309" r:id="rId308" xr:uid="{2AF51214-6526-B64F-9663-678917E4AF46}"/>
    <hyperlink ref="B310" r:id="rId309" xr:uid="{9EA2AEA1-C5F9-7C4F-B6FD-678BA4C16E92}"/>
    <hyperlink ref="B311" r:id="rId310" xr:uid="{8D64FD5C-5025-C844-9BD8-77BBB415BC5F}"/>
    <hyperlink ref="B312" r:id="rId311" xr:uid="{6EEF11DB-3510-EC49-8229-1332B7E16194}"/>
    <hyperlink ref="B313" r:id="rId312" xr:uid="{86A35B46-CEE2-AF4B-9071-1C52C3C89E19}"/>
    <hyperlink ref="B314" r:id="rId313" xr:uid="{95CADB21-9B08-A44F-8332-FA01E1B2A22A}"/>
    <hyperlink ref="B315" r:id="rId314" xr:uid="{9304A824-C604-9048-92E9-93B36BC7EC7F}"/>
    <hyperlink ref="B316" r:id="rId315" xr:uid="{F69F428E-A43A-C34A-B01B-D26C5182FCE1}"/>
    <hyperlink ref="B317" r:id="rId316" xr:uid="{C0767A9E-C8FE-B142-B843-30742289D845}"/>
    <hyperlink ref="B318" r:id="rId317" xr:uid="{441BA3F3-B527-D841-A10A-2F3BAB96F589}"/>
    <hyperlink ref="B319" r:id="rId318" xr:uid="{E4C5FFD6-EB0C-334C-B7E0-09C3499EA1CF}"/>
    <hyperlink ref="B320" r:id="rId319" xr:uid="{0B67AFFA-FD80-2940-B367-4BC1CBF11B83}"/>
    <hyperlink ref="B321" r:id="rId320" xr:uid="{2B9CB8DD-089D-3F44-BDEB-827953041EA2}"/>
    <hyperlink ref="B322" r:id="rId321" xr:uid="{6D071F89-05A9-BA47-945B-49F4B729FAAE}"/>
    <hyperlink ref="B323" r:id="rId322" xr:uid="{D0EB9867-B859-2D4B-9D7B-2C269DEF4EF8}"/>
    <hyperlink ref="B324" r:id="rId323" xr:uid="{D743F8DA-9A0B-A74E-927A-E21E11B2B319}"/>
    <hyperlink ref="B325" r:id="rId324" xr:uid="{DAB47506-C197-9C4E-90D3-9684B531AEAD}"/>
    <hyperlink ref="B326" r:id="rId325" xr:uid="{CF074FD8-9ACA-724A-80D6-8B34D699FFA9}"/>
    <hyperlink ref="B327" r:id="rId326" xr:uid="{6F88F3E9-C2EC-5F46-AA2B-5E5FF9C9A92C}"/>
    <hyperlink ref="B328" r:id="rId327" xr:uid="{363822CB-744F-524C-A8E3-08501552AC41}"/>
    <hyperlink ref="B329" r:id="rId328" xr:uid="{5389EADE-A85B-9B42-98C9-0F4744DA9F92}"/>
    <hyperlink ref="B330" r:id="rId329" xr:uid="{72C8F4B8-99C4-484E-B9C1-C0AA8FD5D8E1}"/>
    <hyperlink ref="B331" r:id="rId330" xr:uid="{45F33A11-30C2-A547-8897-EC8735A07E25}"/>
    <hyperlink ref="B332" r:id="rId331" xr:uid="{EA1A2799-E6A5-D246-9648-8ED128875BEE}"/>
    <hyperlink ref="B333" r:id="rId332" xr:uid="{86FE50B4-F5C2-2743-911F-FBBC4694CF32}"/>
    <hyperlink ref="B334" r:id="rId333" xr:uid="{EA15E3FD-CA8B-DF46-AB98-61D344061331}"/>
    <hyperlink ref="B335" r:id="rId334" xr:uid="{34872618-10CC-454F-BB1F-6D6DE962A2DB}"/>
    <hyperlink ref="B336" r:id="rId335" xr:uid="{8AFC56C2-9329-9C42-A063-86E35F92F3C0}"/>
    <hyperlink ref="B337" r:id="rId336" xr:uid="{FD173C34-D0D3-A142-A45D-18F38188235E}"/>
    <hyperlink ref="B338" r:id="rId337" xr:uid="{AF4FBAC2-FF0A-9844-BB6A-493A72355634}"/>
    <hyperlink ref="B339" r:id="rId338" xr:uid="{553C1BC9-C1C3-8D42-BF8A-28CA82E3908E}"/>
    <hyperlink ref="B340" r:id="rId339" xr:uid="{9D4B63D8-F8F9-5C49-B26B-DB4C523A0E81}"/>
    <hyperlink ref="B341" r:id="rId340" xr:uid="{EC37EDC8-D71A-4D4A-BDB9-27F0E9C2272D}"/>
    <hyperlink ref="B342" r:id="rId341" xr:uid="{0E80DF43-AE96-254C-AD13-E3F7CB69DC20}"/>
    <hyperlink ref="B343" r:id="rId342" xr:uid="{2F2F307C-3AAE-1746-8D37-E08E585C7BA4}"/>
    <hyperlink ref="B344" r:id="rId343" xr:uid="{B2EDF158-D938-6C4E-A2EE-A9B21D1B3552}"/>
    <hyperlink ref="B345" r:id="rId344" xr:uid="{236C0ADE-86F0-B44F-83B1-F24DD98E5304}"/>
    <hyperlink ref="B346" r:id="rId345" xr:uid="{2E56AD32-E5FA-6C4C-B93B-1B9B93F77F37}"/>
    <hyperlink ref="B347" r:id="rId346" xr:uid="{87844DA7-86DF-6A40-91FC-920DD31FE9EC}"/>
    <hyperlink ref="B348" r:id="rId347" xr:uid="{400E6DEA-8A33-434D-B3D7-4A70969F3BBE}"/>
    <hyperlink ref="B349" r:id="rId348" xr:uid="{93BCE4C3-F3EA-AA4B-A891-77A9AE203752}"/>
    <hyperlink ref="B350" r:id="rId349" xr:uid="{C0A59620-5D4B-6E42-9615-8168224F74CF}"/>
    <hyperlink ref="B351" r:id="rId350" xr:uid="{9A965E4F-0128-3744-98F8-A2F668055BCC}"/>
    <hyperlink ref="B352" r:id="rId351" xr:uid="{3D8C05A7-4F28-0444-B2C0-FB58FEB47D6D}"/>
    <hyperlink ref="B353" r:id="rId352" xr:uid="{32D2145F-4EDE-5F48-B928-636BD97DE32D}"/>
    <hyperlink ref="B354" r:id="rId353" xr:uid="{9AE3BC55-C9B1-044E-99C7-F79AD381DEF8}"/>
    <hyperlink ref="B355" r:id="rId354" xr:uid="{5ADB1C1B-1CA3-1144-B20A-6BCF6892A470}"/>
    <hyperlink ref="B356" r:id="rId355" xr:uid="{E65B8787-7723-A24C-B5DE-39E651B48AB4}"/>
    <hyperlink ref="B357" r:id="rId356" xr:uid="{85362A5A-3447-9148-81F4-02EAEB577D44}"/>
    <hyperlink ref="B358" r:id="rId357" xr:uid="{C6280009-3F61-514D-A8E5-BE7849C518B8}"/>
    <hyperlink ref="B359" r:id="rId358" xr:uid="{C65D25D0-6C99-B748-B9B0-EF4883ED050F}"/>
    <hyperlink ref="B360" r:id="rId359" xr:uid="{1BFCF1CE-0DAC-9840-9BF0-B8359A584F73}"/>
    <hyperlink ref="B361" r:id="rId360" xr:uid="{DCD746D6-E6F9-C24E-8F27-15669F5B2D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基本データ</vt:lpstr>
      <vt:lpstr>投手</vt:lpstr>
      <vt:lpstr>野手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　敬久</dc:creator>
  <dcterms:created xsi:type="dcterms:W3CDTF">2026-10-08T18:03:24Z</dcterms:created>
</cp:coreProperties>
</file>